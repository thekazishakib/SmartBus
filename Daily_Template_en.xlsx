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c91722bd5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789d7867fff47ef"/>
    <x:sheet xmlns:r="http://schemas.openxmlformats.org/officeDocument/2006/relationships" name="Trips" sheetId="2" r:id="R048e5ba5c7fa4f0d"/>
    <x:sheet xmlns:r="http://schemas.openxmlformats.org/officeDocument/2006/relationships" name="Collections" sheetId="3" r:id="R2095e2c686b94cf2"/>
    <x:sheet xmlns:r="http://schemas.openxmlformats.org/officeDocument/2006/relationships" name="Buses" sheetId="4" r:id="R653ba048c67d4bdb"/>
    <x:sheet xmlns:r="http://schemas.openxmlformats.org/officeDocument/2006/relationships" name="Crew" sheetId="5" r:id="Ra2fc5eeaa8d14cf5"/>
    <x:sheet xmlns:r="http://schemas.openxmlformats.org/officeDocument/2006/relationships" name="Counters" sheetId="6" r:id="R57ecdb8bf9be4157"/>
    <x:sheet xmlns:r="http://schemas.openxmlformats.org/officeDocument/2006/relationships" name="Routes" sheetId="7" r:id="R268949e620d84a7a"/>
    <x:sheet xmlns:r="http://schemas.openxmlformats.org/officeDocument/2006/relationships" name="Route List" sheetId="8" r:id="Raf83c48369d446b7"/>
    <x:sheet xmlns:r="http://schemas.openxmlformats.org/officeDocument/2006/relationships" name="Settings" sheetId="9" r:id="R575db20c1e7943fc"/>
    <x:sheet xmlns:r="http://schemas.openxmlformats.org/officeDocument/2006/relationships" name="Read the Manual" sheetId="10" r:id="Rad46df8631fe4c75"/>
  </x:sheets>
  <x:definedNames>
    <x:definedName name="CoachChoices">'Route List'!$A$6:$A$305</x:definedName>
    <x:definedName name="RouteChoices">'Route List'!$F$6:$F$205</x:definedName>
    <x:definedName name="BusChoices">Buses!$A$6:$A$105</x:definedName>
    <x:definedName name="DriverChoices">Settings!$H$6:$H$105</x:definedName>
    <x:definedName name="GuideChoices">Settings!$I$6:$I$105</x:definedName>
    <x:definedName name="ConductorChoices">Settings!$J$6:$J$105</x:definedName>
    <x:definedName name="TripChoices">Trips!$A$6:$A$105</x:definedName>
    <x:definedName name="CounterChoices">Counters!$A$6:$A$105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-mm-yyyy"/>
    <x:numFmt numFmtId="201" formatCode="dd-mm-yyyy hh:mm AM/PM"/>
    <x:numFmt numFmtId="202" formatCode="0"/>
    <x:numFmt numFmtId="203" formatCode="@"/>
    <x:numFmt numFmtId="204" formatCode="#,##0.00"/>
    <x:numFmt numFmtId="205" formatCode="0.0%"/>
  </x:numFmts>
  <x:fonts count="24">
    <x:font>
      <x:sz val="11"/>
      <x:name val="Carlito"/>
    </x:font>
    <x:font>
      <x:sz val="11"/>
      <x:color rgb="FF263445"/>
      <x:name val="Noto Serif Bengali"/>
    </x:font>
    <x:font>
      <x:b/>
      <x:sz val="18"/>
      <x:color rgb="FF6F7C89"/>
      <x:name val="Noto Serif Bengali"/>
    </x:font>
    <x:font>
      <x:b/>
      <x:sz val="11"/>
      <x:color rgb="FFFFFFFF"/>
      <x:name val="Noto Serif Bengali"/>
    </x:font>
    <x:font>
      <x:b/>
      <x:sz val="18"/>
      <x:color rgb="FF92999F"/>
      <x:name val="Noto Serif Bengali"/>
    </x:font>
    <x:font>
      <x:b/>
      <x:sz val="18"/>
      <x:color rgb="FF40566D"/>
      <x:name val="Noto Serif Bengali"/>
    </x:font>
    <x:font>
      <x:b/>
      <x:sz val="18"/>
      <x:color rgb="FF59646F"/>
      <x:name val="Noto Serif Bengali"/>
    </x:font>
    <x:font>
      <x:b/>
      <x:sz val="18"/>
      <x:color rgb="FF52677A"/>
      <x:name val="Noto Serif Bengali"/>
    </x:font>
    <x:font>
      <x:b/>
      <x:sz val="18"/>
      <x:color rgb="FF34495E"/>
      <x:name val="Noto Serif Bengali"/>
    </x:font>
    <x:font>
      <x:b/>
      <x:sz val="23"/>
      <x:color rgb="FF34495E"/>
      <x:name val="Noto Serif Bengali"/>
    </x:font>
    <x:font>
      <x:b/>
      <x:sz val="20"/>
      <x:color rgb="FF34495E"/>
      <x:name val="Noto Serif Bengali"/>
    </x:font>
    <x:font>
      <x:b/>
      <x:sz val="15"/>
      <x:color rgb="FF34495E"/>
      <x:name val="Noto Serif Bengali"/>
    </x:font>
    <x:font>
      <x:b/>
      <x:sz val="23"/>
      <x:color rgb="FF34495E"/>
      <x:name val="Arial"/>
    </x:font>
    <x:font>
      <x:sz val="11"/>
      <x:color rgb="FF263445"/>
      <x:name val="Arial"/>
    </x:font>
    <x:font>
      <x:b/>
      <x:sz val="18"/>
      <x:color rgb="FF34495E"/>
      <x:name val="Arial"/>
    </x:font>
    <x:font>
      <x:b/>
      <x:sz val="20"/>
      <x:color rgb="FF34495E"/>
      <x:name val="Arial"/>
    </x:font>
    <x:font>
      <x:b/>
      <x:sz val="15"/>
      <x:color rgb="FF34495E"/>
      <x:name val="Arial"/>
    </x:font>
    <x:font>
      <x:b/>
      <x:sz val="11"/>
      <x:color rgb="FFFFFFFF"/>
      <x:name val="Arial"/>
    </x:font>
    <x:font>
      <x:b/>
      <x:sz val="18"/>
      <x:color rgb="FF40566D"/>
      <x:name val="Arial"/>
    </x:font>
    <x:font>
      <x:sz val="11"/>
      <x:name val="Arial"/>
    </x:font>
    <x:font>
      <x:b/>
      <x:sz val="18"/>
      <x:color rgb="FF59646F"/>
      <x:name val="Arial"/>
    </x:font>
    <x:font>
      <x:b/>
      <x:sz val="18"/>
      <x:color rgb="FF6F7C89"/>
      <x:name val="Arial"/>
    </x:font>
    <x:font>
      <x:b/>
      <x:sz val="18"/>
      <x:color rgb="FF52677A"/>
      <x:name val="Arial"/>
    </x:font>
    <x:font>
      <x:b/>
      <x:sz val="18"/>
      <x:color rgb="FF92999F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6F7C89"/>
      </x:patternFill>
    </x:fill>
    <x:fill>
      <x:patternFill patternType="solid">
        <x:fgColor rgb="FFFFFDF2"/>
      </x:patternFill>
    </x:fill>
    <x:fill>
      <x:patternFill patternType="solid">
        <x:fgColor rgb="FF92999F"/>
      </x:patternFill>
    </x:fill>
    <x:fill>
      <x:patternFill patternType="solid">
        <x:fgColor rgb="FF40566D"/>
      </x:patternFill>
    </x:fill>
    <x:fill>
      <x:patternFill patternType="solid">
        <x:fgColor rgb="FF59646F"/>
      </x:patternFill>
    </x:fill>
    <x:fill>
      <x:patternFill patternType="solid">
        <x:fgColor rgb="FF52677A"/>
      </x:patternFill>
    </x:fill>
    <x:fill>
      <x:patternFill patternType="solid">
        <x:fgColor rgb="FFF2F3F4"/>
      </x:patternFill>
    </x:fill>
    <x:fill>
      <x:patternFill patternType="solid">
        <x:fgColor rgb="FFF6F6F6"/>
      </x:patternFill>
    </x:fill>
    <x:fill>
      <x:patternFill patternType="solid">
        <x:fgColor rgb="FF3449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5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10" fillId="2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horizontal="right" vertical="center"/>
    </x:xf>
    <x:xf numFmtId="202" fontId="11" fillId="9" borderId="0" xfId="0" applyNumberFormat="1" applyFont="1" applyFill="1" applyBorder="1" applyAlignment="1">
      <x:alignment horizontal="right" vertical="center"/>
    </x:xf>
    <x:xf numFmtId="204" fontId="11" fillId="9" borderId="0" xfId="0" applyNumberFormat="1" applyFont="1" applyFill="1" applyBorder="1" applyAlignment="1">
      <x:alignment horizontal="right" vertical="center"/>
    </x:xf>
    <x:xf numFmtId="0" fontId="1" fillId="10" borderId="0" xfId="0" applyNumberFormat="1" applyFont="1" applyFill="1" applyBorder="1" applyAlignment="1">
      <x:alignment vertical="center"/>
    </x:xf>
    <x:xf numFmtId="202" fontId="1" fillId="10" borderId="0" xfId="0" applyNumberFormat="1" applyFont="1" applyFill="1" applyBorder="1" applyAlignment="1">
      <x:alignment vertical="center"/>
    </x:xf>
    <x:xf numFmtId="204" fontId="1" fillId="1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3" fillId="11" borderId="0" xfId="0" applyNumberFormat="1" applyFont="1" applyFill="1" applyBorder="1" applyAlignment="1">
      <x:alignment vertical="center"/>
    </x:xf>
    <x:xf numFmtId="0" fontId="3" fillId="11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horizontal="center" vertical="center"/>
    </x:xf>
    <x:xf numFmtId="202" fontId="11" fillId="9" borderId="0" xfId="0" applyNumberFormat="1" applyFont="1" applyFill="1" applyBorder="1" applyAlignment="1">
      <x:alignment horizontal="center" vertical="center"/>
    </x:xf>
    <x:xf numFmtId="204" fontId="11" fillId="9" borderId="0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horizontal="center" vertical="center"/>
    </x:xf>
    <x:xf numFmtId="204" fontId="1" fillId="2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horizontal="center" vertical="center"/>
    </x:xf>
    <x:xf numFmtId="202" fontId="1" fillId="10" borderId="0" xfId="0" applyNumberFormat="1" applyFont="1" applyFill="1" applyBorder="1" applyAlignment="1">
      <x:alignment horizontal="center" vertical="center"/>
    </x:xf>
    <x:xf numFmtId="204" fontId="1" fillId="1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202" fontId="1" fillId="4" borderId="0" xfId="0" applyNumberFormat="1" applyFont="1" applyFill="1" applyBorder="1" applyAlignment="1">
      <x:alignment horizontal="center" vertical="center"/>
    </x:xf>
    <x:xf numFmtId="201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203" fontId="1" fillId="4" borderId="0" xfId="0" applyNumberFormat="1" applyFont="1" applyFill="1" applyBorder="1" applyAlignment="1">
      <x:alignment horizontal="center" vertical="center"/>
    </x:xf>
    <x:xf numFmtId="203" fontId="1" fillId="2" borderId="0" xfId="0" applyNumberFormat="1" applyFont="1" applyFill="1" applyBorder="1" applyAlignment="1">
      <x:alignment horizontal="center" vertical="center"/>
    </x:xf>
    <x:xf numFmtId="205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4" fontId="1" fillId="4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0" fontId="1" fillId="4" borderId="0" xfId="0" applyNumberFormat="1" applyFont="1" applyFill="1" applyBorder="1" applyAlignment="1">
      <x:alignment horizontal="center" vertical="center"/>
    </x:xf>
    <x:xf numFmtId="0" fontId="12" fillId="2" borderId="0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 applyAlignment="1">
      <x:alignment horizontal="center" vertical="center"/>
    </x:xf>
    <x:xf numFmtId="0" fontId="13" fillId="9" borderId="0" xfId="0" applyNumberFormat="1" applyFont="1" applyFill="1" applyBorder="1" applyAlignment="1">
      <x:alignment horizontal="center" vertical="center"/>
    </x:xf>
    <x:xf numFmtId="202" fontId="16" fillId="9" borderId="0" xfId="0" applyNumberFormat="1" applyFont="1" applyFill="1" applyBorder="1" applyAlignment="1">
      <x:alignment horizontal="center" vertical="center"/>
    </x:xf>
    <x:xf numFmtId="204" fontId="16" fillId="9" borderId="0" xfId="0" applyNumberFormat="1" applyFont="1" applyFill="1" applyBorder="1" applyAlignment="1">
      <x:alignment horizontal="center" vertical="center"/>
    </x:xf>
    <x:xf numFmtId="0" fontId="17" fillId="7" borderId="0" xfId="0" applyNumberFormat="1" applyFont="1" applyFill="1" applyBorder="1" applyAlignment="1">
      <x:alignment horizontal="center" vertical="center" wrapText="1"/>
    </x:xf>
    <x:xf numFmtId="202" fontId="13" fillId="2" borderId="0" xfId="0" applyNumberFormat="1" applyFont="1" applyFill="1" applyBorder="1" applyAlignment="1">
      <x:alignment horizontal="center" vertical="center"/>
    </x:xf>
    <x:xf numFmtId="204" fontId="13" fillId="2" borderId="0" xfId="0" applyNumberFormat="1" applyFont="1" applyFill="1" applyBorder="1" applyAlignment="1">
      <x:alignment horizontal="center" vertical="center"/>
    </x:xf>
    <x:xf numFmtId="0" fontId="13" fillId="10" borderId="0" xfId="0" applyNumberFormat="1" applyFont="1" applyFill="1" applyBorder="1" applyAlignment="1">
      <x:alignment horizontal="center" vertical="center"/>
    </x:xf>
    <x:xf numFmtId="202" fontId="13" fillId="10" borderId="0" xfId="0" applyNumberFormat="1" applyFont="1" applyFill="1" applyBorder="1" applyAlignment="1">
      <x:alignment horizontal="center" vertical="center"/>
    </x:xf>
    <x:xf numFmtId="204" fontId="13" fillId="10" borderId="0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18" fillId="2" borderId="0" xfId="0" applyNumberFormat="1" applyFont="1" applyFill="1" applyBorder="1" applyAlignment="1">
      <x:alignment horizontal="center" vertical="center"/>
    </x:xf>
    <x:xf numFmtId="0" fontId="17" fillId="6" borderId="0" xfId="0" applyNumberFormat="1" applyFont="1" applyFill="1" applyBorder="1" applyAlignment="1">
      <x:alignment horizontal="center" vertical="center" wrapText="1"/>
    </x:xf>
    <x:xf numFmtId="202" fontId="13" fillId="4" borderId="0" xfId="0" applyNumberFormat="1" applyFont="1" applyFill="1" applyBorder="1" applyAlignment="1">
      <x:alignment horizontal="center" vertical="center"/>
    </x:xf>
    <x:xf numFmtId="201" fontId="13" fillId="4" borderId="0" xfId="0" applyNumberFormat="1" applyFont="1" applyFill="1" applyBorder="1" applyAlignment="1">
      <x:alignment horizontal="center" vertical="center"/>
    </x:xf>
    <x:xf numFmtId="0" fontId="13" fillId="4" borderId="0" xfId="0" applyNumberFormat="1" applyFont="1" applyFill="1" applyBorder="1" applyAlignment="1">
      <x:alignment horizontal="center" vertical="center"/>
    </x:xf>
    <x:xf numFmtId="203" fontId="13" fillId="4" borderId="0" xfId="0" applyNumberFormat="1" applyFont="1" applyFill="1" applyBorder="1" applyAlignment="1">
      <x:alignment horizontal="center" vertical="center"/>
    </x:xf>
    <x:xf numFmtId="203" fontId="13" fillId="2" borderId="0" xfId="0" applyNumberFormat="1" applyFont="1" applyFill="1" applyBorder="1" applyAlignment="1">
      <x:alignment horizontal="center" vertical="center"/>
    </x:xf>
    <x:xf numFmtId="205" fontId="13" fillId="2" borderId="0" xfId="0" applyNumberFormat="1" applyFont="1" applyFill="1" applyBorder="1" applyAlignment="1">
      <x:alignment horizontal="center" vertical="center"/>
    </x:xf>
    <x:xf numFmtId="0" fontId="19" fillId="0" borderId="0" xfId="0" applyNumberFormat="1" applyFont="1" applyFill="1" applyBorder="1" applyAlignment="1">
      <x:alignment horizontal="center"/>
    </x:xf>
    <x:xf numFmtId="0" fontId="20" fillId="2" borderId="0" xfId="0" applyNumberFormat="1" applyFont="1" applyFill="1" applyBorder="1" applyAlignment="1">
      <x:alignment horizontal="center" vertical="center"/>
    </x:xf>
    <x:xf numFmtId="200" fontId="13" fillId="2" borderId="0" xfId="0" applyNumberFormat="1" applyFont="1" applyFill="1" applyBorder="1" applyAlignment="1">
      <x:alignment horizontal="center" vertical="center"/>
    </x:xf>
    <x:xf numFmtId="204" fontId="13" fillId="4" borderId="0" xfId="0" applyNumberFormat="1" applyFont="1" applyFill="1" applyBorder="1" applyAlignment="1">
      <x:alignment horizontal="center" vertical="center"/>
    </x:xf>
    <x:xf numFmtId="0" fontId="21" fillId="2" borderId="0" xfId="0" applyNumberFormat="1" applyFont="1" applyFill="1" applyBorder="1" applyAlignment="1">
      <x:alignment horizontal="center" vertical="center"/>
    </x:xf>
    <x:xf numFmtId="0" fontId="17" fillId="3" borderId="0" xfId="0" applyNumberFormat="1" applyFont="1" applyFill="1" applyBorder="1" applyAlignment="1">
      <x:alignment horizontal="center" vertical="center" wrapText="1"/>
    </x:xf>
    <x:xf numFmtId="0" fontId="22" fillId="2" borderId="0" xfId="0" applyNumberFormat="1" applyFont="1" applyFill="1" applyBorder="1" applyAlignment="1">
      <x:alignment horizontal="center" vertical="center"/>
    </x:xf>
    <x:xf numFmtId="0" fontId="17" fillId="8" borderId="0" xfId="0" applyNumberFormat="1" applyFont="1" applyFill="1" applyBorder="1" applyAlignment="1">
      <x:alignment horizontal="center" vertical="center" wrapText="1"/>
    </x:xf>
    <x:xf numFmtId="0" fontId="23" fillId="2" borderId="0" xfId="0" applyNumberFormat="1" applyFont="1" applyFill="1" applyBorder="1" applyAlignment="1">
      <x:alignment horizontal="center" vertical="center"/>
    </x:xf>
    <x:xf numFmtId="0" fontId="17" fillId="5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horizontal="center"/>
    </x:xf>
    <x:xf numFmtId="0" fontId="13" fillId="4" borderId="0" xfId="0" applyNumberFormat="1" applyFont="1" applyFill="1" applyBorder="1" applyAlignment="1">
      <x:alignment horizontal="center"/>
    </x:xf>
    <x:xf numFmtId="200" fontId="13" fillId="4" borderId="0" xfId="0" applyNumberFormat="1" applyFont="1" applyFill="1" applyBorder="1" applyAlignment="1">
      <x:alignment horizontal="center" vertical="center"/>
    </x:xf>
    <x:xf numFmtId="0" fontId="17" fillId="1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FF9B3526"/>
      </x:font>
      <x:fill>
        <x:patternFill>
          <x:bgColor rgb="FFFCE4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628b846cc545f9" /><Relationship Type="http://schemas.openxmlformats.org/officeDocument/2006/relationships/theme" Target="/xl/theme/theme1.xml" Id="R1f039c3dc21945a7" /><Relationship Type="http://schemas.openxmlformats.org/officeDocument/2006/relationships/sharedStrings" Target="/xl/sharedStrings.xml" Id="R35ca270002fd4c75" /><Relationship Type="http://schemas.openxmlformats.org/officeDocument/2006/relationships/worksheet" Target="/xl/worksheets/sheet1.xml" Id="R0789d7867fff47ef" /><Relationship Type="http://schemas.openxmlformats.org/officeDocument/2006/relationships/worksheet" Target="/xl/worksheets/sheet2.xml" Id="R048e5ba5c7fa4f0d" /><Relationship Type="http://schemas.openxmlformats.org/officeDocument/2006/relationships/worksheet" Target="/xl/worksheets/sheet3.xml" Id="R2095e2c686b94cf2" /><Relationship Type="http://schemas.openxmlformats.org/officeDocument/2006/relationships/worksheet" Target="/xl/worksheets/sheet4.xml" Id="R653ba048c67d4bdb" /><Relationship Type="http://schemas.openxmlformats.org/officeDocument/2006/relationships/worksheet" Target="/xl/worksheets/sheet5.xml" Id="Ra2fc5eeaa8d14cf5" /><Relationship Type="http://schemas.openxmlformats.org/officeDocument/2006/relationships/worksheet" Target="/xl/worksheets/sheet6.xml" Id="R57ecdb8bf9be4157" /><Relationship Type="http://schemas.openxmlformats.org/officeDocument/2006/relationships/worksheet" Target="/xl/worksheets/sheet7.xml" Id="R268949e620d84a7a" /><Relationship Type="http://schemas.openxmlformats.org/officeDocument/2006/relationships/worksheet" Target="/xl/worksheets/sheet8.xml" Id="Raf83c48369d446b7" /><Relationship Type="http://schemas.openxmlformats.org/officeDocument/2006/relationships/worksheet" Target="/xl/worksheets/sheet9.xml" Id="R575db20c1e7943fc" /><Relationship Type="http://schemas.openxmlformats.org/officeDocument/2006/relationships/worksheet" Target="/xl/worksheets/sheet10.xml" Id="Rad46df8631fe4c7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0b5024fa88d4b7b" /><Relationship Type="http://schemas.openxmlformats.org/officeDocument/2006/relationships/chart" Target="/xl/drawings/charts/chart2.xml" Id="R49c1538d9934475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Noto Serif Bengali"/>
                <a:ea typeface="Noto Serif Bengali"/>
                <a:cs typeface="Noto Serif Bengali"/>
              </a:rPr>
              <a:t>Total income and commission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Noto Serif Bengali"/>
              <a:ea typeface="Noto Serif Bengali"/>
              <a:cs typeface="Noto Serif Bengali"/>
            </a:defRPr>
          </a:pPr>
        </a:p>
      </c:txPr>
    </c:title>
    <c:plotArea>
      <c:pieChart>
        <c:ser>
          <c:idx val="0"/>
          <c:order val="0"/>
          <c:tx>
            <c:v>Taka</c:v>
          </c:tx>
          <c:dPt>
            <c:idx val="0"/>
            <c:spPr>
              <a:solidFill xmlns:a="http://schemas.openxmlformats.org/drawingml/2006/main">
                <a:srgbClr val="40566D"/>
              </a:solidFill>
            </c:spPr>
          </c:dPt>
          <c:dPt>
            <c:idx val="1"/>
            <c:spPr>
              <a:solidFill xmlns:a="http://schemas.openxmlformats.org/drawingml/2006/main">
                <a:srgbClr val="92999F"/>
              </a:solidFill>
            </c:spPr>
          </c:dPt>
          <c:cat>
            <c:strRef>
              <c:f>'Dashboard'!$U$151:$U$152</c:f>
              <c:strCache>
                <c:ptCount val="2"/>
                <c:pt idx="0">
                  <c:v>Total income</c:v>
                </c:pt>
                <c:pt idx="1">
                  <c:v>Total commission</c:v>
                </c:pt>
              </c:strCache>
            </c:strRef>
          </c:cat>
          <c:val>
            <c:numRef>
              <c:f>'Dashboard'!$V$151:$V$152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</c:pie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Noto Serif Bengali"/>
              <a:ea typeface="Noto Serif Bengali"/>
              <a:cs typeface="Noto Serif Bengal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Noto Serif Bengali"/>
                <a:ea typeface="Noto Serif Bengali"/>
                <a:cs typeface="Noto Serif Bengali"/>
              </a:rPr>
              <a:t>Top counters by tickets sold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Noto Serif Bengali"/>
              <a:ea typeface="Noto Serif Bengali"/>
              <a:cs typeface="Noto Serif Bengali"/>
            </a:defRPr>
          </a:pPr>
        </a:p>
      </c:txPr>
    </c:title>
    <c:plotArea>
      <c:pieChart>
        <c:ser>
          <c:idx val="0"/>
          <c:order val="0"/>
          <c:tx>
            <c:v>Tickets</c:v>
          </c:tx>
          <c:dPt>
            <c:idx val="0"/>
            <c:spPr>
              <a:solidFill xmlns:a="http://schemas.openxmlformats.org/drawingml/2006/main">
                <a:srgbClr val="40566D"/>
              </a:solidFill>
            </c:spPr>
          </c:dPt>
          <c:dPt>
            <c:idx val="1"/>
            <c:spPr>
              <a:solidFill xmlns:a="http://schemas.openxmlformats.org/drawingml/2006/main">
                <a:srgbClr val="60758A"/>
              </a:solidFill>
            </c:spPr>
          </c:dPt>
          <c:dPt>
            <c:idx val="2"/>
            <c:spPr>
              <a:solidFill xmlns:a="http://schemas.openxmlformats.org/drawingml/2006/main">
                <a:srgbClr val="83909C"/>
              </a:solidFill>
            </c:spPr>
          </c:dPt>
          <c:dPt>
            <c:idx val="3"/>
            <c:spPr>
              <a:solidFill xmlns:a="http://schemas.openxmlformats.org/drawingml/2006/main">
                <a:srgbClr val="A4ACB3"/>
              </a:solidFill>
            </c:spPr>
          </c:dPt>
          <c:dPt>
            <c:idx val="4"/>
            <c:spPr>
              <a:solidFill xmlns:a="http://schemas.openxmlformats.org/drawingml/2006/main">
                <a:srgbClr val="C1C7CC"/>
              </a:solidFill>
            </c:spPr>
          </c:dPt>
          <c:cat>
            <c:strRef>
              <c:f>'Dashboard'!$Z$151:$Z$155</c:f>
              <c:strCache>
                <c:ptCount val="5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>Other counters</c:v>
                </c:pt>
              </c:strCache>
            </c:strRef>
          </c:cat>
          <c:val>
            <c:numRef>
              <c:f>'Dashboard'!$AA$151:$AA$155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</c:pie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Noto Serif Bengali"/>
              <a:ea typeface="Noto Serif Bengali"/>
              <a:cs typeface="Noto Serif Bengal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9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b5024fa88d4b7b"/>
        </a:graphicData>
      </a:graphic>
    </xdr:graphicFrame>
    <xdr:clientData/>
  </xdr:twoCellAnchor>
  <xdr:twoCellAnchor>
    <xdr:from>
      <xdr:col>10</xdr:col>
      <xdr:colOff>0</xdr:colOff>
      <xdr:row>16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c1538d9934475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Trips" displayName="DataTrips" ref="A5:T105" headerRowCount="1" totalsRowCount="0" totalsRowShown="0">
  <x:tableColumns count="20">
    <x:tableColumn id="1" name="Trip number"/>
    <x:tableColumn id="2" name="Coach number"/>
    <x:tableColumn id="3" name="Departure date / time"/>
    <x:tableColumn id="4" name="Route"/>
    <x:tableColumn id="5" name="Going / return"/>
    <x:tableColumn id="6" name="Bus number"/>
    <x:tableColumn id="7" name="Driver name"/>
    <x:tableColumn id="8" name="Driver phone"/>
    <x:tableColumn id="9" name="Guide name"/>
    <x:tableColumn id="10" name="Guide phone"/>
    <x:tableColumn id="11" name="Conductor name"/>
    <x:tableColumn id="12" name="Conductor phone"/>
    <x:tableColumn id="13" name="Total seats"/>
    <x:tableColumn id="14" name="Sold seats"/>
    <x:tableColumn id="15" name="Total fare"/>
    <x:tableColumn id="16" name="Total commission"/>
    <x:tableColumn id="17" name="Total income"/>
    <x:tableColumn id="18" name="Total deposits"/>
    <x:tableColumn id="19" name="Outstanding"/>
    <x:tableColumn id="20" name="Seat u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Collections" displayName="DataCollections" ref="A5:N505" headerRowCount="1" totalsRowCount="0" totalsRowShown="0">
  <x:tableColumns count="14">
    <x:tableColumn id="1" name="Date"/>
    <x:tableColumn id="2" name="Coach number"/>
    <x:tableColumn id="3" name="Route"/>
    <x:tableColumn id="4" name="Trip number"/>
    <x:tableColumn id="5" name="Counter"/>
    <x:tableColumn id="6" name="Counter type"/>
    <x:tableColumn id="7" name="Tickets sold"/>
    <x:tableColumn id="8" name="Fare / ticket"/>
    <x:tableColumn id="9" name="Commission / ticket"/>
    <x:tableColumn id="10" name="Total fare"/>
    <x:tableColumn id="11" name="Total commission"/>
    <x:tableColumn id="12" name="Total income"/>
    <x:tableColumn id="13" name="Total deposits"/>
    <x:tableColumn id="14" name="Counter outstand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Buses" displayName="DataBuses" ref="A5:D105" headerRowCount="1" totalsRowCount="0" totalsRowShown="0">
  <x:tableColumns count="4">
    <x:tableColumn id="1" name="Bus number"/>
    <x:tableColumn id="2" name="Assigned driver"/>
    <x:tableColumn id="3" name="Seats"/>
    <x:tableColumn id="4" name="Driver phon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Crew" displayName="DataCrew" ref="A5:C105" headerRowCount="1" totalsRowCount="0" totalsRowShown="0">
  <x:tableColumns count="3">
    <x:tableColumn id="1" name="Name"/>
    <x:tableColumn id="2" name="Job"/>
    <x:tableColumn id="3" name="Phone numb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Counters" displayName="DataCounters" ref="A5:B105" headerRowCount="1" totalsRowCount="0" totalsRowShown="0">
  <x:tableColumns count="2">
    <x:tableColumn id="1" name="Counter name"/>
    <x:tableColumn id="2" name="Typ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Routes" displayName="DataRoutes" ref="A5:I205" headerRowCount="1" totalsRowCount="0" totalsRowShown="0">
  <x:tableColumns count="9">
    <x:tableColumn id="1" name="Route"/>
    <x:tableColumn id="2" name="Trips"/>
    <x:tableColumn id="3" name="Total seats"/>
    <x:tableColumn id="4" name="Sold seats"/>
    <x:tableColumn id="5" name="Total fare"/>
    <x:tableColumn id="6" name="Total commission"/>
    <x:tableColumn id="7" name="Total income"/>
    <x:tableColumn id="8" name="Total deposits"/>
    <x:tableColumn id="9" name="Outstan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4c1762fd51f47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6e73c4acd84e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1329ac8cb940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f2738368284a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1b61df0fc845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25a23057de4f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9e3427768b4f0e" /></Relationships>
</file>

<file path=xl/worksheets/sheet1.xml><?xml version="1.0" encoding="utf-8"?>
<x:worksheet xmlns:x="http://schemas.openxmlformats.org/spreadsheetml/2006/main">
  <x:sheetPr>
    <x:tabColor rgb="FF34495E"/>
  </x:sheetPr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</x:cols>
  <x:sheetData>
    <x:row r="1" ht="28" customHeight="1">
      <x:c r="A1" s="89" t="str">
        <x:f>Settings!B8</x:f>
        <x:v>Demo Company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 t="str">
        <x:f>TEXT(Settings!B6,"dd-mm-yyyy")</x:f>
        <x:v>12-10-2026</x:v>
      </x:c>
      <x:c r="L1" s="90"/>
      <x:c r="M1" s="90"/>
      <x:c r="N1" s="90"/>
      <x:c r="O1" s="90"/>
      <x:c r="P1" s="90"/>
      <x:c r="Q1" s="90"/>
      <x:c r="R1" s="90"/>
      <x:c r="S1" s="90"/>
      <x:c r="T1" s="90"/>
      <x:c r="U1" s="90"/>
      <x:c r="V1" s="90"/>
      <x:c r="W1" s="90"/>
      <x:c r="X1" s="90"/>
      <x:c r="Y1" s="90"/>
      <x:c r="Z1" s="90"/>
      <x:c r="AA1" s="90"/>
      <x:c r="AB1" s="90"/>
      <x:c r="AC1" s="90"/>
      <x:c r="AD1" s="90"/>
      <x:c r="AE1" s="90"/>
      <x:c r="AF1" s="90"/>
    </x:row>
    <x:row r="2" ht="28" customHeight="1">
      <x:c r="A2" s="91"/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  <x:c r="M2" s="90"/>
      <x:c r="N2" s="90"/>
      <x:c r="O2" s="90"/>
      <x:c r="P2" s="90"/>
      <x:c r="Q2" s="90"/>
      <x:c r="R2" s="90"/>
      <x:c r="S2" s="90"/>
      <x:c r="T2" s="90"/>
      <x:c r="U2" s="90"/>
      <x:c r="V2" s="90"/>
      <x:c r="W2" s="90"/>
      <x:c r="X2" s="90"/>
      <x:c r="Y2" s="90"/>
      <x:c r="Z2" s="90"/>
      <x:c r="AA2" s="90"/>
      <x:c r="AB2" s="90"/>
      <x:c r="AC2" s="90"/>
      <x:c r="AD2" s="90"/>
      <x:c r="AE2" s="90"/>
      <x:c r="AF2" s="90"/>
    </x:row>
    <x:row r="3" ht="28" customHeight="1">
      <x:c r="A3" s="92" t="str">
        <x:v>Dashboard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  <x:c r="M3" s="90"/>
      <x:c r="N3" s="90"/>
      <x:c r="O3" s="90"/>
      <x:c r="P3" s="90"/>
      <x:c r="Q3" s="90"/>
      <x:c r="R3" s="90"/>
      <x:c r="S3" s="90"/>
      <x:c r="T3" s="90"/>
      <x:c r="U3" s="90"/>
      <x:c r="V3" s="90"/>
      <x:c r="W3" s="90"/>
      <x:c r="X3" s="90"/>
      <x:c r="Y3" s="90"/>
      <x:c r="Z3" s="90"/>
      <x:c r="AA3" s="90"/>
      <x:c r="AB3" s="90"/>
      <x:c r="AC3" s="90"/>
      <x:c r="AD3" s="90"/>
      <x:c r="AE3" s="90"/>
      <x:c r="AF3" s="90"/>
    </x:row>
    <x:row r="4" ht="28" customHeight="1">
      <x:c r="A4" s="90"/>
      <x:c r="B4" s="90"/>
      <x:c r="C4" s="90"/>
      <x:c r="D4" s="90"/>
      <x:c r="E4" s="90"/>
      <x:c r="F4" s="90"/>
      <x:c r="G4" s="90"/>
      <x:c r="H4" s="90"/>
      <x:c r="I4" s="90"/>
      <x:c r="J4" s="90"/>
      <x:c r="K4" s="90"/>
      <x:c r="L4" s="90"/>
      <x:c r="M4" s="90"/>
      <x:c r="N4" s="90"/>
      <x:c r="O4" s="90"/>
      <x:c r="P4" s="90"/>
      <x:c r="Q4" s="90"/>
      <x:c r="R4" s="90"/>
      <x:c r="S4" s="90"/>
      <x:c r="T4" s="90"/>
      <x:c r="U4" s="90"/>
      <x:c r="V4" s="90"/>
      <x:c r="W4" s="90"/>
      <x:c r="X4" s="90"/>
      <x:c r="Y4" s="90"/>
      <x:c r="Z4" s="90"/>
      <x:c r="AA4" s="90"/>
      <x:c r="AB4" s="90"/>
      <x:c r="AC4" s="90"/>
      <x:c r="AD4" s="90"/>
      <x:c r="AE4" s="90"/>
      <x:c r="AF4" s="90"/>
    </x:row>
    <x:row r="5" ht="23" customHeight="1">
      <x:c r="A5" s="93" t="str">
        <x:v>Total trips</x:v>
      </x:c>
      <x:c r="B5" s="93"/>
      <x:c r="C5" s="93"/>
      <x:c r="D5" s="93"/>
      <x:c r="E5" s="93"/>
      <x:c r="F5" s="94" t="n">
        <x:f>COUNT(Trips!A6:A105)</x:f>
        <x:v>0</x:v>
      </x:c>
      <x:c r="G5" s="93"/>
      <x:c r="H5" s="93"/>
      <x:c r="I5" s="90"/>
      <x:c r="J5" s="90"/>
      <x:c r="K5" s="93" t="str">
        <x:v>Total sold seats</x:v>
      </x:c>
      <x:c r="L5" s="93"/>
      <x:c r="M5" s="93"/>
      <x:c r="N5" s="93"/>
      <x:c r="O5" s="93"/>
      <x:c r="P5" s="94" t="n">
        <x:f>SUM(Trips!N6:N105)</x:f>
        <x:v>0</x:v>
      </x:c>
      <x:c r="Q5" s="93"/>
      <x:c r="R5" s="93"/>
      <x:c r="S5" s="90"/>
      <x:c r="T5" s="90"/>
      <x:c r="U5" s="90"/>
      <x:c r="V5" s="90"/>
      <x:c r="W5" s="90"/>
      <x:c r="X5" s="90"/>
      <x:c r="Y5" s="90"/>
      <x:c r="Z5" s="90"/>
      <x:c r="AA5" s="90"/>
      <x:c r="AB5" s="90"/>
      <x:c r="AC5" s="90"/>
      <x:c r="AD5" s="90"/>
      <x:c r="AE5" s="90"/>
      <x:c r="AF5" s="90"/>
    </x:row>
    <x:row r="6" ht="23" customHeight="1">
      <x:c r="A6" s="93"/>
      <x:c r="B6" s="93"/>
      <x:c r="C6" s="93"/>
      <x:c r="D6" s="93"/>
      <x:c r="E6" s="93"/>
      <x:c r="F6" s="93"/>
      <x:c r="G6" s="93"/>
      <x:c r="H6" s="93"/>
      <x:c r="I6" s="90"/>
      <x:c r="J6" s="90"/>
      <x:c r="K6" s="93"/>
      <x:c r="L6" s="93"/>
      <x:c r="M6" s="93"/>
      <x:c r="N6" s="93"/>
      <x:c r="O6" s="93"/>
      <x:c r="P6" s="93"/>
      <x:c r="Q6" s="93"/>
      <x:c r="R6" s="93"/>
      <x:c r="S6" s="90"/>
      <x:c r="T6" s="90"/>
      <x:c r="U6" s="90"/>
      <x:c r="V6" s="90"/>
      <x:c r="W6" s="90"/>
      <x:c r="X6" s="90"/>
      <x:c r="Y6" s="90"/>
      <x:c r="Z6" s="90"/>
      <x:c r="AA6" s="90"/>
      <x:c r="AB6" s="90"/>
      <x:c r="AC6" s="90"/>
      <x:c r="AD6" s="90"/>
      <x:c r="AE6" s="90"/>
      <x:c r="AF6" s="90"/>
    </x:row>
    <x:row r="7" ht="28" customHeight="1">
      <x:c r="A7" s="9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90"/>
      <x:c r="M7" s="90"/>
      <x:c r="N7" s="90"/>
      <x:c r="O7" s="90"/>
      <x:c r="P7" s="90"/>
      <x:c r="Q7" s="90"/>
      <x:c r="R7" s="90"/>
      <x:c r="S7" s="90"/>
      <x:c r="T7" s="90"/>
      <x:c r="U7" s="90"/>
      <x:c r="V7" s="90"/>
      <x:c r="W7" s="90"/>
      <x:c r="X7" s="90"/>
      <x:c r="Y7" s="90"/>
      <x:c r="Z7" s="90"/>
      <x:c r="AA7" s="90"/>
      <x:c r="AB7" s="90"/>
      <x:c r="AC7" s="90"/>
      <x:c r="AD7" s="90"/>
      <x:c r="AE7" s="90"/>
      <x:c r="AF7" s="90"/>
    </x:row>
    <x:row r="8" ht="23" customHeight="1">
      <x:c r="A8" s="93" t="str">
        <x:v>Total fare</x:v>
      </x:c>
      <x:c r="B8" s="93"/>
      <x:c r="C8" s="93"/>
      <x:c r="D8" s="93"/>
      <x:c r="E8" s="93"/>
      <x:c r="F8" s="95" t="n">
        <x:f>SUM(Trips!O6:O105)</x:f>
        <x:v>0</x:v>
      </x:c>
      <x:c r="G8" s="93"/>
      <x:c r="H8" s="93"/>
      <x:c r="I8" s="90"/>
      <x:c r="J8" s="90"/>
      <x:c r="K8" s="93" t="str">
        <x:v>Total income</x:v>
      </x:c>
      <x:c r="L8" s="93"/>
      <x:c r="M8" s="93"/>
      <x:c r="N8" s="93"/>
      <x:c r="O8" s="93"/>
      <x:c r="P8" s="95" t="n">
        <x:f>SUM(Trips!Q6:Q105)</x:f>
        <x:v>0</x:v>
      </x:c>
      <x:c r="Q8" s="93"/>
      <x:c r="R8" s="93"/>
      <x:c r="S8" s="90"/>
      <x:c r="T8" s="90"/>
      <x:c r="U8" s="90"/>
      <x:c r="V8" s="90"/>
      <x:c r="W8" s="90"/>
      <x:c r="X8" s="90"/>
      <x:c r="Y8" s="90"/>
      <x:c r="Z8" s="90"/>
      <x:c r="AA8" s="90"/>
      <x:c r="AB8" s="90"/>
      <x:c r="AC8" s="90"/>
      <x:c r="AD8" s="90"/>
      <x:c r="AE8" s="90"/>
      <x:c r="AF8" s="90"/>
    </x:row>
    <x:row r="9" ht="23" customHeight="1">
      <x:c r="A9" s="93"/>
      <x:c r="B9" s="93"/>
      <x:c r="C9" s="93"/>
      <x:c r="D9" s="93"/>
      <x:c r="E9" s="93"/>
      <x:c r="F9" s="93"/>
      <x:c r="G9" s="93"/>
      <x:c r="H9" s="93"/>
      <x:c r="I9" s="90"/>
      <x:c r="J9" s="90"/>
      <x:c r="K9" s="93"/>
      <x:c r="L9" s="93"/>
      <x:c r="M9" s="93"/>
      <x:c r="N9" s="93"/>
      <x:c r="O9" s="93"/>
      <x:c r="P9" s="93"/>
      <x:c r="Q9" s="93"/>
      <x:c r="R9" s="93"/>
      <x:c r="S9" s="90"/>
      <x:c r="T9" s="90"/>
      <x:c r="U9" s="90"/>
      <x:c r="V9" s="90"/>
      <x:c r="W9" s="90"/>
      <x:c r="X9" s="90"/>
      <x:c r="Y9" s="90"/>
      <x:c r="Z9" s="90"/>
      <x:c r="AA9" s="90"/>
      <x:c r="AB9" s="90"/>
      <x:c r="AC9" s="90"/>
      <x:c r="AD9" s="90"/>
      <x:c r="AE9" s="90"/>
      <x:c r="AF9" s="90"/>
    </x:row>
    <x:row r="10" ht="28" customHeight="1">
      <x:c r="A10" s="90"/>
      <x:c r="B10" s="90"/>
      <x:c r="C10" s="90"/>
      <x:c r="D10" s="90"/>
      <x:c r="E10" s="90"/>
      <x:c r="F10" s="90"/>
      <x:c r="G10" s="90"/>
      <x:c r="H10" s="90"/>
      <x:c r="I10" s="90"/>
      <x:c r="J10" s="90"/>
      <x:c r="K10" s="90"/>
      <x:c r="L10" s="90"/>
      <x:c r="M10" s="90"/>
      <x:c r="N10" s="90"/>
      <x:c r="O10" s="90"/>
      <x:c r="P10" s="90"/>
      <x:c r="Q10" s="90"/>
      <x:c r="R10" s="90"/>
      <x:c r="S10" s="90"/>
      <x:c r="T10" s="90"/>
      <x:c r="U10" s="90"/>
      <x:c r="V10" s="90"/>
      <x:c r="W10" s="90"/>
      <x:c r="X10" s="90"/>
      <x:c r="Y10" s="90"/>
      <x:c r="Z10" s="90"/>
      <x:c r="AA10" s="90"/>
      <x:c r="AB10" s="90"/>
      <x:c r="AC10" s="90"/>
      <x:c r="AD10" s="90"/>
      <x:c r="AE10" s="90"/>
      <x:c r="AF10" s="90"/>
    </x:row>
    <x:row r="11" ht="23" customHeight="1">
      <x:c r="A11" s="93" t="str">
        <x:v>Total commission cost</x:v>
      </x:c>
      <x:c r="B11" s="93"/>
      <x:c r="C11" s="93"/>
      <x:c r="D11" s="93"/>
      <x:c r="E11" s="93"/>
      <x:c r="F11" s="95" t="n">
        <x:f>SUM(Trips!P6:P105)</x:f>
        <x:v>0</x:v>
      </x:c>
      <x:c r="G11" s="93"/>
      <x:c r="H11" s="93"/>
      <x:c r="I11" s="90"/>
      <x:c r="J11" s="90"/>
      <x:c r="K11" s="93" t="str">
        <x:v>Total outstanding</x:v>
      </x:c>
      <x:c r="L11" s="93"/>
      <x:c r="M11" s="93"/>
      <x:c r="N11" s="93"/>
      <x:c r="O11" s="93"/>
      <x:c r="P11" s="95" t="n">
        <x:f>SUM(Trips!S6:S105)</x:f>
        <x:v>0</x:v>
      </x:c>
      <x:c r="Q11" s="93"/>
      <x:c r="R11" s="93"/>
      <x:c r="S11" s="90"/>
      <x:c r="T11" s="90"/>
      <x:c r="U11" s="90"/>
      <x:c r="V11" s="90"/>
      <x:c r="W11" s="90"/>
      <x:c r="X11" s="90"/>
      <x:c r="Y11" s="90"/>
      <x:c r="Z11" s="90"/>
      <x:c r="AA11" s="90"/>
      <x:c r="AB11" s="90"/>
      <x:c r="AC11" s="90"/>
      <x:c r="AD11" s="90"/>
      <x:c r="AE11" s="90"/>
      <x:c r="AF11" s="90"/>
    </x:row>
    <x:row r="12" ht="23" customHeight="1">
      <x:c r="A12" s="93"/>
      <x:c r="B12" s="93"/>
      <x:c r="C12" s="93"/>
      <x:c r="D12" s="93"/>
      <x:c r="E12" s="93"/>
      <x:c r="F12" s="93"/>
      <x:c r="G12" s="93"/>
      <x:c r="H12" s="93"/>
      <x:c r="I12" s="90"/>
      <x:c r="J12" s="90"/>
      <x:c r="K12" s="93"/>
      <x:c r="L12" s="93"/>
      <x:c r="M12" s="93"/>
      <x:c r="N12" s="93"/>
      <x:c r="O12" s="93"/>
      <x:c r="P12" s="93"/>
      <x:c r="Q12" s="93"/>
      <x:c r="R12" s="93"/>
      <x:c r="S12" s="90"/>
      <x:c r="T12" s="90"/>
      <x:c r="U12" s="90"/>
      <x:c r="V12" s="90"/>
      <x:c r="W12" s="90"/>
      <x:c r="X12" s="90"/>
      <x:c r="Y12" s="90"/>
      <x:c r="Z12" s="90"/>
      <x:c r="AA12" s="90"/>
      <x:c r="AB12" s="90"/>
      <x:c r="AC12" s="90"/>
      <x:c r="AD12" s="90"/>
      <x:c r="AE12" s="90"/>
      <x:c r="AF12" s="90"/>
    </x:row>
    <x:row r="13" ht="28" customHeight="1">
      <x:c r="A13" s="90"/>
      <x:c r="B13" s="90"/>
      <x:c r="C13" s="90"/>
      <x:c r="D13" s="90"/>
      <x:c r="E13" s="90"/>
      <x:c r="F13" s="90"/>
      <x:c r="G13" s="90"/>
      <x:c r="H13" s="90"/>
      <x:c r="I13" s="90"/>
      <x:c r="J13" s="90"/>
      <x:c r="K13" s="90"/>
      <x:c r="L13" s="90"/>
      <x:c r="M13" s="90"/>
      <x:c r="N13" s="90"/>
      <x:c r="O13" s="90"/>
      <x:c r="P13" s="90"/>
      <x:c r="Q13" s="90"/>
      <x:c r="R13" s="90"/>
      <x:c r="S13" s="90"/>
      <x:c r="T13" s="90"/>
      <x:c r="U13" s="90"/>
      <x:c r="V13" s="90"/>
      <x:c r="W13" s="90"/>
      <x:c r="X13" s="90"/>
      <x:c r="Y13" s="90"/>
      <x:c r="Z13" s="90"/>
      <x:c r="AA13" s="90"/>
      <x:c r="AB13" s="90"/>
      <x:c r="AC13" s="90"/>
      <x:c r="AD13" s="90"/>
      <x:c r="AE13" s="90"/>
      <x:c r="AF13" s="90"/>
    </x:row>
    <x:row r="14" ht="23" customHeight="1">
      <x:c r="A14" s="93" t="str">
        <x:v>Total deposits</x:v>
      </x:c>
      <x:c r="B14" s="93"/>
      <x:c r="C14" s="93"/>
      <x:c r="D14" s="93"/>
      <x:c r="E14" s="93"/>
      <x:c r="F14" s="95" t="n">
        <x:f>SUM(Trips!R6:R105)</x:f>
        <x:v>0</x:v>
      </x:c>
      <x:c r="G14" s="93"/>
      <x:c r="H14" s="93"/>
      <x:c r="I14" s="90"/>
      <x:c r="J14" s="90"/>
      <x:c r="K14" s="90"/>
      <x:c r="L14" s="90"/>
      <x:c r="M14" s="90"/>
      <x:c r="N14" s="90"/>
      <x:c r="O14" s="90"/>
      <x:c r="P14" s="90"/>
      <x:c r="Q14" s="90"/>
      <x:c r="R14" s="90"/>
      <x:c r="S14" s="90"/>
      <x:c r="T14" s="90"/>
      <x:c r="U14" s="90"/>
      <x:c r="V14" s="90"/>
      <x:c r="W14" s="90"/>
      <x:c r="X14" s="90"/>
      <x:c r="Y14" s="90"/>
      <x:c r="Z14" s="90"/>
      <x:c r="AA14" s="90"/>
      <x:c r="AB14" s="90"/>
      <x:c r="AC14" s="90"/>
      <x:c r="AD14" s="90"/>
      <x:c r="AE14" s="90"/>
      <x:c r="AF14" s="90"/>
    </x:row>
    <x:row r="15" ht="23" customHeight="1">
      <x:c r="A15" s="93"/>
      <x:c r="B15" s="93"/>
      <x:c r="C15" s="93"/>
      <x:c r="D15" s="93"/>
      <x:c r="E15" s="93"/>
      <x:c r="F15" s="93"/>
      <x:c r="G15" s="93"/>
      <x:c r="H15" s="93"/>
      <x:c r="I15" s="90"/>
      <x:c r="J15" s="90"/>
      <x:c r="K15" s="90"/>
      <x:c r="L15" s="90"/>
      <x:c r="M15" s="90"/>
      <x:c r="N15" s="90"/>
      <x:c r="O15" s="90"/>
      <x:c r="P15" s="90"/>
      <x:c r="Q15" s="90"/>
      <x:c r="R15" s="90"/>
      <x:c r="S15" s="90"/>
      <x:c r="T15" s="90"/>
      <x:c r="U15" s="90"/>
      <x:c r="V15" s="90"/>
      <x:c r="W15" s="90"/>
      <x:c r="X15" s="90"/>
      <x:c r="Y15" s="90"/>
      <x:c r="Z15" s="90"/>
      <x:c r="AA15" s="90"/>
      <x:c r="AB15" s="90"/>
      <x:c r="AC15" s="90"/>
      <x:c r="AD15" s="90"/>
      <x:c r="AE15" s="90"/>
      <x:c r="AF15" s="90"/>
    </x:row>
    <x:row r="16" ht="28" customHeight="1">
      <x:c r="A16" s="90"/>
      <x:c r="B16" s="90"/>
      <x:c r="C16" s="90"/>
      <x:c r="D16" s="90"/>
      <x:c r="E16" s="90"/>
      <x:c r="F16" s="90"/>
      <x:c r="G16" s="90"/>
      <x:c r="H16" s="90"/>
      <x:c r="I16" s="90"/>
      <x:c r="J16" s="90"/>
      <x:c r="K16" s="90"/>
      <x:c r="L16" s="90"/>
      <x:c r="M16" s="90"/>
      <x:c r="N16" s="90"/>
      <x:c r="O16" s="90"/>
      <x:c r="P16" s="90"/>
      <x:c r="Q16" s="90"/>
      <x:c r="R16" s="90"/>
      <x:c r="S16" s="90"/>
      <x:c r="T16" s="90"/>
      <x:c r="U16" s="90"/>
      <x:c r="V16" s="90"/>
      <x:c r="W16" s="90"/>
      <x:c r="X16" s="90"/>
      <x:c r="Y16" s="90"/>
      <x:c r="Z16" s="90"/>
      <x:c r="AA16" s="90"/>
      <x:c r="AB16" s="90"/>
      <x:c r="AC16" s="90"/>
      <x:c r="AD16" s="90"/>
      <x:c r="AE16" s="90"/>
      <x:c r="AF16" s="90"/>
    </x:row>
    <x:row r="17" ht="28" customHeight="1">
      <x:c r="A17" s="90"/>
      <x:c r="B17" s="90"/>
      <x:c r="C17" s="90"/>
      <x:c r="D17" s="90"/>
      <x:c r="E17" s="90"/>
      <x:c r="F17" s="90"/>
      <x:c r="G17" s="90"/>
      <x:c r="H17" s="90"/>
      <x:c r="I17" s="90"/>
      <x:c r="J17" s="90"/>
      <x:c r="K17" s="90"/>
      <x:c r="L17" s="90"/>
      <x:c r="M17" s="90"/>
      <x:c r="N17" s="90"/>
      <x:c r="O17" s="90"/>
      <x:c r="P17" s="90"/>
      <x:c r="Q17" s="90"/>
      <x:c r="R17" s="90"/>
      <x:c r="S17" s="90"/>
      <x:c r="T17" s="90"/>
      <x:c r="U17" s="90"/>
      <x:c r="V17" s="90"/>
      <x:c r="W17" s="90"/>
      <x:c r="X17" s="90"/>
      <x:c r="Y17" s="90"/>
      <x:c r="Z17" s="90"/>
      <x:c r="AA17" s="90"/>
      <x:c r="AB17" s="90"/>
      <x:c r="AC17" s="90"/>
      <x:c r="AD17" s="90"/>
      <x:c r="AE17" s="90"/>
      <x:c r="AF17" s="90"/>
    </x:row>
    <x:row r="18" ht="28" customHeight="1">
      <x:c r="A18" s="90"/>
      <x:c r="B18" s="90"/>
      <x:c r="C18" s="90"/>
      <x:c r="D18" s="90"/>
      <x:c r="E18" s="90"/>
      <x:c r="F18" s="90"/>
      <x:c r="G18" s="90"/>
      <x:c r="H18" s="90"/>
      <x:c r="I18" s="90"/>
      <x:c r="J18" s="90"/>
      <x:c r="K18" s="90"/>
      <x:c r="L18" s="90"/>
      <x:c r="M18" s="90"/>
      <x:c r="N18" s="90"/>
      <x:c r="O18" s="90"/>
      <x:c r="P18" s="90"/>
      <x:c r="Q18" s="90"/>
      <x:c r="R18" s="90"/>
      <x:c r="S18" s="90"/>
      <x:c r="T18" s="90"/>
      <x:c r="U18" s="90"/>
      <x:c r="V18" s="90"/>
      <x:c r="W18" s="90"/>
      <x:c r="X18" s="90"/>
      <x:c r="Y18" s="90"/>
      <x:c r="Z18" s="90"/>
      <x:c r="AA18" s="90"/>
      <x:c r="AB18" s="90"/>
      <x:c r="AC18" s="90"/>
      <x:c r="AD18" s="90"/>
      <x:c r="AE18" s="90"/>
      <x:c r="AF18" s="90"/>
    </x:row>
    <x:row r="19" ht="28" customHeight="1">
      <x:c r="A19" s="90"/>
      <x:c r="B19" s="90"/>
      <x:c r="C19" s="90"/>
      <x:c r="D19" s="90"/>
      <x:c r="E19" s="90"/>
      <x:c r="F19" s="90"/>
      <x:c r="G19" s="90"/>
      <x:c r="H19" s="90"/>
      <x:c r="I19" s="90"/>
      <x:c r="J19" s="90"/>
      <x:c r="K19" s="90"/>
      <x:c r="L19" s="90"/>
      <x:c r="M19" s="90"/>
      <x:c r="N19" s="90"/>
      <x:c r="O19" s="90"/>
      <x:c r="P19" s="90"/>
      <x:c r="Q19" s="90"/>
      <x:c r="R19" s="90"/>
      <x:c r="S19" s="90"/>
      <x:c r="T19" s="90"/>
      <x:c r="U19" s="90"/>
      <x:c r="V19" s="90"/>
      <x:c r="W19" s="90"/>
      <x:c r="X19" s="90"/>
      <x:c r="Y19" s="90"/>
      <x:c r="Z19" s="90"/>
      <x:c r="AA19" s="90"/>
      <x:c r="AB19" s="90"/>
      <x:c r="AC19" s="90"/>
      <x:c r="AD19" s="90"/>
      <x:c r="AE19" s="90"/>
      <x:c r="AF19" s="90"/>
    </x:row>
    <x:row r="20" ht="28" customHeight="1">
      <x:c r="A20" s="90"/>
      <x:c r="B20" s="90"/>
      <x:c r="C20" s="90"/>
      <x:c r="D20" s="90"/>
      <x:c r="E20" s="90"/>
      <x:c r="F20" s="90"/>
      <x:c r="G20" s="90"/>
      <x:c r="H20" s="90"/>
      <x:c r="I20" s="90"/>
      <x:c r="J20" s="90"/>
      <x:c r="K20" s="90"/>
      <x:c r="L20" s="90"/>
      <x:c r="M20" s="90"/>
      <x:c r="N20" s="90"/>
      <x:c r="O20" s="90"/>
      <x:c r="P20" s="90"/>
      <x:c r="Q20" s="90"/>
      <x:c r="R20" s="90"/>
      <x:c r="S20" s="90"/>
      <x:c r="T20" s="90"/>
      <x:c r="U20" s="90"/>
      <x:c r="V20" s="90"/>
      <x:c r="W20" s="90"/>
      <x:c r="X20" s="90"/>
      <x:c r="Y20" s="90"/>
      <x:c r="Z20" s="90"/>
      <x:c r="AA20" s="90"/>
      <x:c r="AB20" s="90"/>
      <x:c r="AC20" s="90"/>
      <x:c r="AD20" s="90"/>
      <x:c r="AE20" s="90"/>
      <x:c r="AF20" s="90"/>
    </x:row>
    <x:row r="21" ht="28" customHeight="1">
      <x:c r="A21" s="90"/>
      <x:c r="B21" s="90"/>
      <x:c r="C21" s="90"/>
      <x:c r="D21" s="90"/>
      <x:c r="E21" s="90"/>
      <x:c r="F21" s="90"/>
      <x:c r="G21" s="90"/>
      <x:c r="H21" s="90"/>
      <x:c r="I21" s="90"/>
      <x:c r="J21" s="90"/>
      <x:c r="K21" s="90"/>
      <x:c r="L21" s="90"/>
      <x:c r="M21" s="90"/>
      <x:c r="N21" s="90"/>
      <x:c r="O21" s="90"/>
      <x:c r="P21" s="90"/>
      <x:c r="Q21" s="90"/>
      <x:c r="R21" s="90"/>
      <x:c r="S21" s="90"/>
      <x:c r="T21" s="90"/>
      <x:c r="U21" s="90"/>
      <x:c r="V21" s="90"/>
      <x:c r="W21" s="90"/>
      <x:c r="X21" s="90"/>
      <x:c r="Y21" s="90"/>
      <x:c r="Z21" s="90"/>
      <x:c r="AA21" s="90"/>
      <x:c r="AB21" s="90"/>
      <x:c r="AC21" s="90"/>
      <x:c r="AD21" s="90"/>
      <x:c r="AE21" s="90"/>
      <x:c r="AF21" s="90"/>
    </x:row>
    <x:row r="22" ht="28" customHeight="1">
      <x:c r="A22" s="90"/>
      <x:c r="B22" s="90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  <x:c r="Q22" s="90"/>
      <x:c r="R22" s="90"/>
      <x:c r="S22" s="90"/>
      <x:c r="T22" s="90"/>
      <x:c r="U22" s="90"/>
      <x:c r="V22" s="90"/>
      <x:c r="W22" s="90"/>
      <x:c r="X22" s="90"/>
      <x:c r="Y22" s="90"/>
      <x:c r="Z22" s="90"/>
      <x:c r="AA22" s="90"/>
      <x:c r="AB22" s="90"/>
      <x:c r="AC22" s="90"/>
      <x:c r="AD22" s="90"/>
      <x:c r="AE22" s="90"/>
      <x:c r="AF22" s="90"/>
    </x:row>
    <x:row r="23" ht="28" customHeight="1">
      <x:c r="A23" s="90"/>
      <x:c r="B23" s="90"/>
      <x:c r="C23" s="90"/>
      <x:c r="D23" s="90"/>
      <x:c r="E23" s="90"/>
      <x:c r="F23" s="90"/>
      <x:c r="G23" s="90"/>
      <x:c r="H23" s="90"/>
      <x:c r="I23" s="90"/>
      <x:c r="J23" s="90"/>
      <x:c r="K23" s="90"/>
      <x:c r="L23" s="90"/>
      <x:c r="M23" s="90"/>
      <x:c r="N23" s="90"/>
      <x:c r="O23" s="90"/>
      <x:c r="P23" s="90"/>
      <x:c r="Q23" s="90"/>
      <x:c r="R23" s="90"/>
      <x:c r="S23" s="90"/>
      <x:c r="T23" s="90"/>
      <x:c r="U23" s="90"/>
      <x:c r="V23" s="90"/>
      <x:c r="W23" s="90"/>
      <x:c r="X23" s="90"/>
      <x:c r="Y23" s="90"/>
      <x:c r="Z23" s="90"/>
      <x:c r="AA23" s="90"/>
      <x:c r="AB23" s="90"/>
      <x:c r="AC23" s="90"/>
      <x:c r="AD23" s="90"/>
      <x:c r="AE23" s="90"/>
      <x:c r="AF23" s="90"/>
    </x:row>
    <x:row r="24" ht="28" customHeight="1">
      <x:c r="A24" s="90"/>
      <x:c r="B24" s="90"/>
      <x:c r="C24" s="90"/>
      <x:c r="D24" s="90"/>
      <x:c r="E24" s="90"/>
      <x:c r="F24" s="90"/>
      <x:c r="G24" s="90"/>
      <x:c r="H24" s="90"/>
      <x:c r="I24" s="90"/>
      <x:c r="J24" s="90"/>
      <x:c r="K24" s="90"/>
      <x:c r="L24" s="90"/>
      <x:c r="M24" s="90"/>
      <x:c r="N24" s="90"/>
      <x:c r="O24" s="90"/>
      <x:c r="P24" s="90"/>
      <x:c r="Q24" s="90"/>
      <x:c r="R24" s="90"/>
      <x:c r="S24" s="90"/>
      <x:c r="T24" s="90"/>
      <x:c r="U24" s="90"/>
      <x:c r="V24" s="90"/>
      <x:c r="W24" s="90"/>
      <x:c r="X24" s="90"/>
      <x:c r="Y24" s="90"/>
      <x:c r="Z24" s="90"/>
      <x:c r="AA24" s="90"/>
      <x:c r="AB24" s="90"/>
      <x:c r="AC24" s="90"/>
      <x:c r="AD24" s="90"/>
      <x:c r="AE24" s="90"/>
      <x:c r="AF24" s="90"/>
    </x:row>
    <x:row r="25" ht="28" customHeight="1">
      <x:c r="A25" s="90"/>
      <x:c r="B25" s="90"/>
      <x:c r="C25" s="90"/>
      <x:c r="D25" s="90"/>
      <x:c r="E25" s="90"/>
      <x:c r="F25" s="90"/>
      <x:c r="G25" s="90"/>
      <x:c r="H25" s="90"/>
      <x:c r="I25" s="90"/>
      <x:c r="J25" s="90"/>
      <x:c r="K25" s="90"/>
      <x:c r="L25" s="90"/>
      <x:c r="M25" s="90"/>
      <x:c r="N25" s="90"/>
      <x:c r="O25" s="90"/>
      <x:c r="P25" s="90"/>
      <x:c r="Q25" s="90"/>
      <x:c r="R25" s="90"/>
      <x:c r="S25" s="90"/>
      <x:c r="T25" s="90"/>
      <x:c r="U25" s="90"/>
      <x:c r="V25" s="90"/>
      <x:c r="W25" s="90"/>
      <x:c r="X25" s="90"/>
      <x:c r="Y25" s="90"/>
      <x:c r="Z25" s="90"/>
      <x:c r="AA25" s="90"/>
      <x:c r="AB25" s="90"/>
      <x:c r="AC25" s="90"/>
      <x:c r="AD25" s="90"/>
      <x:c r="AE25" s="90"/>
      <x:c r="AF25" s="90"/>
    </x:row>
    <x:row r="26" ht="28" customHeight="1">
      <x:c r="A26" s="90"/>
      <x:c r="B26" s="90"/>
      <x:c r="C26" s="90"/>
      <x:c r="D26" s="90"/>
      <x:c r="E26" s="90"/>
      <x:c r="F26" s="90"/>
      <x:c r="G26" s="90"/>
      <x:c r="H26" s="90"/>
      <x:c r="I26" s="90"/>
      <x:c r="J26" s="90"/>
      <x:c r="K26" s="90"/>
      <x:c r="L26" s="90"/>
      <x:c r="M26" s="90"/>
      <x:c r="N26" s="90"/>
      <x:c r="O26" s="90"/>
      <x:c r="P26" s="90"/>
      <x:c r="Q26" s="90"/>
      <x:c r="R26" s="90"/>
      <x:c r="S26" s="90"/>
      <x:c r="T26" s="90"/>
      <x:c r="U26" s="90"/>
      <x:c r="V26" s="90"/>
      <x:c r="W26" s="90"/>
      <x:c r="X26" s="90"/>
      <x:c r="Y26" s="90"/>
      <x:c r="Z26" s="90"/>
      <x:c r="AA26" s="90"/>
      <x:c r="AB26" s="90"/>
      <x:c r="AC26" s="90"/>
      <x:c r="AD26" s="90"/>
      <x:c r="AE26" s="90"/>
      <x:c r="AF26" s="90"/>
    </x:row>
    <x:row r="27" ht="28" customHeight="1">
      <x:c r="A27" s="90"/>
      <x:c r="B27" s="90"/>
      <x:c r="C27" s="90"/>
      <x:c r="D27" s="90"/>
      <x:c r="E27" s="90"/>
      <x:c r="F27" s="90"/>
      <x:c r="G27" s="90"/>
      <x:c r="H27" s="90"/>
      <x:c r="I27" s="90"/>
      <x:c r="J27" s="90"/>
      <x:c r="K27" s="90"/>
      <x:c r="L27" s="90"/>
      <x:c r="M27" s="90"/>
      <x:c r="N27" s="90"/>
      <x:c r="O27" s="90"/>
      <x:c r="P27" s="90"/>
      <x:c r="Q27" s="90"/>
      <x:c r="R27" s="90"/>
      <x:c r="S27" s="90"/>
      <x:c r="T27" s="90"/>
      <x:c r="U27" s="90"/>
      <x:c r="V27" s="90"/>
      <x:c r="W27" s="90"/>
      <x:c r="X27" s="90"/>
      <x:c r="Y27" s="90"/>
      <x:c r="Z27" s="90"/>
      <x:c r="AA27" s="90"/>
      <x:c r="AB27" s="90"/>
      <x:c r="AC27" s="90"/>
      <x:c r="AD27" s="90"/>
      <x:c r="AE27" s="90"/>
      <x:c r="AF27" s="90"/>
    </x:row>
    <x:row r="28" ht="28" customHeight="1">
      <x:c r="A28" s="90"/>
      <x:c r="B28" s="90"/>
      <x:c r="C28" s="90"/>
      <x:c r="D28" s="90"/>
      <x:c r="E28" s="90"/>
      <x:c r="F28" s="90"/>
      <x:c r="G28" s="90"/>
      <x:c r="H28" s="90"/>
      <x:c r="I28" s="90"/>
      <x:c r="J28" s="90"/>
      <x:c r="K28" s="90"/>
      <x:c r="L28" s="90"/>
      <x:c r="M28" s="90"/>
      <x:c r="N28" s="90"/>
      <x:c r="O28" s="90"/>
      <x:c r="P28" s="90"/>
      <x:c r="Q28" s="90"/>
      <x:c r="R28" s="90"/>
      <x:c r="S28" s="90"/>
      <x:c r="T28" s="90"/>
      <x:c r="U28" s="90"/>
      <x:c r="V28" s="90"/>
      <x:c r="W28" s="90"/>
      <x:c r="X28" s="90"/>
      <x:c r="Y28" s="90"/>
      <x:c r="Z28" s="90"/>
      <x:c r="AA28" s="90"/>
      <x:c r="AB28" s="90"/>
      <x:c r="AC28" s="90"/>
      <x:c r="AD28" s="90"/>
      <x:c r="AE28" s="90"/>
      <x:c r="AF28" s="90"/>
    </x:row>
    <x:row r="29" ht="28" customHeight="1">
      <x:c r="A29" s="90"/>
      <x:c r="B29" s="90"/>
      <x:c r="C29" s="90"/>
      <x:c r="D29" s="90"/>
      <x:c r="E29" s="90"/>
      <x:c r="F29" s="90"/>
      <x:c r="G29" s="90"/>
      <x:c r="H29" s="90"/>
      <x:c r="I29" s="90"/>
      <x:c r="J29" s="90"/>
      <x:c r="K29" s="90"/>
      <x:c r="L29" s="90"/>
      <x:c r="M29" s="90"/>
      <x:c r="N29" s="90"/>
      <x:c r="O29" s="90"/>
      <x:c r="P29" s="90"/>
      <x:c r="Q29" s="90"/>
      <x:c r="R29" s="90"/>
      <x:c r="S29" s="90"/>
      <x:c r="T29" s="90"/>
      <x:c r="U29" s="90"/>
      <x:c r="V29" s="90"/>
      <x:c r="W29" s="90"/>
      <x:c r="X29" s="90"/>
      <x:c r="Y29" s="90"/>
      <x:c r="Z29" s="90"/>
      <x:c r="AA29" s="90"/>
      <x:c r="AB29" s="90"/>
      <x:c r="AC29" s="90"/>
      <x:c r="AD29" s="90"/>
      <x:c r="AE29" s="90"/>
      <x:c r="AF29" s="90"/>
    </x:row>
    <x:row r="30" ht="28" customHeight="1">
      <x:c r="A30" s="90"/>
      <x:c r="B30" s="90"/>
      <x:c r="C30" s="90"/>
      <x:c r="D30" s="90"/>
      <x:c r="E30" s="90"/>
      <x:c r="F30" s="90"/>
      <x:c r="G30" s="90"/>
      <x:c r="H30" s="90"/>
      <x:c r="I30" s="90"/>
      <x:c r="J30" s="90"/>
      <x:c r="K30" s="90"/>
      <x:c r="L30" s="90"/>
      <x:c r="M30" s="90"/>
      <x:c r="N30" s="90"/>
      <x:c r="O30" s="90"/>
      <x:c r="P30" s="90"/>
      <x:c r="Q30" s="90"/>
      <x:c r="R30" s="90"/>
      <x:c r="S30" s="90"/>
      <x:c r="T30" s="90"/>
      <x:c r="U30" s="90"/>
      <x:c r="V30" s="90"/>
      <x:c r="W30" s="90"/>
      <x:c r="X30" s="90"/>
      <x:c r="Y30" s="90"/>
      <x:c r="Z30" s="90"/>
      <x:c r="AA30" s="90"/>
      <x:c r="AB30" s="90"/>
      <x:c r="AC30" s="90"/>
      <x:c r="AD30" s="90"/>
      <x:c r="AE30" s="90"/>
      <x:c r="AF30" s="90"/>
    </x:row>
    <x:row r="31" ht="28" customHeight="1">
      <x:c r="A31" s="90"/>
      <x:c r="B31" s="90"/>
      <x:c r="C31" s="90"/>
      <x:c r="D31" s="90"/>
      <x:c r="E31" s="90"/>
      <x:c r="F31" s="90"/>
      <x:c r="G31" s="90"/>
      <x:c r="H31" s="90"/>
      <x:c r="I31" s="90"/>
      <x:c r="J31" s="90"/>
      <x:c r="K31" s="90"/>
      <x:c r="L31" s="90"/>
      <x:c r="M31" s="90"/>
      <x:c r="N31" s="90"/>
      <x:c r="O31" s="90"/>
      <x:c r="P31" s="90"/>
      <x:c r="Q31" s="90"/>
      <x:c r="R31" s="90"/>
      <x:c r="S31" s="90"/>
      <x:c r="T31" s="90"/>
      <x:c r="U31" s="90"/>
      <x:c r="V31" s="90"/>
      <x:c r="W31" s="90"/>
      <x:c r="X31" s="90"/>
      <x:c r="Y31" s="90"/>
      <x:c r="Z31" s="90"/>
      <x:c r="AA31" s="90"/>
      <x:c r="AB31" s="90"/>
      <x:c r="AC31" s="90"/>
      <x:c r="AD31" s="90"/>
      <x:c r="AE31" s="90"/>
      <x:c r="AF31" s="90"/>
    </x:row>
    <x:row r="32" ht="28" customHeight="1">
      <x:c r="A32" s="90"/>
      <x:c r="B32" s="90"/>
      <x:c r="C32" s="90"/>
      <x:c r="D32" s="90"/>
      <x:c r="E32" s="90"/>
      <x:c r="F32" s="90"/>
      <x:c r="G32" s="90"/>
      <x:c r="H32" s="90"/>
      <x:c r="I32" s="90"/>
      <x:c r="J32" s="90"/>
      <x:c r="K32" s="90"/>
      <x:c r="L32" s="90"/>
      <x:c r="M32" s="90"/>
      <x:c r="N32" s="90"/>
      <x:c r="O32" s="90"/>
      <x:c r="P32" s="90"/>
      <x:c r="Q32" s="90"/>
      <x:c r="R32" s="90"/>
      <x:c r="S32" s="90"/>
      <x:c r="T32" s="90"/>
      <x:c r="U32" s="90"/>
      <x:c r="V32" s="90"/>
      <x:c r="W32" s="90"/>
      <x:c r="X32" s="90"/>
      <x:c r="Y32" s="90"/>
      <x:c r="Z32" s="90"/>
      <x:c r="AA32" s="90"/>
      <x:c r="AB32" s="90"/>
      <x:c r="AC32" s="90"/>
      <x:c r="AD32" s="90"/>
      <x:c r="AE32" s="90"/>
      <x:c r="AF32" s="90"/>
    </x:row>
    <x:row r="33" ht="28" customHeight="1">
      <x:c r="A33" s="90"/>
      <x:c r="B33" s="90"/>
      <x:c r="C33" s="90"/>
      <x:c r="D33" s="90"/>
      <x:c r="E33" s="90"/>
      <x:c r="F33" s="90"/>
      <x:c r="G33" s="90"/>
      <x:c r="H33" s="90"/>
      <x:c r="I33" s="90"/>
      <x:c r="J33" s="90"/>
      <x:c r="K33" s="90"/>
      <x:c r="L33" s="90"/>
      <x:c r="M33" s="90"/>
      <x:c r="N33" s="90"/>
      <x:c r="O33" s="90"/>
      <x:c r="P33" s="90"/>
      <x:c r="Q33" s="90"/>
      <x:c r="R33" s="90"/>
      <x:c r="S33" s="90"/>
      <x:c r="T33" s="90"/>
      <x:c r="U33" s="90"/>
      <x:c r="V33" s="90"/>
      <x:c r="W33" s="90"/>
      <x:c r="X33" s="90"/>
      <x:c r="Y33" s="90"/>
      <x:c r="Z33" s="90"/>
      <x:c r="AA33" s="90"/>
      <x:c r="AB33" s="90"/>
      <x:c r="AC33" s="90"/>
      <x:c r="AD33" s="90"/>
      <x:c r="AE33" s="90"/>
      <x:c r="AF33" s="90"/>
    </x:row>
    <x:row r="34" ht="28" customHeight="1">
      <x:c r="A34" s="90"/>
      <x:c r="B34" s="90"/>
      <x:c r="C34" s="90"/>
      <x:c r="D34" s="90"/>
      <x:c r="E34" s="90"/>
      <x:c r="F34" s="90"/>
      <x:c r="G34" s="90"/>
      <x:c r="H34" s="90"/>
      <x:c r="I34" s="90"/>
      <x:c r="J34" s="90"/>
      <x:c r="K34" s="90"/>
      <x:c r="L34" s="90"/>
      <x:c r="M34" s="90"/>
      <x:c r="N34" s="90"/>
      <x:c r="O34" s="90"/>
      <x:c r="P34" s="90"/>
      <x:c r="Q34" s="90"/>
      <x:c r="R34" s="90"/>
      <x:c r="S34" s="90"/>
      <x:c r="T34" s="90"/>
      <x:c r="U34" s="90"/>
      <x:c r="V34" s="90"/>
      <x:c r="W34" s="90"/>
      <x:c r="X34" s="90"/>
      <x:c r="Y34" s="90"/>
      <x:c r="Z34" s="90"/>
      <x:c r="AA34" s="90"/>
      <x:c r="AB34" s="90"/>
      <x:c r="AC34" s="90"/>
      <x:c r="AD34" s="90"/>
      <x:c r="AE34" s="90"/>
      <x:c r="AF34" s="90"/>
    </x:row>
    <x:row r="35" ht="40" customHeight="1">
      <x:c r="A35" s="96" t="str">
        <x:v>Counter</x:v>
      </x:c>
      <x:c r="B35" s="96"/>
      <x:c r="C35" s="96"/>
      <x:c r="D35" s="96"/>
      <x:c r="E35" s="96"/>
      <x:c r="F35" s="96" t="str">
        <x:v>Total tickets</x:v>
      </x:c>
      <x:c r="G35" s="96"/>
      <x:c r="H35" s="96" t="str">
        <x:v>Total commission</x:v>
      </x:c>
      <x:c r="I35" s="96"/>
      <x:c r="J35" s="96"/>
      <x:c r="K35" s="96" t="str">
        <x:v>Total income</x:v>
      </x:c>
      <x:c r="L35" s="96"/>
      <x:c r="M35" s="96"/>
      <x:c r="N35" s="96" t="str">
        <x:v>Total deposits</x:v>
      </x:c>
      <x:c r="O35" s="96"/>
      <x:c r="P35" s="96"/>
      <x:c r="Q35" s="96" t="str">
        <x:v>Total outstanding</x:v>
      </x:c>
      <x:c r="R35" s="96"/>
      <x:c r="S35" s="90"/>
      <x:c r="T35" s="90"/>
      <x:c r="U35" s="90"/>
      <x:c r="V35" s="90"/>
      <x:c r="W35" s="90"/>
      <x:c r="X35" s="90"/>
      <x:c r="Y35" s="90"/>
      <x:c r="Z35" s="90"/>
      <x:c r="AA35" s="90"/>
      <x:c r="AB35" s="90"/>
      <x:c r="AC35" s="90"/>
      <x:c r="AD35" s="90"/>
      <x:c r="AE35" s="90"/>
      <x:c r="AF35" s="90"/>
    </x:row>
    <x:row r="36" ht="28" customHeight="1">
      <x:c r="A36" s="90" t="str">
        <x:f>IF(COUNT($W$156:$W$255)&lt;1,"",INDEX($U$156:$U$255,MATCH(1,$W$156:$W$255,0)))</x:f>
      </x:c>
      <x:c r="B36" s="90"/>
      <x:c r="C36" s="90"/>
      <x:c r="D36" s="90"/>
      <x:c r="E36" s="90"/>
      <x:c r="F36" s="97" t="str">
        <x:f>IF(A36="","",SUMIFS(Collections!$G$6:$G$505,Collections!$E$6:$E$505,A36))</x:f>
      </x:c>
      <x:c r="G36" s="90"/>
      <x:c r="H36" s="98" t="str">
        <x:f>IF(A36="","",SUMIFS(Collections!$K$6:$K$505,Collections!$E$6:$E$505,A36))</x:f>
      </x:c>
      <x:c r="I36" s="90"/>
      <x:c r="J36" s="90"/>
      <x:c r="K36" s="98" t="str">
        <x:f>IF(A36="","",SUMIFS(Collections!$L$6:$L$505,Collections!$E$6:$E$505,A36))</x:f>
      </x:c>
      <x:c r="L36" s="90"/>
      <x:c r="M36" s="90"/>
      <x:c r="N36" s="98" t="str">
        <x:f>IF(A36="","",SUMIFS(Collections!$M$6:$M$505,Collections!$E$6:$E$505,A36))</x:f>
      </x:c>
      <x:c r="O36" s="90"/>
      <x:c r="P36" s="90"/>
      <x:c r="Q36" s="98" t="str">
        <x:f>IF(A36="","",SUMIFS(Collections!$N$6:$N$505,Collections!$E$6:$E$505,A36))</x:f>
      </x:c>
      <x:c r="R36" s="90"/>
      <x:c r="S36" s="90"/>
      <x:c r="T36" s="90"/>
      <x:c r="U36" s="90"/>
      <x:c r="V36" s="90"/>
      <x:c r="W36" s="90"/>
      <x:c r="X36" s="90"/>
      <x:c r="Y36" s="90"/>
      <x:c r="Z36" s="90"/>
      <x:c r="AA36" s="90"/>
      <x:c r="AB36" s="90"/>
      <x:c r="AC36" s="90"/>
      <x:c r="AD36" s="90"/>
      <x:c r="AE36" s="90"/>
      <x:c r="AF36" s="90"/>
    </x:row>
    <x:row r="37" ht="28" customHeight="1">
      <x:c r="A37" s="99" t="str">
        <x:f>IF(COUNT($W$156:$W$255)&lt;2,"",INDEX($U$156:$U$255,MATCH(2,$W$156:$W$255,0)))</x:f>
      </x:c>
      <x:c r="B37" s="99"/>
      <x:c r="C37" s="99"/>
      <x:c r="D37" s="99"/>
      <x:c r="E37" s="99"/>
      <x:c r="F37" s="100" t="str">
        <x:f>IF(A37="","",SUMIFS(Collections!$G$6:$G$505,Collections!$E$6:$E$505,A37))</x:f>
      </x:c>
      <x:c r="G37" s="99"/>
      <x:c r="H37" s="101" t="str">
        <x:f>IF(A37="","",SUMIFS(Collections!$K$6:$K$505,Collections!$E$6:$E$505,A37))</x:f>
      </x:c>
      <x:c r="I37" s="99"/>
      <x:c r="J37" s="99"/>
      <x:c r="K37" s="101" t="str">
        <x:f>IF(A37="","",SUMIFS(Collections!$L$6:$L$505,Collections!$E$6:$E$505,A37))</x:f>
      </x:c>
      <x:c r="L37" s="99"/>
      <x:c r="M37" s="99"/>
      <x:c r="N37" s="101" t="str">
        <x:f>IF(A37="","",SUMIFS(Collections!$M$6:$M$505,Collections!$E$6:$E$505,A37))</x:f>
      </x:c>
      <x:c r="O37" s="99"/>
      <x:c r="P37" s="99"/>
      <x:c r="Q37" s="101" t="str">
        <x:f>IF(A37="","",SUMIFS(Collections!$N$6:$N$505,Collections!$E$6:$E$505,A37))</x:f>
      </x:c>
      <x:c r="R37" s="99"/>
      <x:c r="S37" s="90"/>
      <x:c r="T37" s="90"/>
      <x:c r="U37" s="90"/>
      <x:c r="V37" s="90"/>
      <x:c r="W37" s="90"/>
      <x:c r="X37" s="90"/>
      <x:c r="Y37" s="90"/>
      <x:c r="Z37" s="90"/>
      <x:c r="AA37" s="90"/>
      <x:c r="AB37" s="90"/>
      <x:c r="AC37" s="90"/>
      <x:c r="AD37" s="90"/>
      <x:c r="AE37" s="90"/>
      <x:c r="AF37" s="90"/>
    </x:row>
    <x:row r="38" ht="28" customHeight="1">
      <x:c r="A38" s="90" t="str">
        <x:f>IF(COUNT($W$156:$W$255)&lt;3,"",INDEX($U$156:$U$255,MATCH(3,$W$156:$W$255,0)))</x:f>
      </x:c>
      <x:c r="B38" s="90"/>
      <x:c r="C38" s="90"/>
      <x:c r="D38" s="90"/>
      <x:c r="E38" s="90"/>
      <x:c r="F38" s="97" t="str">
        <x:f>IF(A38="","",SUMIFS(Collections!$G$6:$G$505,Collections!$E$6:$E$505,A38))</x:f>
      </x:c>
      <x:c r="G38" s="90"/>
      <x:c r="H38" s="98" t="str">
        <x:f>IF(A38="","",SUMIFS(Collections!$K$6:$K$505,Collections!$E$6:$E$505,A38))</x:f>
      </x:c>
      <x:c r="I38" s="90"/>
      <x:c r="J38" s="90"/>
      <x:c r="K38" s="98" t="str">
        <x:f>IF(A38="","",SUMIFS(Collections!$L$6:$L$505,Collections!$E$6:$E$505,A38))</x:f>
      </x:c>
      <x:c r="L38" s="90"/>
      <x:c r="M38" s="90"/>
      <x:c r="N38" s="98" t="str">
        <x:f>IF(A38="","",SUMIFS(Collections!$M$6:$M$505,Collections!$E$6:$E$505,A38))</x:f>
      </x:c>
      <x:c r="O38" s="90"/>
      <x:c r="P38" s="90"/>
      <x:c r="Q38" s="98" t="str">
        <x:f>IF(A38="","",SUMIFS(Collections!$N$6:$N$505,Collections!$E$6:$E$505,A38))</x:f>
      </x:c>
      <x:c r="R38" s="90"/>
      <x:c r="S38" s="90"/>
      <x:c r="T38" s="90"/>
      <x:c r="U38" s="90"/>
      <x:c r="V38" s="90"/>
      <x:c r="W38" s="90"/>
      <x:c r="X38" s="90"/>
      <x:c r="Y38" s="90"/>
      <x:c r="Z38" s="90"/>
      <x:c r="AA38" s="90"/>
      <x:c r="AB38" s="90"/>
      <x:c r="AC38" s="90"/>
      <x:c r="AD38" s="90"/>
      <x:c r="AE38" s="90"/>
      <x:c r="AF38" s="90"/>
    </x:row>
    <x:row r="39" ht="28" customHeight="1">
      <x:c r="A39" s="99" t="str">
        <x:f>IF(COUNT($W$156:$W$255)&lt;4,"",INDEX($U$156:$U$255,MATCH(4,$W$156:$W$255,0)))</x:f>
      </x:c>
      <x:c r="B39" s="99"/>
      <x:c r="C39" s="99"/>
      <x:c r="D39" s="99"/>
      <x:c r="E39" s="99"/>
      <x:c r="F39" s="100" t="str">
        <x:f>IF(A39="","",SUMIFS(Collections!$G$6:$G$505,Collections!$E$6:$E$505,A39))</x:f>
      </x:c>
      <x:c r="G39" s="99"/>
      <x:c r="H39" s="101" t="str">
        <x:f>IF(A39="","",SUMIFS(Collections!$K$6:$K$505,Collections!$E$6:$E$505,A39))</x:f>
      </x:c>
      <x:c r="I39" s="99"/>
      <x:c r="J39" s="99"/>
      <x:c r="K39" s="101" t="str">
        <x:f>IF(A39="","",SUMIFS(Collections!$L$6:$L$505,Collections!$E$6:$E$505,A39))</x:f>
      </x:c>
      <x:c r="L39" s="99"/>
      <x:c r="M39" s="99"/>
      <x:c r="N39" s="101" t="str">
        <x:f>IF(A39="","",SUMIFS(Collections!$M$6:$M$505,Collections!$E$6:$E$505,A39))</x:f>
      </x:c>
      <x:c r="O39" s="99"/>
      <x:c r="P39" s="99"/>
      <x:c r="Q39" s="101" t="str">
        <x:f>IF(A39="","",SUMIFS(Collections!$N$6:$N$505,Collections!$E$6:$E$505,A39))</x:f>
      </x:c>
      <x:c r="R39" s="99"/>
      <x:c r="S39" s="90"/>
      <x:c r="T39" s="90"/>
      <x:c r="U39" s="90"/>
      <x:c r="V39" s="90"/>
      <x:c r="W39" s="90"/>
      <x:c r="X39" s="90"/>
      <x:c r="Y39" s="90"/>
      <x:c r="Z39" s="90"/>
      <x:c r="AA39" s="90"/>
      <x:c r="AB39" s="90"/>
      <x:c r="AC39" s="90"/>
      <x:c r="AD39" s="90"/>
      <x:c r="AE39" s="90"/>
      <x:c r="AF39" s="90"/>
    </x:row>
    <x:row r="40" ht="28" customHeight="1">
      <x:c r="A40" s="90" t="str">
        <x:f>IF(COUNT($W$156:$W$255)&lt;5,"",INDEX($U$156:$U$255,MATCH(5,$W$156:$W$255,0)))</x:f>
      </x:c>
      <x:c r="B40" s="90"/>
      <x:c r="C40" s="90"/>
      <x:c r="D40" s="90"/>
      <x:c r="E40" s="90"/>
      <x:c r="F40" s="97" t="str">
        <x:f>IF(A40="","",SUMIFS(Collections!$G$6:$G$505,Collections!$E$6:$E$505,A40))</x:f>
      </x:c>
      <x:c r="G40" s="90"/>
      <x:c r="H40" s="98" t="str">
        <x:f>IF(A40="","",SUMIFS(Collections!$K$6:$K$505,Collections!$E$6:$E$505,A40))</x:f>
      </x:c>
      <x:c r="I40" s="90"/>
      <x:c r="J40" s="90"/>
      <x:c r="K40" s="98" t="str">
        <x:f>IF(A40="","",SUMIFS(Collections!$L$6:$L$505,Collections!$E$6:$E$505,A40))</x:f>
      </x:c>
      <x:c r="L40" s="90"/>
      <x:c r="M40" s="90"/>
      <x:c r="N40" s="98" t="str">
        <x:f>IF(A40="","",SUMIFS(Collections!$M$6:$M$505,Collections!$E$6:$E$505,A40))</x:f>
      </x:c>
      <x:c r="O40" s="90"/>
      <x:c r="P40" s="90"/>
      <x:c r="Q40" s="98" t="str">
        <x:f>IF(A40="","",SUMIFS(Collections!$N$6:$N$505,Collections!$E$6:$E$505,A40))</x:f>
      </x:c>
      <x:c r="R40" s="90"/>
      <x:c r="S40" s="90"/>
      <x:c r="T40" s="90"/>
      <x:c r="U40" s="90"/>
      <x:c r="V40" s="90"/>
      <x:c r="W40" s="90"/>
      <x:c r="X40" s="90"/>
      <x:c r="Y40" s="90"/>
      <x:c r="Z40" s="90"/>
      <x:c r="AA40" s="90"/>
      <x:c r="AB40" s="90"/>
      <x:c r="AC40" s="90"/>
      <x:c r="AD40" s="90"/>
      <x:c r="AE40" s="90"/>
      <x:c r="AF40" s="90"/>
    </x:row>
    <x:row r="41" ht="28" customHeight="1">
      <x:c r="A41" s="99" t="str">
        <x:f>IF(COUNT($W$156:$W$255)&lt;6,"",INDEX($U$156:$U$255,MATCH(6,$W$156:$W$255,0)))</x:f>
      </x:c>
      <x:c r="B41" s="99"/>
      <x:c r="C41" s="99"/>
      <x:c r="D41" s="99"/>
      <x:c r="E41" s="99"/>
      <x:c r="F41" s="100" t="str">
        <x:f>IF(A41="","",SUMIFS(Collections!$G$6:$G$505,Collections!$E$6:$E$505,A41))</x:f>
      </x:c>
      <x:c r="G41" s="99"/>
      <x:c r="H41" s="101" t="str">
        <x:f>IF(A41="","",SUMIFS(Collections!$K$6:$K$505,Collections!$E$6:$E$505,A41))</x:f>
      </x:c>
      <x:c r="I41" s="99"/>
      <x:c r="J41" s="99"/>
      <x:c r="K41" s="101" t="str">
        <x:f>IF(A41="","",SUMIFS(Collections!$L$6:$L$505,Collections!$E$6:$E$505,A41))</x:f>
      </x:c>
      <x:c r="L41" s="99"/>
      <x:c r="M41" s="99"/>
      <x:c r="N41" s="101" t="str">
        <x:f>IF(A41="","",SUMIFS(Collections!$M$6:$M$505,Collections!$E$6:$E$505,A41))</x:f>
      </x:c>
      <x:c r="O41" s="99"/>
      <x:c r="P41" s="99"/>
      <x:c r="Q41" s="101" t="str">
        <x:f>IF(A41="","",SUMIFS(Collections!$N$6:$N$505,Collections!$E$6:$E$505,A41))</x:f>
      </x:c>
      <x:c r="R41" s="99"/>
      <x:c r="S41" s="90"/>
      <x:c r="T41" s="90"/>
      <x:c r="U41" s="90"/>
      <x:c r="V41" s="90"/>
      <x:c r="W41" s="90"/>
      <x:c r="X41" s="90"/>
      <x:c r="Y41" s="90"/>
      <x:c r="Z41" s="90"/>
      <x:c r="AA41" s="90"/>
      <x:c r="AB41" s="90"/>
      <x:c r="AC41" s="90"/>
      <x:c r="AD41" s="90"/>
      <x:c r="AE41" s="90"/>
      <x:c r="AF41" s="90"/>
    </x:row>
    <x:row r="42" ht="28" customHeight="1">
      <x:c r="A42" s="90"/>
      <x:c r="B42" s="90"/>
      <x:c r="C42" s="90"/>
      <x:c r="D42" s="90"/>
      <x:c r="E42" s="90"/>
      <x:c r="F42" s="90"/>
      <x:c r="G42" s="90"/>
      <x:c r="H42" s="90"/>
      <x:c r="I42" s="90"/>
      <x:c r="J42" s="90"/>
      <x:c r="K42" s="90"/>
      <x:c r="L42" s="90"/>
      <x:c r="M42" s="90"/>
      <x:c r="N42" s="90"/>
      <x:c r="O42" s="90"/>
      <x:c r="P42" s="90"/>
      <x:c r="Q42" s="90"/>
      <x:c r="R42" s="90"/>
      <x:c r="S42" s="90"/>
      <x:c r="T42" s="90"/>
      <x:c r="U42" s="90"/>
      <x:c r="V42" s="90"/>
      <x:c r="W42" s="90"/>
      <x:c r="X42" s="90"/>
      <x:c r="Y42" s="90"/>
      <x:c r="Z42" s="90"/>
      <x:c r="AA42" s="90"/>
      <x:c r="AB42" s="90"/>
      <x:c r="AC42" s="90"/>
      <x:c r="AD42" s="90"/>
      <x:c r="AE42" s="90"/>
      <x:c r="AF42" s="90"/>
    </x:row>
    <x:row r="43" ht="28" customHeight="1">
      <x:c r="A43" s="90"/>
      <x:c r="B43" s="90"/>
      <x:c r="C43" s="90"/>
      <x:c r="D43" s="90"/>
      <x:c r="E43" s="90"/>
      <x:c r="F43" s="90"/>
      <x:c r="G43" s="90"/>
      <x:c r="H43" s="90"/>
      <x:c r="I43" s="90"/>
      <x:c r="J43" s="90"/>
      <x:c r="K43" s="90"/>
      <x:c r="L43" s="90"/>
      <x:c r="M43" s="90"/>
      <x:c r="N43" s="90"/>
      <x:c r="O43" s="90"/>
      <x:c r="P43" s="90"/>
      <x:c r="Q43" s="90"/>
      <x:c r="R43" s="90"/>
      <x:c r="S43" s="90"/>
      <x:c r="T43" s="90"/>
      <x:c r="U43" s="90"/>
      <x:c r="V43" s="90"/>
      <x:c r="W43" s="90"/>
      <x:c r="X43" s="90"/>
      <x:c r="Y43" s="90"/>
      <x:c r="Z43" s="90"/>
      <x:c r="AA43" s="90"/>
      <x:c r="AB43" s="90"/>
      <x:c r="AC43" s="90"/>
      <x:c r="AD43" s="90"/>
      <x:c r="AE43" s="90"/>
      <x:c r="AF43" s="90"/>
    </x:row>
    <x:row r="44" ht="23" customHeight="1">
      <x:c r="A44" s="102" t="str">
        <x:f>"Dates with data: "&amp;TEXT(Settings!B6,"dd-mm-yyyy")</x:f>
        <x:v>Dates with data: 12-10-2026</x:v>
      </x:c>
      <x:c r="B44" s="102"/>
      <x:c r="C44" s="102"/>
      <x:c r="D44" s="102"/>
      <x:c r="E44" s="102"/>
      <x:c r="F44" s="102"/>
      <x:c r="G44" s="102"/>
      <x:c r="H44" s="102"/>
      <x:c r="I44" s="102"/>
      <x:c r="J44" s="102"/>
      <x:c r="K44" s="102"/>
      <x:c r="L44" s="102"/>
      <x:c r="M44" s="102"/>
      <x:c r="N44" s="102"/>
      <x:c r="O44" s="102"/>
      <x:c r="P44" s="102"/>
      <x:c r="Q44" s="102"/>
      <x:c r="R44" s="102"/>
      <x:c r="S44" s="90"/>
      <x:c r="T44" s="90"/>
      <x:c r="U44" s="90"/>
      <x:c r="V44" s="90"/>
      <x:c r="W44" s="90"/>
      <x:c r="X44" s="90"/>
      <x:c r="Y44" s="90"/>
      <x:c r="Z44" s="90"/>
      <x:c r="AA44" s="90"/>
      <x:c r="AB44" s="90"/>
      <x:c r="AC44" s="90"/>
      <x:c r="AD44" s="90"/>
      <x:c r="AE44" s="90"/>
      <x:c r="AF44" s="90"/>
    </x:row>
    <x:row r="45" ht="23" customHeight="1">
      <x:c r="A45" s="102"/>
      <x:c r="B45" s="102"/>
      <x:c r="C45" s="102"/>
      <x:c r="D45" s="102"/>
      <x:c r="E45" s="102"/>
      <x:c r="F45" s="102"/>
      <x:c r="G45" s="102"/>
      <x:c r="H45" s="102"/>
      <x:c r="I45" s="102"/>
      <x:c r="J45" s="102"/>
      <x:c r="K45" s="102"/>
      <x:c r="L45" s="102"/>
      <x:c r="M45" s="102"/>
      <x:c r="N45" s="102"/>
      <x:c r="O45" s="102"/>
      <x:c r="P45" s="102"/>
      <x:c r="Q45" s="102"/>
      <x:c r="R45" s="102"/>
      <x:c r="S45" s="90"/>
      <x:c r="T45" s="90"/>
      <x:c r="U45" s="90"/>
      <x:c r="V45" s="90"/>
      <x:c r="W45" s="90"/>
      <x:c r="X45" s="90"/>
      <x:c r="Y45" s="90"/>
      <x:c r="Z45" s="90"/>
      <x:c r="AA45" s="90"/>
      <x:c r="AB45" s="90"/>
      <x:c r="AC45" s="90"/>
      <x:c r="AD45" s="90"/>
      <x:c r="AE45" s="90"/>
      <x:c r="AF45" s="90"/>
    </x:row>
    <x:row r="46" ht="23" customHeight="1">
      <x:c r="A46" s="102" t="str">
        <x:v>Missing dates: none for this daily file.</x:v>
      </x:c>
      <x:c r="B46" s="102"/>
      <x:c r="C46" s="102"/>
      <x:c r="D46" s="102"/>
      <x:c r="E46" s="102"/>
      <x:c r="F46" s="102"/>
      <x:c r="G46" s="102"/>
      <x:c r="H46" s="102"/>
      <x:c r="I46" s="102"/>
      <x:c r="J46" s="102"/>
      <x:c r="K46" s="102"/>
      <x:c r="L46" s="102"/>
      <x:c r="M46" s="102"/>
      <x:c r="N46" s="102"/>
      <x:c r="O46" s="102"/>
      <x:c r="P46" s="102"/>
      <x:c r="Q46" s="102"/>
      <x:c r="R46" s="102"/>
      <x:c r="S46" s="90"/>
      <x:c r="T46" s="90"/>
      <x:c r="U46" s="90"/>
      <x:c r="V46" s="90"/>
      <x:c r="W46" s="90"/>
      <x:c r="X46" s="90"/>
      <x:c r="Y46" s="90"/>
      <x:c r="Z46" s="90"/>
      <x:c r="AA46" s="90"/>
      <x:c r="AB46" s="90"/>
      <x:c r="AC46" s="90"/>
      <x:c r="AD46" s="90"/>
      <x:c r="AE46" s="90"/>
      <x:c r="AF46" s="90"/>
    </x:row>
    <x:row r="47" ht="23" customHeight="1">
      <x:c r="A47" s="102"/>
      <x:c r="B47" s="102"/>
      <x:c r="C47" s="102"/>
      <x:c r="D47" s="102"/>
      <x:c r="E47" s="102"/>
      <x:c r="F47" s="102"/>
      <x:c r="G47" s="102"/>
      <x:c r="H47" s="102"/>
      <x:c r="I47" s="102"/>
      <x:c r="J47" s="102"/>
      <x:c r="K47" s="102"/>
      <x:c r="L47" s="102"/>
      <x:c r="M47" s="102"/>
      <x:c r="N47" s="102"/>
      <x:c r="O47" s="102"/>
      <x:c r="P47" s="102"/>
      <x:c r="Q47" s="102"/>
      <x:c r="R47" s="102"/>
      <x:c r="S47" s="90"/>
      <x:c r="T47" s="90"/>
      <x:c r="U47" s="90"/>
      <x:c r="V47" s="90"/>
      <x:c r="W47" s="90"/>
      <x:c r="X47" s="90"/>
      <x:c r="Y47" s="90"/>
      <x:c r="Z47" s="90"/>
      <x:c r="AA47" s="90"/>
      <x:c r="AB47" s="90"/>
      <x:c r="AC47" s="90"/>
      <x:c r="AD47" s="90"/>
      <x:c r="AE47" s="90"/>
      <x:c r="AF47" s="90"/>
    </x:row>
    <x:row r="48" ht="23" customHeight="1">
      <x:c r="A48" s="102" t="str">
        <x:v>Extra deposits are listed below the totals.</x:v>
      </x:c>
      <x:c r="B48" s="102"/>
      <x:c r="C48" s="102"/>
      <x:c r="D48" s="102"/>
      <x:c r="E48" s="102"/>
      <x:c r="F48" s="102"/>
      <x:c r="G48" s="102"/>
      <x:c r="H48" s="102"/>
      <x:c r="I48" s="102"/>
      <x:c r="J48" s="102"/>
      <x:c r="K48" s="102"/>
      <x:c r="L48" s="102"/>
      <x:c r="M48" s="102"/>
      <x:c r="N48" s="102"/>
      <x:c r="O48" s="102"/>
      <x:c r="P48" s="102"/>
      <x:c r="Q48" s="102"/>
      <x:c r="R48" s="102"/>
      <x:c r="S48" s="90"/>
      <x:c r="T48" s="90"/>
      <x:c r="U48" s="90"/>
      <x:c r="V48" s="90"/>
      <x:c r="W48" s="90"/>
      <x:c r="X48" s="90"/>
      <x:c r="Y48" s="90"/>
      <x:c r="Z48" s="90"/>
      <x:c r="AA48" s="90"/>
      <x:c r="AB48" s="90"/>
      <x:c r="AC48" s="90"/>
      <x:c r="AD48" s="90"/>
      <x:c r="AE48" s="90"/>
      <x:c r="AF48" s="90"/>
    </x:row>
    <x:row r="49" ht="23" customHeight="1">
      <x:c r="A49" s="102"/>
      <x:c r="B49" s="102"/>
      <x:c r="C49" s="102"/>
      <x:c r="D49" s="102"/>
      <x:c r="E49" s="102"/>
      <x:c r="F49" s="102"/>
      <x:c r="G49" s="102"/>
      <x:c r="H49" s="102"/>
      <x:c r="I49" s="102"/>
      <x:c r="J49" s="102"/>
      <x:c r="K49" s="102"/>
      <x:c r="L49" s="102"/>
      <x:c r="M49" s="102"/>
      <x:c r="N49" s="102"/>
      <x:c r="O49" s="102"/>
      <x:c r="P49" s="102"/>
      <x:c r="Q49" s="102"/>
      <x:c r="R49" s="102"/>
      <x:c r="S49" s="90"/>
      <x:c r="T49" s="90"/>
      <x:c r="U49" s="90"/>
      <x:c r="V49" s="90"/>
      <x:c r="W49" s="90"/>
      <x:c r="X49" s="90"/>
      <x:c r="Y49" s="90"/>
      <x:c r="Z49" s="90"/>
      <x:c r="AA49" s="90"/>
      <x:c r="AB49" s="90"/>
      <x:c r="AC49" s="90"/>
      <x:c r="AD49" s="90"/>
      <x:c r="AE49" s="90"/>
      <x:c r="AF49" s="90"/>
    </x:row>
    <x:row r="50" ht="23" customHeight="1">
      <x:c r="A50" s="102" t="str">
        <x:f>"Extra deposits: "&amp;TEXT(SUM(Collections!M6:M505)-SUM(Trips!Q6:Q105)+SUM(Trips!S6:S105),"#,##0.00")</x:f>
        <x:v>Extra deposits: 0.00</x:v>
      </x:c>
      <x:c r="B50" s="102"/>
      <x:c r="C50" s="102"/>
      <x:c r="D50" s="102"/>
      <x:c r="E50" s="102"/>
      <x:c r="F50" s="102"/>
      <x:c r="G50" s="102"/>
      <x:c r="H50" s="102"/>
      <x:c r="I50" s="102"/>
      <x:c r="J50" s="102"/>
      <x:c r="K50" s="102"/>
      <x:c r="L50" s="102"/>
      <x:c r="M50" s="102"/>
      <x:c r="N50" s="102"/>
      <x:c r="O50" s="102"/>
      <x:c r="P50" s="102"/>
      <x:c r="Q50" s="102"/>
      <x:c r="R50" s="102"/>
      <x:c r="S50" s="90"/>
      <x:c r="T50" s="90"/>
      <x:c r="U50" s="90"/>
      <x:c r="V50" s="90"/>
      <x:c r="W50" s="90"/>
      <x:c r="X50" s="90"/>
      <x:c r="Y50" s="90"/>
      <x:c r="Z50" s="90"/>
      <x:c r="AA50" s="90"/>
      <x:c r="AB50" s="90"/>
      <x:c r="AC50" s="90"/>
      <x:c r="AD50" s="90"/>
      <x:c r="AE50" s="90"/>
      <x:c r="AF50" s="90"/>
    </x:row>
    <x:row r="51" ht="23" customHeight="1">
      <x:c r="A51" s="102"/>
      <x:c r="B51" s="102"/>
      <x:c r="C51" s="102"/>
      <x:c r="D51" s="102"/>
      <x:c r="E51" s="102"/>
      <x:c r="F51" s="102"/>
      <x:c r="G51" s="102"/>
      <x:c r="H51" s="102"/>
      <x:c r="I51" s="102"/>
      <x:c r="J51" s="102"/>
      <x:c r="K51" s="102"/>
      <x:c r="L51" s="102"/>
      <x:c r="M51" s="102"/>
      <x:c r="N51" s="102"/>
      <x:c r="O51" s="102"/>
      <x:c r="P51" s="102"/>
      <x:c r="Q51" s="102"/>
      <x:c r="R51" s="102"/>
      <x:c r="S51" s="90"/>
      <x:c r="T51" s="90"/>
      <x:c r="U51" s="90"/>
      <x:c r="V51" s="90"/>
      <x:c r="W51" s="90"/>
      <x:c r="X51" s="90"/>
      <x:c r="Y51" s="90"/>
      <x:c r="Z51" s="90"/>
      <x:c r="AA51" s="90"/>
      <x:c r="AB51" s="90"/>
      <x:c r="AC51" s="90"/>
      <x:c r="AD51" s="90"/>
      <x:c r="AE51" s="90"/>
      <x:c r="AF51" s="90"/>
    </x:row>
    <x:row r="52" ht="28" customHeight="1">
      <x:c r="A52" s="90"/>
      <x:c r="B52" s="90"/>
      <x:c r="C52" s="90"/>
      <x:c r="D52" s="90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  <x:c r="R52" s="90"/>
      <x:c r="S52" s="90"/>
      <x:c r="T52" s="90"/>
      <x:c r="U52" s="90"/>
      <x:c r="V52" s="90"/>
      <x:c r="W52" s="90"/>
      <x:c r="X52" s="90"/>
      <x:c r="Y52" s="90"/>
      <x:c r="Z52" s="90"/>
      <x:c r="AA52" s="90"/>
      <x:c r="AB52" s="90"/>
      <x:c r="AC52" s="90"/>
      <x:c r="AD52" s="90"/>
      <x:c r="AE52" s="90"/>
      <x:c r="AF52" s="90"/>
    </x:row>
    <x:row r="53" ht="28" customHeight="1">
      <x:c r="A53" s="90"/>
      <x:c r="B53" s="90"/>
      <x:c r="C53" s="90"/>
      <x:c r="D53" s="90"/>
      <x:c r="E53" s="90"/>
      <x:c r="F53" s="90"/>
      <x:c r="G53" s="90"/>
      <x:c r="H53" s="90"/>
      <x:c r="I53" s="90"/>
      <x:c r="J53" s="90"/>
      <x:c r="K53" s="90"/>
      <x:c r="L53" s="90"/>
      <x:c r="M53" s="90"/>
      <x:c r="N53" s="90"/>
      <x:c r="O53" s="90"/>
      <x:c r="P53" s="90"/>
      <x:c r="Q53" s="90"/>
      <x:c r="R53" s="90"/>
      <x:c r="S53" s="90"/>
      <x:c r="T53" s="90"/>
      <x:c r="U53" s="90"/>
      <x:c r="V53" s="90"/>
      <x:c r="W53" s="90"/>
      <x:c r="X53" s="90"/>
      <x:c r="Y53" s="90"/>
      <x:c r="Z53" s="90"/>
      <x:c r="AA53" s="90"/>
      <x:c r="AB53" s="90"/>
      <x:c r="AC53" s="90"/>
      <x:c r="AD53" s="90"/>
      <x:c r="AE53" s="90"/>
      <x:c r="AF53" s="90"/>
    </x:row>
    <x:row r="54" ht="28" customHeight="1">
      <x:c r="A54" s="90"/>
      <x:c r="B54" s="90"/>
      <x:c r="C54" s="90"/>
      <x:c r="D54" s="90"/>
      <x:c r="E54" s="90"/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  <x:c r="R54" s="90"/>
      <x:c r="S54" s="90"/>
      <x:c r="T54" s="90"/>
      <x:c r="U54" s="90"/>
      <x:c r="V54" s="90"/>
      <x:c r="W54" s="90"/>
      <x:c r="X54" s="90"/>
      <x:c r="Y54" s="90"/>
      <x:c r="Z54" s="90"/>
      <x:c r="AA54" s="90"/>
      <x:c r="AB54" s="90"/>
      <x:c r="AC54" s="90"/>
      <x:c r="AD54" s="90"/>
      <x:c r="AE54" s="90"/>
      <x:c r="AF54" s="90"/>
    </x:row>
    <x:row r="55" ht="28" customHeight="1">
      <x:c r="A55" s="90"/>
      <x:c r="B55" s="90"/>
      <x:c r="C55" s="90"/>
      <x:c r="D55" s="90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  <x:c r="R55" s="90"/>
      <x:c r="S55" s="90"/>
      <x:c r="T55" s="90"/>
      <x:c r="U55" s="90"/>
      <x:c r="V55" s="90"/>
      <x:c r="W55" s="90"/>
      <x:c r="X55" s="90"/>
      <x:c r="Y55" s="90"/>
      <x:c r="Z55" s="90"/>
      <x:c r="AA55" s="90"/>
      <x:c r="AB55" s="90"/>
      <x:c r="AC55" s="90"/>
      <x:c r="AD55" s="90"/>
      <x:c r="AE55" s="90"/>
      <x:c r="AF55" s="90"/>
    </x:row>
    <x:row r="56" ht="28" customHeight="1">
      <x:c r="A56" s="90"/>
      <x:c r="B56" s="90"/>
      <x:c r="C56" s="90"/>
      <x:c r="D56" s="90"/>
      <x:c r="E56" s="90"/>
      <x:c r="F56" s="90"/>
      <x:c r="G56" s="90"/>
      <x:c r="H56" s="90"/>
      <x:c r="I56" s="90"/>
      <x:c r="J56" s="90"/>
      <x:c r="K56" s="90"/>
      <x:c r="L56" s="90"/>
      <x:c r="M56" s="90"/>
      <x:c r="N56" s="90"/>
      <x:c r="O56" s="90"/>
      <x:c r="P56" s="90"/>
      <x:c r="Q56" s="90"/>
      <x:c r="R56" s="90"/>
      <x:c r="S56" s="90"/>
      <x:c r="T56" s="90"/>
      <x:c r="U56" s="90"/>
      <x:c r="V56" s="90"/>
      <x:c r="W56" s="90"/>
      <x:c r="X56" s="90"/>
      <x:c r="Y56" s="90"/>
      <x:c r="Z56" s="90"/>
      <x:c r="AA56" s="90"/>
      <x:c r="AB56" s="90"/>
      <x:c r="AC56" s="90"/>
      <x:c r="AD56" s="90"/>
      <x:c r="AE56" s="90"/>
      <x:c r="AF56" s="90"/>
    </x:row>
    <x:row r="57" ht="28" customHeight="1">
      <x:c r="A57" s="90"/>
      <x:c r="B57" s="90"/>
      <x:c r="C57" s="90"/>
      <x:c r="D57" s="90"/>
      <x:c r="E57" s="90"/>
      <x:c r="F57" s="90"/>
      <x:c r="G57" s="90"/>
      <x:c r="H57" s="90"/>
      <x:c r="I57" s="90"/>
      <x:c r="J57" s="90"/>
      <x:c r="K57" s="90"/>
      <x:c r="L57" s="90"/>
      <x:c r="M57" s="90"/>
      <x:c r="N57" s="90"/>
      <x:c r="O57" s="90"/>
      <x:c r="P57" s="90"/>
      <x:c r="Q57" s="90"/>
      <x:c r="R57" s="90"/>
      <x:c r="S57" s="90"/>
      <x:c r="T57" s="90"/>
      <x:c r="U57" s="90"/>
      <x:c r="V57" s="90"/>
      <x:c r="W57" s="90"/>
      <x:c r="X57" s="90"/>
      <x:c r="Y57" s="90"/>
      <x:c r="Z57" s="90"/>
      <x:c r="AA57" s="90"/>
      <x:c r="AB57" s="90"/>
      <x:c r="AC57" s="90"/>
      <x:c r="AD57" s="90"/>
      <x:c r="AE57" s="90"/>
      <x:c r="AF57" s="90"/>
    </x:row>
    <x:row r="58" ht="28" customHeight="1">
      <x:c r="A58" s="90"/>
      <x:c r="B58" s="90"/>
      <x:c r="C58" s="90"/>
      <x:c r="D58" s="90"/>
      <x:c r="E58" s="90"/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  <x:c r="T58" s="90"/>
      <x:c r="U58" s="90"/>
      <x:c r="V58" s="90"/>
      <x:c r="W58" s="90"/>
      <x:c r="X58" s="90"/>
      <x:c r="Y58" s="90"/>
      <x:c r="Z58" s="90"/>
      <x:c r="AA58" s="90"/>
      <x:c r="AB58" s="90"/>
      <x:c r="AC58" s="90"/>
      <x:c r="AD58" s="90"/>
      <x:c r="AE58" s="90"/>
      <x:c r="AF58" s="90"/>
    </x:row>
    <x:row r="59" ht="28" customHeight="1">
      <x:c r="A59" s="90"/>
      <x:c r="B59" s="90"/>
      <x:c r="C59" s="90"/>
      <x:c r="D59" s="90"/>
      <x:c r="E59" s="90"/>
      <x:c r="F59" s="90"/>
      <x:c r="G59" s="90"/>
      <x:c r="H59" s="90"/>
      <x:c r="I59" s="90"/>
      <x:c r="J59" s="90"/>
      <x:c r="K59" s="90"/>
      <x:c r="L59" s="90"/>
      <x:c r="M59" s="90"/>
      <x:c r="N59" s="90"/>
      <x:c r="O59" s="90"/>
      <x:c r="P59" s="90"/>
      <x:c r="Q59" s="90"/>
      <x:c r="R59" s="90"/>
      <x:c r="S59" s="90"/>
      <x:c r="T59" s="90"/>
      <x:c r="U59" s="90"/>
      <x:c r="V59" s="90"/>
      <x:c r="W59" s="90"/>
      <x:c r="X59" s="90"/>
      <x:c r="Y59" s="90"/>
      <x:c r="Z59" s="90"/>
      <x:c r="AA59" s="90"/>
      <x:c r="AB59" s="90"/>
      <x:c r="AC59" s="90"/>
      <x:c r="AD59" s="90"/>
      <x:c r="AE59" s="90"/>
      <x:c r="AF59" s="90"/>
    </x:row>
    <x:row r="60" ht="28" customHeight="1">
      <x:c r="A60" s="90"/>
      <x:c r="B60" s="90"/>
      <x:c r="C60" s="90"/>
      <x:c r="D60" s="90"/>
      <x:c r="E60" s="90"/>
      <x:c r="F60" s="90"/>
      <x:c r="G60" s="90"/>
      <x:c r="H60" s="90"/>
      <x:c r="I60" s="90"/>
      <x:c r="J60" s="90"/>
      <x:c r="K60" s="90"/>
      <x:c r="L60" s="90"/>
      <x:c r="M60" s="90"/>
      <x:c r="N60" s="90"/>
      <x:c r="O60" s="90"/>
      <x:c r="P60" s="90"/>
      <x:c r="Q60" s="90"/>
      <x:c r="R60" s="90"/>
      <x:c r="S60" s="90"/>
      <x:c r="T60" s="90"/>
      <x:c r="U60" s="90"/>
      <x:c r="V60" s="90"/>
      <x:c r="W60" s="90"/>
      <x:c r="X60" s="90"/>
      <x:c r="Y60" s="90"/>
      <x:c r="Z60" s="90"/>
      <x:c r="AA60" s="90"/>
      <x:c r="AB60" s="90"/>
      <x:c r="AC60" s="90"/>
      <x:c r="AD60" s="90"/>
      <x:c r="AE60" s="90"/>
      <x:c r="AF60" s="90"/>
    </x:row>
    <x:row r="61" ht="28" customHeight="1">
      <x:c r="A61" s="90"/>
      <x:c r="B61" s="90"/>
      <x:c r="C61" s="90"/>
      <x:c r="D61" s="90"/>
      <x:c r="E61" s="90"/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  <x:c r="T61" s="90"/>
      <x:c r="U61" s="90"/>
      <x:c r="V61" s="90"/>
      <x:c r="W61" s="90"/>
      <x:c r="X61" s="90"/>
      <x:c r="Y61" s="90"/>
      <x:c r="Z61" s="90"/>
      <x:c r="AA61" s="90"/>
      <x:c r="AB61" s="90"/>
      <x:c r="AC61" s="90"/>
      <x:c r="AD61" s="90"/>
      <x:c r="AE61" s="90"/>
      <x:c r="AF61" s="90"/>
    </x:row>
    <x:row r="62" ht="28" customHeight="1">
      <x:c r="A62" s="90"/>
      <x:c r="B62" s="90"/>
      <x:c r="C62" s="90"/>
      <x:c r="D62" s="90"/>
      <x:c r="E62" s="90"/>
      <x:c r="F62" s="90"/>
      <x:c r="G62" s="90"/>
      <x:c r="H62" s="90"/>
      <x:c r="I62" s="90"/>
      <x:c r="J62" s="90"/>
      <x:c r="K62" s="90"/>
      <x:c r="L62" s="90"/>
      <x:c r="M62" s="90"/>
      <x:c r="N62" s="90"/>
      <x:c r="O62" s="90"/>
      <x:c r="P62" s="90"/>
      <x:c r="Q62" s="90"/>
      <x:c r="R62" s="90"/>
      <x:c r="S62" s="90"/>
      <x:c r="T62" s="90"/>
      <x:c r="U62" s="90"/>
      <x:c r="V62" s="90"/>
      <x:c r="W62" s="90"/>
      <x:c r="X62" s="90"/>
      <x:c r="Y62" s="90"/>
      <x:c r="Z62" s="90"/>
      <x:c r="AA62" s="90"/>
      <x:c r="AB62" s="90"/>
      <x:c r="AC62" s="90"/>
      <x:c r="AD62" s="90"/>
      <x:c r="AE62" s="90"/>
      <x:c r="AF62" s="90"/>
    </x:row>
    <x:row r="63" ht="28" customHeight="1">
      <x:c r="A63" s="90"/>
      <x:c r="B63" s="90"/>
      <x:c r="C63" s="90"/>
      <x:c r="D63" s="90"/>
      <x:c r="E63" s="90"/>
      <x:c r="F63" s="90"/>
      <x:c r="G63" s="90"/>
      <x:c r="H63" s="90"/>
      <x:c r="I63" s="90"/>
      <x:c r="J63" s="90"/>
      <x:c r="K63" s="90"/>
      <x:c r="L63" s="90"/>
      <x:c r="M63" s="90"/>
      <x:c r="N63" s="90"/>
      <x:c r="O63" s="90"/>
      <x:c r="P63" s="90"/>
      <x:c r="Q63" s="90"/>
      <x:c r="R63" s="90"/>
      <x:c r="S63" s="90"/>
      <x:c r="T63" s="90"/>
      <x:c r="U63" s="90"/>
      <x:c r="V63" s="90"/>
      <x:c r="W63" s="90"/>
      <x:c r="X63" s="90"/>
      <x:c r="Y63" s="90"/>
      <x:c r="Z63" s="90"/>
      <x:c r="AA63" s="90"/>
      <x:c r="AB63" s="90"/>
      <x:c r="AC63" s="90"/>
      <x:c r="AD63" s="90"/>
      <x:c r="AE63" s="90"/>
      <x:c r="AF63" s="90"/>
    </x:row>
    <x:row r="64" ht="28" customHeight="1">
      <x:c r="A64" s="90"/>
      <x:c r="B64" s="90"/>
      <x:c r="C64" s="90"/>
      <x:c r="D64" s="90"/>
      <x:c r="E64" s="90"/>
      <x:c r="F64" s="90"/>
      <x:c r="G64" s="90"/>
      <x:c r="H64" s="90"/>
      <x:c r="I64" s="90"/>
      <x:c r="J64" s="90"/>
      <x:c r="K64" s="90"/>
      <x:c r="L64" s="90"/>
      <x:c r="M64" s="90"/>
      <x:c r="N64" s="90"/>
      <x:c r="O64" s="90"/>
      <x:c r="P64" s="90"/>
      <x:c r="Q64" s="90"/>
      <x:c r="R64" s="90"/>
      <x:c r="S64" s="90"/>
      <x:c r="T64" s="90"/>
      <x:c r="U64" s="90"/>
      <x:c r="V64" s="90"/>
      <x:c r="W64" s="90"/>
      <x:c r="X64" s="90"/>
      <x:c r="Y64" s="90"/>
      <x:c r="Z64" s="90"/>
      <x:c r="AA64" s="90"/>
      <x:c r="AB64" s="90"/>
      <x:c r="AC64" s="90"/>
      <x:c r="AD64" s="90"/>
      <x:c r="AE64" s="90"/>
      <x:c r="AF64" s="90"/>
    </x:row>
    <x:row r="65" ht="28" customHeight="1">
      <x:c r="A65" s="90"/>
      <x:c r="B65" s="90"/>
      <x:c r="C65" s="90"/>
      <x:c r="D65" s="90"/>
      <x:c r="E65" s="90"/>
      <x:c r="F65" s="90"/>
      <x:c r="G65" s="90"/>
      <x:c r="H65" s="90"/>
      <x:c r="I65" s="90"/>
      <x:c r="J65" s="90"/>
      <x:c r="K65" s="90"/>
      <x:c r="L65" s="90"/>
      <x:c r="M65" s="90"/>
      <x:c r="N65" s="90"/>
      <x:c r="O65" s="90"/>
      <x:c r="P65" s="90"/>
      <x:c r="Q65" s="90"/>
      <x:c r="R65" s="90"/>
      <x:c r="S65" s="90"/>
      <x:c r="T65" s="90"/>
      <x:c r="U65" s="90"/>
      <x:c r="V65" s="90"/>
      <x:c r="W65" s="90"/>
      <x:c r="X65" s="90"/>
      <x:c r="Y65" s="90"/>
      <x:c r="Z65" s="90"/>
      <x:c r="AA65" s="90"/>
      <x:c r="AB65" s="90"/>
      <x:c r="AC65" s="90"/>
      <x:c r="AD65" s="90"/>
      <x:c r="AE65" s="90"/>
      <x:c r="AF65" s="90"/>
    </x:row>
    <x:row r="66" ht="28" customHeight="1">
      <x:c r="A66" s="90"/>
      <x:c r="B66" s="90"/>
      <x:c r="C66" s="90"/>
      <x:c r="D66" s="90"/>
      <x:c r="E66" s="90"/>
      <x:c r="F66" s="90"/>
      <x:c r="G66" s="90"/>
      <x:c r="H66" s="90"/>
      <x:c r="I66" s="90"/>
      <x:c r="J66" s="90"/>
      <x:c r="K66" s="90"/>
      <x:c r="L66" s="90"/>
      <x:c r="M66" s="90"/>
      <x:c r="N66" s="90"/>
      <x:c r="O66" s="90"/>
      <x:c r="P66" s="90"/>
      <x:c r="Q66" s="90"/>
      <x:c r="R66" s="90"/>
      <x:c r="S66" s="90"/>
      <x:c r="T66" s="90"/>
      <x:c r="U66" s="90"/>
      <x:c r="V66" s="90"/>
      <x:c r="W66" s="90"/>
      <x:c r="X66" s="90"/>
      <x:c r="Y66" s="90"/>
      <x:c r="Z66" s="90"/>
      <x:c r="AA66" s="90"/>
      <x:c r="AB66" s="90"/>
      <x:c r="AC66" s="90"/>
      <x:c r="AD66" s="90"/>
      <x:c r="AE66" s="90"/>
      <x:c r="AF66" s="90"/>
    </x:row>
    <x:row r="67" ht="28" customHeight="1">
      <x:c r="A67" s="90"/>
      <x:c r="B67" s="90"/>
      <x:c r="C67" s="90"/>
      <x:c r="D67" s="90"/>
      <x:c r="E67" s="90"/>
      <x:c r="F67" s="90"/>
      <x:c r="G67" s="90"/>
      <x:c r="H67" s="90"/>
      <x:c r="I67" s="90"/>
      <x:c r="J67" s="90"/>
      <x:c r="K67" s="90"/>
      <x:c r="L67" s="90"/>
      <x:c r="M67" s="90"/>
      <x:c r="N67" s="90"/>
      <x:c r="O67" s="90"/>
      <x:c r="P67" s="90"/>
      <x:c r="Q67" s="90"/>
      <x:c r="R67" s="90"/>
      <x:c r="S67" s="90"/>
      <x:c r="T67" s="90"/>
      <x:c r="U67" s="90"/>
      <x:c r="V67" s="90"/>
      <x:c r="W67" s="90"/>
      <x:c r="X67" s="90"/>
      <x:c r="Y67" s="90"/>
      <x:c r="Z67" s="90"/>
      <x:c r="AA67" s="90"/>
      <x:c r="AB67" s="90"/>
      <x:c r="AC67" s="90"/>
      <x:c r="AD67" s="90"/>
      <x:c r="AE67" s="90"/>
      <x:c r="AF67" s="90"/>
    </x:row>
    <x:row r="68" ht="28" customHeight="1">
      <x:c r="A68" s="90"/>
      <x:c r="B68" s="90"/>
      <x:c r="C68" s="90"/>
      <x:c r="D68" s="90"/>
      <x:c r="E68" s="90"/>
      <x:c r="F68" s="90"/>
      <x:c r="G68" s="90"/>
      <x:c r="H68" s="90"/>
      <x:c r="I68" s="90"/>
      <x:c r="J68" s="90"/>
      <x:c r="K68" s="90"/>
      <x:c r="L68" s="90"/>
      <x:c r="M68" s="90"/>
      <x:c r="N68" s="90"/>
      <x:c r="O68" s="90"/>
      <x:c r="P68" s="90"/>
      <x:c r="Q68" s="90"/>
      <x:c r="R68" s="90"/>
      <x:c r="S68" s="90"/>
      <x:c r="T68" s="90"/>
      <x:c r="U68" s="90"/>
      <x:c r="V68" s="90"/>
      <x:c r="W68" s="90"/>
      <x:c r="X68" s="90"/>
      <x:c r="Y68" s="90"/>
      <x:c r="Z68" s="90"/>
      <x:c r="AA68" s="90"/>
      <x:c r="AB68" s="90"/>
      <x:c r="AC68" s="90"/>
      <x:c r="AD68" s="90"/>
      <x:c r="AE68" s="90"/>
      <x:c r="AF68" s="90"/>
    </x:row>
    <x:row r="69" ht="28" customHeight="1">
      <x:c r="A69" s="90"/>
      <x:c r="B69" s="90"/>
      <x:c r="C69" s="90"/>
      <x:c r="D69" s="90"/>
      <x:c r="E69" s="90"/>
      <x:c r="F69" s="90"/>
      <x:c r="G69" s="90"/>
      <x:c r="H69" s="90"/>
      <x:c r="I69" s="90"/>
      <x:c r="J69" s="90"/>
      <x:c r="K69" s="90"/>
      <x:c r="L69" s="90"/>
      <x:c r="M69" s="90"/>
      <x:c r="N69" s="90"/>
      <x:c r="O69" s="90"/>
      <x:c r="P69" s="90"/>
      <x:c r="Q69" s="90"/>
      <x:c r="R69" s="90"/>
      <x:c r="S69" s="90"/>
      <x:c r="T69" s="90"/>
      <x:c r="U69" s="90"/>
      <x:c r="V69" s="90"/>
      <x:c r="W69" s="90"/>
      <x:c r="X69" s="90"/>
      <x:c r="Y69" s="90"/>
      <x:c r="Z69" s="90"/>
      <x:c r="AA69" s="90"/>
      <x:c r="AB69" s="90"/>
      <x:c r="AC69" s="90"/>
      <x:c r="AD69" s="90"/>
      <x:c r="AE69" s="90"/>
      <x:c r="AF69" s="90"/>
    </x:row>
    <x:row r="70" ht="28" customHeight="1">
      <x:c r="A70" s="90"/>
      <x:c r="B70" s="90"/>
      <x:c r="C70" s="90"/>
      <x:c r="D70" s="90"/>
      <x:c r="E70" s="90"/>
      <x:c r="F70" s="90"/>
      <x:c r="G70" s="90"/>
      <x:c r="H70" s="90"/>
      <x:c r="I70" s="90"/>
      <x:c r="J70" s="90"/>
      <x:c r="K70" s="90"/>
      <x:c r="L70" s="90"/>
      <x:c r="M70" s="90"/>
      <x:c r="N70" s="90"/>
      <x:c r="O70" s="90"/>
      <x:c r="P70" s="90"/>
      <x:c r="Q70" s="90"/>
      <x:c r="R70" s="90"/>
      <x:c r="S70" s="90"/>
      <x:c r="T70" s="90"/>
      <x:c r="U70" s="90"/>
      <x:c r="V70" s="90"/>
      <x:c r="W70" s="90"/>
      <x:c r="X70" s="90"/>
      <x:c r="Y70" s="90"/>
      <x:c r="Z70" s="90"/>
      <x:c r="AA70" s="90"/>
      <x:c r="AB70" s="90"/>
      <x:c r="AC70" s="90"/>
      <x:c r="AD70" s="90"/>
      <x:c r="AE70" s="90"/>
      <x:c r="AF70" s="90"/>
    </x:row>
    <x:row r="71" ht="28" customHeight="1">
      <x:c r="A71" s="90"/>
      <x:c r="B71" s="90"/>
      <x:c r="C71" s="90"/>
      <x:c r="D71" s="90"/>
      <x:c r="E71" s="90"/>
      <x:c r="F71" s="90"/>
      <x:c r="G71" s="90"/>
      <x:c r="H71" s="90"/>
      <x:c r="I71" s="90"/>
      <x:c r="J71" s="90"/>
      <x:c r="K71" s="90"/>
      <x:c r="L71" s="90"/>
      <x:c r="M71" s="90"/>
      <x:c r="N71" s="90"/>
      <x:c r="O71" s="90"/>
      <x:c r="P71" s="90"/>
      <x:c r="Q71" s="90"/>
      <x:c r="R71" s="90"/>
      <x:c r="S71" s="90"/>
      <x:c r="T71" s="90"/>
      <x:c r="U71" s="90"/>
      <x:c r="V71" s="90"/>
      <x:c r="W71" s="90"/>
      <x:c r="X71" s="90"/>
      <x:c r="Y71" s="90"/>
      <x:c r="Z71" s="90"/>
      <x:c r="AA71" s="90"/>
      <x:c r="AB71" s="90"/>
      <x:c r="AC71" s="90"/>
      <x:c r="AD71" s="90"/>
      <x:c r="AE71" s="90"/>
      <x:c r="AF71" s="90"/>
    </x:row>
    <x:row r="72" ht="28" customHeight="1">
      <x:c r="A72" s="90"/>
      <x:c r="B72" s="90"/>
      <x:c r="C72" s="90"/>
      <x:c r="D72" s="90"/>
      <x:c r="E72" s="90"/>
      <x:c r="F72" s="90"/>
      <x:c r="G72" s="90"/>
      <x:c r="H72" s="90"/>
      <x:c r="I72" s="90"/>
      <x:c r="J72" s="90"/>
      <x:c r="K72" s="90"/>
      <x:c r="L72" s="90"/>
      <x:c r="M72" s="90"/>
      <x:c r="N72" s="90"/>
      <x:c r="O72" s="90"/>
      <x:c r="P72" s="90"/>
      <x:c r="Q72" s="90"/>
      <x:c r="R72" s="90"/>
      <x:c r="S72" s="90"/>
      <x:c r="T72" s="90"/>
      <x:c r="U72" s="90"/>
      <x:c r="V72" s="90"/>
      <x:c r="W72" s="90"/>
      <x:c r="X72" s="90"/>
      <x:c r="Y72" s="90"/>
      <x:c r="Z72" s="90"/>
      <x:c r="AA72" s="90"/>
      <x:c r="AB72" s="90"/>
      <x:c r="AC72" s="90"/>
      <x:c r="AD72" s="90"/>
      <x:c r="AE72" s="90"/>
      <x:c r="AF72" s="90"/>
    </x:row>
    <x:row r="73" ht="28" customHeight="1">
      <x:c r="A73" s="90"/>
      <x:c r="B73" s="90"/>
      <x:c r="C73" s="90"/>
      <x:c r="D73" s="90"/>
      <x:c r="E73" s="90"/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  <x:c r="S73" s="90"/>
      <x:c r="T73" s="90"/>
      <x:c r="U73" s="90"/>
      <x:c r="V73" s="90"/>
      <x:c r="W73" s="90"/>
      <x:c r="X73" s="90"/>
      <x:c r="Y73" s="90"/>
      <x:c r="Z73" s="90"/>
      <x:c r="AA73" s="90"/>
      <x:c r="AB73" s="90"/>
      <x:c r="AC73" s="90"/>
      <x:c r="AD73" s="90"/>
      <x:c r="AE73" s="90"/>
      <x:c r="AF73" s="90"/>
    </x:row>
    <x:row r="74" ht="28" customHeight="1">
      <x:c r="A74" s="90"/>
      <x:c r="B74" s="90"/>
      <x:c r="C74" s="90"/>
      <x:c r="D74" s="90"/>
      <x:c r="E74" s="90"/>
      <x:c r="F74" s="90"/>
      <x:c r="G74" s="90"/>
      <x:c r="H74" s="90"/>
      <x:c r="I74" s="90"/>
      <x:c r="J74" s="90"/>
      <x:c r="K74" s="90"/>
      <x:c r="L74" s="90"/>
      <x:c r="M74" s="90"/>
      <x:c r="N74" s="90"/>
      <x:c r="O74" s="90"/>
      <x:c r="P74" s="90"/>
      <x:c r="Q74" s="90"/>
      <x:c r="R74" s="90"/>
      <x:c r="S74" s="90"/>
      <x:c r="T74" s="90"/>
      <x:c r="U74" s="90"/>
      <x:c r="V74" s="90"/>
      <x:c r="W74" s="90"/>
      <x:c r="X74" s="90"/>
      <x:c r="Y74" s="90"/>
      <x:c r="Z74" s="90"/>
      <x:c r="AA74" s="90"/>
      <x:c r="AB74" s="90"/>
      <x:c r="AC74" s="90"/>
      <x:c r="AD74" s="90"/>
      <x:c r="AE74" s="90"/>
      <x:c r="AF74" s="90"/>
    </x:row>
    <x:row r="75" ht="28" customHeight="1">
      <x:c r="A75" s="90"/>
      <x:c r="B75" s="90"/>
      <x:c r="C75" s="90"/>
      <x:c r="D75" s="90"/>
      <x:c r="E75" s="90"/>
      <x:c r="F75" s="90"/>
      <x:c r="G75" s="90"/>
      <x:c r="H75" s="90"/>
      <x:c r="I75" s="90"/>
      <x:c r="J75" s="90"/>
      <x:c r="K75" s="90"/>
      <x:c r="L75" s="90"/>
      <x:c r="M75" s="90"/>
      <x:c r="N75" s="90"/>
      <x:c r="O75" s="90"/>
      <x:c r="P75" s="90"/>
      <x:c r="Q75" s="90"/>
      <x:c r="R75" s="90"/>
      <x:c r="S75" s="90"/>
      <x:c r="T75" s="90"/>
      <x:c r="U75" s="90"/>
      <x:c r="V75" s="90"/>
      <x:c r="W75" s="90"/>
      <x:c r="X75" s="90"/>
      <x:c r="Y75" s="90"/>
      <x:c r="Z75" s="90"/>
      <x:c r="AA75" s="90"/>
      <x:c r="AB75" s="90"/>
      <x:c r="AC75" s="90"/>
      <x:c r="AD75" s="90"/>
      <x:c r="AE75" s="90"/>
      <x:c r="AF75" s="90"/>
    </x:row>
    <x:row r="76" ht="28" customHeight="1">
      <x:c r="A76" s="90"/>
      <x:c r="B76" s="90"/>
      <x:c r="C76" s="90"/>
      <x:c r="D76" s="90"/>
      <x:c r="E76" s="90"/>
      <x:c r="F76" s="90"/>
      <x:c r="G76" s="90"/>
      <x:c r="H76" s="90"/>
      <x:c r="I76" s="90"/>
      <x:c r="J76" s="90"/>
      <x:c r="K76" s="90"/>
      <x:c r="L76" s="90"/>
      <x:c r="M76" s="90"/>
      <x:c r="N76" s="90"/>
      <x:c r="O76" s="90"/>
      <x:c r="P76" s="90"/>
      <x:c r="Q76" s="90"/>
      <x:c r="R76" s="90"/>
      <x:c r="S76" s="90"/>
      <x:c r="T76" s="90"/>
      <x:c r="U76" s="90"/>
      <x:c r="V76" s="90"/>
      <x:c r="W76" s="90"/>
      <x:c r="X76" s="90"/>
      <x:c r="Y76" s="90"/>
      <x:c r="Z76" s="90"/>
      <x:c r="AA76" s="90"/>
      <x:c r="AB76" s="90"/>
      <x:c r="AC76" s="90"/>
      <x:c r="AD76" s="90"/>
      <x:c r="AE76" s="90"/>
      <x:c r="AF76" s="90"/>
    </x:row>
    <x:row r="77" ht="28" customHeight="1">
      <x:c r="A77" s="90"/>
      <x:c r="B77" s="90"/>
      <x:c r="C77" s="90"/>
      <x:c r="D77" s="90"/>
      <x:c r="E77" s="90"/>
      <x:c r="F77" s="90"/>
      <x:c r="G77" s="90"/>
      <x:c r="H77" s="90"/>
      <x:c r="I77" s="90"/>
      <x:c r="J77" s="90"/>
      <x:c r="K77" s="90"/>
      <x:c r="L77" s="90"/>
      <x:c r="M77" s="90"/>
      <x:c r="N77" s="90"/>
      <x:c r="O77" s="90"/>
      <x:c r="P77" s="90"/>
      <x:c r="Q77" s="90"/>
      <x:c r="R77" s="90"/>
      <x:c r="S77" s="90"/>
      <x:c r="T77" s="90"/>
      <x:c r="U77" s="90"/>
      <x:c r="V77" s="90"/>
      <x:c r="W77" s="90"/>
      <x:c r="X77" s="90"/>
      <x:c r="Y77" s="90"/>
      <x:c r="Z77" s="90"/>
      <x:c r="AA77" s="90"/>
      <x:c r="AB77" s="90"/>
      <x:c r="AC77" s="90"/>
      <x:c r="AD77" s="90"/>
      <x:c r="AE77" s="90"/>
      <x:c r="AF77" s="90"/>
    </x:row>
    <x:row r="78" ht="28" customHeight="1">
      <x:c r="A78" s="90"/>
      <x:c r="B78" s="90"/>
      <x:c r="C78" s="90"/>
      <x:c r="D78" s="90"/>
      <x:c r="E78" s="90"/>
      <x:c r="F78" s="90"/>
      <x:c r="G78" s="90"/>
      <x:c r="H78" s="90"/>
      <x:c r="I78" s="90"/>
      <x:c r="J78" s="90"/>
      <x:c r="K78" s="90"/>
      <x:c r="L78" s="90"/>
      <x:c r="M78" s="90"/>
      <x:c r="N78" s="90"/>
      <x:c r="O78" s="90"/>
      <x:c r="P78" s="90"/>
      <x:c r="Q78" s="90"/>
      <x:c r="R78" s="90"/>
      <x:c r="S78" s="90"/>
      <x:c r="T78" s="90"/>
      <x:c r="U78" s="90"/>
      <x:c r="V78" s="90"/>
      <x:c r="W78" s="90"/>
      <x:c r="X78" s="90"/>
      <x:c r="Y78" s="90"/>
      <x:c r="Z78" s="90"/>
      <x:c r="AA78" s="90"/>
      <x:c r="AB78" s="90"/>
      <x:c r="AC78" s="90"/>
      <x:c r="AD78" s="90"/>
      <x:c r="AE78" s="90"/>
      <x:c r="AF78" s="90"/>
    </x:row>
    <x:row r="79" ht="28" customHeight="1">
      <x:c r="A79" s="90"/>
      <x:c r="B79" s="90"/>
      <x:c r="C79" s="90"/>
      <x:c r="D79" s="90"/>
      <x:c r="E79" s="90"/>
      <x:c r="F79" s="90"/>
      <x:c r="G79" s="90"/>
      <x:c r="H79" s="90"/>
      <x:c r="I79" s="90"/>
      <x:c r="J79" s="90"/>
      <x:c r="K79" s="90"/>
      <x:c r="L79" s="90"/>
      <x:c r="M79" s="90"/>
      <x:c r="N79" s="90"/>
      <x:c r="O79" s="90"/>
      <x:c r="P79" s="90"/>
      <x:c r="Q79" s="90"/>
      <x:c r="R79" s="90"/>
      <x:c r="S79" s="90"/>
      <x:c r="T79" s="90"/>
      <x:c r="U79" s="90"/>
      <x:c r="V79" s="90"/>
      <x:c r="W79" s="90"/>
      <x:c r="X79" s="90"/>
      <x:c r="Y79" s="90"/>
      <x:c r="Z79" s="90"/>
      <x:c r="AA79" s="90"/>
      <x:c r="AB79" s="90"/>
      <x:c r="AC79" s="90"/>
      <x:c r="AD79" s="90"/>
      <x:c r="AE79" s="90"/>
      <x:c r="AF79" s="90"/>
    </x:row>
    <x:row r="80" ht="28" customHeight="1">
      <x:c r="A80" s="90"/>
      <x:c r="B80" s="90"/>
      <x:c r="C80" s="90"/>
      <x:c r="D80" s="90"/>
      <x:c r="E80" s="90"/>
      <x:c r="F80" s="90"/>
      <x:c r="G80" s="90"/>
      <x:c r="H80" s="90"/>
      <x:c r="I80" s="90"/>
      <x:c r="J80" s="90"/>
      <x:c r="K80" s="90"/>
      <x:c r="L80" s="90"/>
      <x:c r="M80" s="90"/>
      <x:c r="N80" s="90"/>
      <x:c r="O80" s="90"/>
      <x:c r="P80" s="90"/>
      <x:c r="Q80" s="90"/>
      <x:c r="R80" s="90"/>
      <x:c r="S80" s="90"/>
      <x:c r="T80" s="90"/>
      <x:c r="U80" s="90"/>
      <x:c r="V80" s="90"/>
      <x:c r="W80" s="90"/>
      <x:c r="X80" s="90"/>
      <x:c r="Y80" s="90"/>
      <x:c r="Z80" s="90"/>
      <x:c r="AA80" s="90"/>
      <x:c r="AB80" s="90"/>
      <x:c r="AC80" s="90"/>
      <x:c r="AD80" s="90"/>
      <x:c r="AE80" s="90"/>
      <x:c r="AF80" s="90"/>
    </x:row>
    <x:row r="81" ht="28" customHeight="1">
      <x:c r="A81" s="90"/>
      <x:c r="B81" s="90"/>
      <x:c r="C81" s="90"/>
      <x:c r="D81" s="90"/>
      <x:c r="E81" s="90"/>
      <x:c r="F81" s="90"/>
      <x:c r="G81" s="90"/>
      <x:c r="H81" s="90"/>
      <x:c r="I81" s="90"/>
      <x:c r="J81" s="90"/>
      <x:c r="K81" s="90"/>
      <x:c r="L81" s="90"/>
      <x:c r="M81" s="90"/>
      <x:c r="N81" s="90"/>
      <x:c r="O81" s="90"/>
      <x:c r="P81" s="90"/>
      <x:c r="Q81" s="90"/>
      <x:c r="R81" s="90"/>
      <x:c r="S81" s="90"/>
      <x:c r="T81" s="90"/>
      <x:c r="U81" s="90"/>
      <x:c r="V81" s="90"/>
      <x:c r="W81" s="90"/>
      <x:c r="X81" s="90"/>
      <x:c r="Y81" s="90"/>
      <x:c r="Z81" s="90"/>
      <x:c r="AA81" s="90"/>
      <x:c r="AB81" s="90"/>
      <x:c r="AC81" s="90"/>
      <x:c r="AD81" s="90"/>
      <x:c r="AE81" s="90"/>
      <x:c r="AF81" s="90"/>
    </x:row>
    <x:row r="82" ht="28" customHeight="1">
      <x:c r="A82" s="90"/>
      <x:c r="B82" s="90"/>
      <x:c r="C82" s="90"/>
      <x:c r="D82" s="90"/>
      <x:c r="E82" s="90"/>
      <x:c r="F82" s="90"/>
      <x:c r="G82" s="90"/>
      <x:c r="H82" s="90"/>
      <x:c r="I82" s="90"/>
      <x:c r="J82" s="90"/>
      <x:c r="K82" s="90"/>
      <x:c r="L82" s="90"/>
      <x:c r="M82" s="90"/>
      <x:c r="N82" s="90"/>
      <x:c r="O82" s="90"/>
      <x:c r="P82" s="90"/>
      <x:c r="Q82" s="90"/>
      <x:c r="R82" s="90"/>
      <x:c r="S82" s="90"/>
      <x:c r="T82" s="90"/>
      <x:c r="U82" s="90"/>
      <x:c r="V82" s="90"/>
      <x:c r="W82" s="90"/>
      <x:c r="X82" s="90"/>
      <x:c r="Y82" s="90"/>
      <x:c r="Z82" s="90"/>
      <x:c r="AA82" s="90"/>
      <x:c r="AB82" s="90"/>
      <x:c r="AC82" s="90"/>
      <x:c r="AD82" s="90"/>
      <x:c r="AE82" s="90"/>
      <x:c r="AF82" s="90"/>
    </x:row>
    <x:row r="83" ht="28" customHeight="1">
      <x:c r="A83" s="90"/>
      <x:c r="B83" s="90"/>
      <x:c r="C83" s="90"/>
      <x:c r="D83" s="90"/>
      <x:c r="E83" s="90"/>
      <x:c r="F83" s="90"/>
      <x:c r="G83" s="90"/>
      <x:c r="H83" s="90"/>
      <x:c r="I83" s="90"/>
      <x:c r="J83" s="90"/>
      <x:c r="K83" s="90"/>
      <x:c r="L83" s="90"/>
      <x:c r="M83" s="90"/>
      <x:c r="N83" s="90"/>
      <x:c r="O83" s="90"/>
      <x:c r="P83" s="90"/>
      <x:c r="Q83" s="90"/>
      <x:c r="R83" s="90"/>
      <x:c r="S83" s="90"/>
      <x:c r="T83" s="90"/>
      <x:c r="U83" s="90"/>
      <x:c r="V83" s="90"/>
      <x:c r="W83" s="90"/>
      <x:c r="X83" s="90"/>
      <x:c r="Y83" s="90"/>
      <x:c r="Z83" s="90"/>
      <x:c r="AA83" s="90"/>
      <x:c r="AB83" s="90"/>
      <x:c r="AC83" s="90"/>
      <x:c r="AD83" s="90"/>
      <x:c r="AE83" s="90"/>
      <x:c r="AF83" s="90"/>
    </x:row>
    <x:row r="84" ht="28" customHeight="1">
      <x:c r="A84" s="90"/>
      <x:c r="B84" s="90"/>
      <x:c r="C84" s="90"/>
      <x:c r="D84" s="90"/>
      <x:c r="E84" s="90"/>
      <x:c r="F84" s="90"/>
      <x:c r="G84" s="90"/>
      <x:c r="H84" s="90"/>
      <x:c r="I84" s="90"/>
      <x:c r="J84" s="90"/>
      <x:c r="K84" s="90"/>
      <x:c r="L84" s="90"/>
      <x:c r="M84" s="90"/>
      <x:c r="N84" s="90"/>
      <x:c r="O84" s="90"/>
      <x:c r="P84" s="90"/>
      <x:c r="Q84" s="90"/>
      <x:c r="R84" s="90"/>
      <x:c r="S84" s="90"/>
      <x:c r="T84" s="90"/>
      <x:c r="U84" s="90"/>
      <x:c r="V84" s="90"/>
      <x:c r="W84" s="90"/>
      <x:c r="X84" s="90"/>
      <x:c r="Y84" s="90"/>
      <x:c r="Z84" s="90"/>
      <x:c r="AA84" s="90"/>
      <x:c r="AB84" s="90"/>
      <x:c r="AC84" s="90"/>
      <x:c r="AD84" s="90"/>
      <x:c r="AE84" s="90"/>
      <x:c r="AF84" s="90"/>
    </x:row>
    <x:row r="85" ht="28" customHeight="1">
      <x:c r="A85" s="90"/>
      <x:c r="B85" s="90"/>
      <x:c r="C85" s="90"/>
      <x:c r="D85" s="90"/>
      <x:c r="E85" s="90"/>
      <x:c r="F85" s="90"/>
      <x:c r="G85" s="90"/>
      <x:c r="H85" s="90"/>
      <x:c r="I85" s="90"/>
      <x:c r="J85" s="90"/>
      <x:c r="K85" s="90"/>
      <x:c r="L85" s="90"/>
      <x:c r="M85" s="90"/>
      <x:c r="N85" s="90"/>
      <x:c r="O85" s="90"/>
      <x:c r="P85" s="90"/>
      <x:c r="Q85" s="90"/>
      <x:c r="R85" s="90"/>
      <x:c r="S85" s="90"/>
      <x:c r="T85" s="90"/>
      <x:c r="U85" s="90"/>
      <x:c r="V85" s="90"/>
      <x:c r="W85" s="90"/>
      <x:c r="X85" s="90"/>
      <x:c r="Y85" s="90"/>
      <x:c r="Z85" s="90"/>
      <x:c r="AA85" s="90"/>
      <x:c r="AB85" s="90"/>
      <x:c r="AC85" s="90"/>
      <x:c r="AD85" s="90"/>
      <x:c r="AE85" s="90"/>
      <x:c r="AF85" s="90"/>
    </x:row>
    <x:row r="86" ht="28" customHeight="1">
      <x:c r="A86" s="90"/>
      <x:c r="B86" s="90"/>
      <x:c r="C86" s="90"/>
      <x:c r="D86" s="90"/>
      <x:c r="E86" s="90"/>
      <x:c r="F86" s="90"/>
      <x:c r="G86" s="90"/>
      <x:c r="H86" s="90"/>
      <x:c r="I86" s="90"/>
      <x:c r="J86" s="90"/>
      <x:c r="K86" s="90"/>
      <x:c r="L86" s="90"/>
      <x:c r="M86" s="90"/>
      <x:c r="N86" s="90"/>
      <x:c r="O86" s="90"/>
      <x:c r="P86" s="90"/>
      <x:c r="Q86" s="90"/>
      <x:c r="R86" s="90"/>
      <x:c r="S86" s="90"/>
      <x:c r="T86" s="90"/>
      <x:c r="U86" s="90"/>
      <x:c r="V86" s="90"/>
      <x:c r="W86" s="90"/>
      <x:c r="X86" s="90"/>
      <x:c r="Y86" s="90"/>
      <x:c r="Z86" s="90"/>
      <x:c r="AA86" s="90"/>
      <x:c r="AB86" s="90"/>
      <x:c r="AC86" s="90"/>
      <x:c r="AD86" s="90"/>
      <x:c r="AE86" s="90"/>
      <x:c r="AF86" s="90"/>
    </x:row>
    <x:row r="87" ht="28" customHeight="1">
      <x:c r="A87" s="90"/>
      <x:c r="B87" s="90"/>
      <x:c r="C87" s="90"/>
      <x:c r="D87" s="90"/>
      <x:c r="E87" s="90"/>
      <x:c r="F87" s="90"/>
      <x:c r="G87" s="90"/>
      <x:c r="H87" s="90"/>
      <x:c r="I87" s="90"/>
      <x:c r="J87" s="90"/>
      <x:c r="K87" s="90"/>
      <x:c r="L87" s="90"/>
      <x:c r="M87" s="90"/>
      <x:c r="N87" s="90"/>
      <x:c r="O87" s="90"/>
      <x:c r="P87" s="90"/>
      <x:c r="Q87" s="90"/>
      <x:c r="R87" s="90"/>
      <x:c r="S87" s="90"/>
      <x:c r="T87" s="90"/>
      <x:c r="U87" s="90"/>
      <x:c r="V87" s="90"/>
      <x:c r="W87" s="90"/>
      <x:c r="X87" s="90"/>
      <x:c r="Y87" s="90"/>
      <x:c r="Z87" s="90"/>
      <x:c r="AA87" s="90"/>
      <x:c r="AB87" s="90"/>
      <x:c r="AC87" s="90"/>
      <x:c r="AD87" s="90"/>
      <x:c r="AE87" s="90"/>
      <x:c r="AF87" s="90"/>
    </x:row>
    <x:row r="88" ht="28" customHeight="1">
      <x:c r="A88" s="90"/>
      <x:c r="B88" s="90"/>
      <x:c r="C88" s="90"/>
      <x:c r="D88" s="90"/>
      <x:c r="E88" s="90"/>
      <x:c r="F88" s="90"/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  <x:c r="S88" s="90"/>
      <x:c r="T88" s="90"/>
      <x:c r="U88" s="90"/>
      <x:c r="V88" s="90"/>
      <x:c r="W88" s="90"/>
      <x:c r="X88" s="90"/>
      <x:c r="Y88" s="90"/>
      <x:c r="Z88" s="90"/>
      <x:c r="AA88" s="90"/>
      <x:c r="AB88" s="90"/>
      <x:c r="AC88" s="90"/>
      <x:c r="AD88" s="90"/>
      <x:c r="AE88" s="90"/>
      <x:c r="AF88" s="90"/>
    </x:row>
    <x:row r="89" ht="28" customHeight="1">
      <x:c r="A89" s="90"/>
      <x:c r="B89" s="90"/>
      <x:c r="C89" s="90"/>
      <x:c r="D89" s="90"/>
      <x:c r="E89" s="90"/>
      <x:c r="F89" s="90"/>
      <x:c r="G89" s="90"/>
      <x:c r="H89" s="90"/>
      <x:c r="I89" s="90"/>
      <x:c r="J89" s="90"/>
      <x:c r="K89" s="90"/>
      <x:c r="L89" s="90"/>
      <x:c r="M89" s="90"/>
      <x:c r="N89" s="90"/>
      <x:c r="O89" s="90"/>
      <x:c r="P89" s="90"/>
      <x:c r="Q89" s="90"/>
      <x:c r="R89" s="90"/>
      <x:c r="S89" s="90"/>
      <x:c r="T89" s="90"/>
      <x:c r="U89" s="90"/>
      <x:c r="V89" s="90"/>
      <x:c r="W89" s="90"/>
      <x:c r="X89" s="90"/>
      <x:c r="Y89" s="90"/>
      <x:c r="Z89" s="90"/>
      <x:c r="AA89" s="90"/>
      <x:c r="AB89" s="90"/>
      <x:c r="AC89" s="90"/>
      <x:c r="AD89" s="90"/>
      <x:c r="AE89" s="90"/>
      <x:c r="AF89" s="90"/>
    </x:row>
    <x:row r="90" ht="28" customHeight="1">
      <x:c r="A90" s="90"/>
      <x:c r="B90" s="90"/>
      <x:c r="C90" s="90"/>
      <x:c r="D90" s="90"/>
      <x:c r="E90" s="90"/>
      <x:c r="F90" s="90"/>
      <x:c r="G90" s="90"/>
      <x:c r="H90" s="90"/>
      <x:c r="I90" s="90"/>
      <x:c r="J90" s="90"/>
      <x:c r="K90" s="90"/>
      <x:c r="L90" s="90"/>
      <x:c r="M90" s="90"/>
      <x:c r="N90" s="90"/>
      <x:c r="O90" s="90"/>
      <x:c r="P90" s="90"/>
      <x:c r="Q90" s="90"/>
      <x:c r="R90" s="90"/>
      <x:c r="S90" s="90"/>
      <x:c r="T90" s="90"/>
      <x:c r="U90" s="90"/>
      <x:c r="V90" s="90"/>
      <x:c r="W90" s="90"/>
      <x:c r="X90" s="90"/>
      <x:c r="Y90" s="90"/>
      <x:c r="Z90" s="90"/>
      <x:c r="AA90" s="90"/>
      <x:c r="AB90" s="90"/>
      <x:c r="AC90" s="90"/>
      <x:c r="AD90" s="90"/>
      <x:c r="AE90" s="90"/>
      <x:c r="AF90" s="90"/>
    </x:row>
    <x:row r="91" ht="28" customHeight="1">
      <x:c r="A91" s="90"/>
      <x:c r="B91" s="90"/>
      <x:c r="C91" s="90"/>
      <x:c r="D91" s="90"/>
      <x:c r="E91" s="90"/>
      <x:c r="F91" s="90"/>
      <x:c r="G91" s="90"/>
      <x:c r="H91" s="90"/>
      <x:c r="I91" s="90"/>
      <x:c r="J91" s="90"/>
      <x:c r="K91" s="90"/>
      <x:c r="L91" s="90"/>
      <x:c r="M91" s="90"/>
      <x:c r="N91" s="90"/>
      <x:c r="O91" s="90"/>
      <x:c r="P91" s="90"/>
      <x:c r="Q91" s="90"/>
      <x:c r="R91" s="90"/>
      <x:c r="S91" s="90"/>
      <x:c r="T91" s="90"/>
      <x:c r="U91" s="90"/>
      <x:c r="V91" s="90"/>
      <x:c r="W91" s="90"/>
      <x:c r="X91" s="90"/>
      <x:c r="Y91" s="90"/>
      <x:c r="Z91" s="90"/>
      <x:c r="AA91" s="90"/>
      <x:c r="AB91" s="90"/>
      <x:c r="AC91" s="90"/>
      <x:c r="AD91" s="90"/>
      <x:c r="AE91" s="90"/>
      <x:c r="AF91" s="90"/>
    </x:row>
    <x:row r="92" ht="28" customHeight="1">
      <x:c r="A92" s="90"/>
      <x:c r="B92" s="90"/>
      <x:c r="C92" s="90"/>
      <x:c r="D92" s="90"/>
      <x:c r="E92" s="90"/>
      <x:c r="F92" s="90"/>
      <x:c r="G92" s="90"/>
      <x:c r="H92" s="90"/>
      <x:c r="I92" s="90"/>
      <x:c r="J92" s="90"/>
      <x:c r="K92" s="90"/>
      <x:c r="L92" s="90"/>
      <x:c r="M92" s="90"/>
      <x:c r="N92" s="90"/>
      <x:c r="O92" s="90"/>
      <x:c r="P92" s="90"/>
      <x:c r="Q92" s="90"/>
      <x:c r="R92" s="90"/>
      <x:c r="S92" s="90"/>
      <x:c r="T92" s="90"/>
      <x:c r="U92" s="90"/>
      <x:c r="V92" s="90"/>
      <x:c r="W92" s="90"/>
      <x:c r="X92" s="90"/>
      <x:c r="Y92" s="90"/>
      <x:c r="Z92" s="90"/>
      <x:c r="AA92" s="90"/>
      <x:c r="AB92" s="90"/>
      <x:c r="AC92" s="90"/>
      <x:c r="AD92" s="90"/>
      <x:c r="AE92" s="90"/>
      <x:c r="AF92" s="90"/>
    </x:row>
    <x:row r="93" ht="28" customHeight="1">
      <x:c r="A93" s="90"/>
      <x:c r="B93" s="90"/>
      <x:c r="C93" s="90"/>
      <x:c r="D93" s="90"/>
      <x:c r="E93" s="90"/>
      <x:c r="F93" s="90"/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  <x:c r="S93" s="90"/>
      <x:c r="T93" s="90"/>
      <x:c r="U93" s="90"/>
      <x:c r="V93" s="90"/>
      <x:c r="W93" s="90"/>
      <x:c r="X93" s="90"/>
      <x:c r="Y93" s="90"/>
      <x:c r="Z93" s="90"/>
      <x:c r="AA93" s="90"/>
      <x:c r="AB93" s="90"/>
      <x:c r="AC93" s="90"/>
      <x:c r="AD93" s="90"/>
      <x:c r="AE93" s="90"/>
      <x:c r="AF93" s="90"/>
    </x:row>
    <x:row r="94" ht="28" customHeight="1">
      <x:c r="A94" s="90"/>
      <x:c r="B94" s="90"/>
      <x:c r="C94" s="90"/>
      <x:c r="D94" s="90"/>
      <x:c r="E94" s="90"/>
      <x:c r="F94" s="90"/>
      <x:c r="G94" s="90"/>
      <x:c r="H94" s="90"/>
      <x:c r="I94" s="90"/>
      <x:c r="J94" s="90"/>
      <x:c r="K94" s="90"/>
      <x:c r="L94" s="90"/>
      <x:c r="M94" s="90"/>
      <x:c r="N94" s="90"/>
      <x:c r="O94" s="90"/>
      <x:c r="P94" s="90"/>
      <x:c r="Q94" s="90"/>
      <x:c r="R94" s="90"/>
      <x:c r="S94" s="90"/>
      <x:c r="T94" s="90"/>
      <x:c r="U94" s="90"/>
      <x:c r="V94" s="90"/>
      <x:c r="W94" s="90"/>
      <x:c r="X94" s="90"/>
      <x:c r="Y94" s="90"/>
      <x:c r="Z94" s="90"/>
      <x:c r="AA94" s="90"/>
      <x:c r="AB94" s="90"/>
      <x:c r="AC94" s="90"/>
      <x:c r="AD94" s="90"/>
      <x:c r="AE94" s="90"/>
      <x:c r="AF94" s="90"/>
    </x:row>
    <x:row r="95" ht="28" customHeight="1">
      <x:c r="A95" s="90"/>
      <x:c r="B95" s="90"/>
      <x:c r="C95" s="90"/>
      <x:c r="D95" s="90"/>
      <x:c r="E95" s="90"/>
      <x:c r="F95" s="90"/>
      <x:c r="G95" s="90"/>
      <x:c r="H95" s="90"/>
      <x:c r="I95" s="90"/>
      <x:c r="J95" s="90"/>
      <x:c r="K95" s="90"/>
      <x:c r="L95" s="90"/>
      <x:c r="M95" s="90"/>
      <x:c r="N95" s="90"/>
      <x:c r="O95" s="90"/>
      <x:c r="P95" s="90"/>
      <x:c r="Q95" s="90"/>
      <x:c r="R95" s="90"/>
      <x:c r="S95" s="90"/>
      <x:c r="T95" s="90"/>
      <x:c r="U95" s="90"/>
      <x:c r="V95" s="90"/>
      <x:c r="W95" s="90"/>
      <x:c r="X95" s="90"/>
      <x:c r="Y95" s="90"/>
      <x:c r="Z95" s="90"/>
      <x:c r="AA95" s="90"/>
      <x:c r="AB95" s="90"/>
      <x:c r="AC95" s="90"/>
      <x:c r="AD95" s="90"/>
      <x:c r="AE95" s="90"/>
      <x:c r="AF95" s="90"/>
    </x:row>
    <x:row r="96" ht="28" customHeight="1">
      <x:c r="A96" s="90"/>
      <x:c r="B96" s="90"/>
      <x:c r="C96" s="90"/>
      <x:c r="D96" s="90"/>
      <x:c r="E96" s="90"/>
      <x:c r="F96" s="90"/>
      <x:c r="G96" s="90"/>
      <x:c r="H96" s="90"/>
      <x:c r="I96" s="90"/>
      <x:c r="J96" s="90"/>
      <x:c r="K96" s="90"/>
      <x:c r="L96" s="90"/>
      <x:c r="M96" s="90"/>
      <x:c r="N96" s="90"/>
      <x:c r="O96" s="90"/>
      <x:c r="P96" s="90"/>
      <x:c r="Q96" s="90"/>
      <x:c r="R96" s="90"/>
      <x:c r="S96" s="90"/>
      <x:c r="T96" s="90"/>
      <x:c r="U96" s="90"/>
      <x:c r="V96" s="90"/>
      <x:c r="W96" s="90"/>
      <x:c r="X96" s="90"/>
      <x:c r="Y96" s="90"/>
      <x:c r="Z96" s="90"/>
      <x:c r="AA96" s="90"/>
      <x:c r="AB96" s="90"/>
      <x:c r="AC96" s="90"/>
      <x:c r="AD96" s="90"/>
      <x:c r="AE96" s="90"/>
      <x:c r="AF96" s="90"/>
    </x:row>
    <x:row r="97" ht="28" customHeight="1">
      <x:c r="A97" s="90"/>
      <x:c r="B97" s="90"/>
      <x:c r="C97" s="90"/>
      <x:c r="D97" s="90"/>
      <x:c r="E97" s="90"/>
      <x:c r="F97" s="90"/>
      <x:c r="G97" s="90"/>
      <x:c r="H97" s="90"/>
      <x:c r="I97" s="90"/>
      <x:c r="J97" s="90"/>
      <x:c r="K97" s="90"/>
      <x:c r="L97" s="90"/>
      <x:c r="M97" s="90"/>
      <x:c r="N97" s="90"/>
      <x:c r="O97" s="90"/>
      <x:c r="P97" s="90"/>
      <x:c r="Q97" s="90"/>
      <x:c r="R97" s="90"/>
      <x:c r="S97" s="90"/>
      <x:c r="T97" s="90"/>
      <x:c r="U97" s="90"/>
      <x:c r="V97" s="90"/>
      <x:c r="W97" s="90"/>
      <x:c r="X97" s="90"/>
      <x:c r="Y97" s="90"/>
      <x:c r="Z97" s="90"/>
      <x:c r="AA97" s="90"/>
      <x:c r="AB97" s="90"/>
      <x:c r="AC97" s="90"/>
      <x:c r="AD97" s="90"/>
      <x:c r="AE97" s="90"/>
      <x:c r="AF97" s="90"/>
    </x:row>
    <x:row r="98" ht="28" customHeight="1">
      <x:c r="A98" s="90"/>
      <x:c r="B98" s="90"/>
      <x:c r="C98" s="90"/>
      <x:c r="D98" s="90"/>
      <x:c r="E98" s="90"/>
      <x:c r="F98" s="90"/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  <x:c r="S98" s="90"/>
      <x:c r="T98" s="90"/>
      <x:c r="U98" s="90"/>
      <x:c r="V98" s="90"/>
      <x:c r="W98" s="90"/>
      <x:c r="X98" s="90"/>
      <x:c r="Y98" s="90"/>
      <x:c r="Z98" s="90"/>
      <x:c r="AA98" s="90"/>
      <x:c r="AB98" s="90"/>
      <x:c r="AC98" s="90"/>
      <x:c r="AD98" s="90"/>
      <x:c r="AE98" s="90"/>
      <x:c r="AF98" s="90"/>
    </x:row>
    <x:row r="99" ht="28" customHeight="1">
      <x:c r="A99" s="90"/>
      <x:c r="B99" s="90"/>
      <x:c r="C99" s="90"/>
      <x:c r="D99" s="90"/>
      <x:c r="E99" s="90"/>
      <x:c r="F99" s="90"/>
      <x:c r="G99" s="90"/>
      <x:c r="H99" s="90"/>
      <x:c r="I99" s="90"/>
      <x:c r="J99" s="90"/>
      <x:c r="K99" s="90"/>
      <x:c r="L99" s="90"/>
      <x:c r="M99" s="90"/>
      <x:c r="N99" s="90"/>
      <x:c r="O99" s="90"/>
      <x:c r="P99" s="90"/>
      <x:c r="Q99" s="90"/>
      <x:c r="R99" s="90"/>
      <x:c r="S99" s="90"/>
      <x:c r="T99" s="90"/>
      <x:c r="U99" s="90"/>
      <x:c r="V99" s="90"/>
      <x:c r="W99" s="90"/>
      <x:c r="X99" s="90"/>
      <x:c r="Y99" s="90"/>
      <x:c r="Z99" s="90"/>
      <x:c r="AA99" s="90"/>
      <x:c r="AB99" s="90"/>
      <x:c r="AC99" s="90"/>
      <x:c r="AD99" s="90"/>
      <x:c r="AE99" s="90"/>
      <x:c r="AF99" s="90"/>
    </x:row>
    <x:row r="100" ht="28" customHeight="1">
      <x:c r="A100" s="90"/>
      <x:c r="B100" s="90"/>
      <x:c r="C100" s="90"/>
      <x:c r="D100" s="90"/>
      <x:c r="E100" s="90"/>
      <x:c r="F100" s="90"/>
      <x:c r="G100" s="90"/>
      <x:c r="H100" s="90"/>
      <x:c r="I100" s="90"/>
      <x:c r="J100" s="90"/>
      <x:c r="K100" s="90"/>
      <x:c r="L100" s="90"/>
      <x:c r="M100" s="90"/>
      <x:c r="N100" s="90"/>
      <x:c r="O100" s="90"/>
      <x:c r="P100" s="90"/>
      <x:c r="Q100" s="90"/>
      <x:c r="R100" s="90"/>
      <x:c r="S100" s="90"/>
      <x:c r="T100" s="90"/>
      <x:c r="U100" s="90"/>
      <x:c r="V100" s="90"/>
      <x:c r="W100" s="90"/>
      <x:c r="X100" s="90"/>
      <x:c r="Y100" s="90"/>
      <x:c r="Z100" s="90"/>
      <x:c r="AA100" s="90"/>
      <x:c r="AB100" s="90"/>
      <x:c r="AC100" s="90"/>
      <x:c r="AD100" s="90"/>
      <x:c r="AE100" s="90"/>
      <x:c r="AF100" s="90"/>
    </x:row>
    <x:row r="101" ht="28" customHeight="1">
      <x:c r="A101" s="90"/>
      <x:c r="B101" s="90"/>
      <x:c r="C101" s="90"/>
      <x:c r="D101" s="90"/>
      <x:c r="E101" s="90"/>
      <x:c r="F101" s="90"/>
      <x:c r="G101" s="90"/>
      <x:c r="H101" s="90"/>
      <x:c r="I101" s="90"/>
      <x:c r="J101" s="90"/>
      <x:c r="K101" s="90"/>
      <x:c r="L101" s="90"/>
      <x:c r="M101" s="90"/>
      <x:c r="N101" s="90"/>
      <x:c r="O101" s="90"/>
      <x:c r="P101" s="90"/>
      <x:c r="Q101" s="90"/>
      <x:c r="R101" s="90"/>
      <x:c r="S101" s="90"/>
      <x:c r="T101" s="90"/>
      <x:c r="U101" s="90"/>
      <x:c r="V101" s="90"/>
      <x:c r="W101" s="90"/>
      <x:c r="X101" s="90"/>
      <x:c r="Y101" s="90"/>
      <x:c r="Z101" s="90"/>
      <x:c r="AA101" s="90"/>
      <x:c r="AB101" s="90"/>
      <x:c r="AC101" s="90"/>
      <x:c r="AD101" s="90"/>
      <x:c r="AE101" s="90"/>
      <x:c r="AF101" s="90"/>
    </x:row>
    <x:row r="102" ht="28" customHeight="1">
      <x:c r="A102" s="90"/>
      <x:c r="B102" s="90"/>
      <x:c r="C102" s="90"/>
      <x:c r="D102" s="90"/>
      <x:c r="E102" s="90"/>
      <x:c r="F102" s="90"/>
      <x:c r="G102" s="90"/>
      <x:c r="H102" s="90"/>
      <x:c r="I102" s="90"/>
      <x:c r="J102" s="90"/>
      <x:c r="K102" s="90"/>
      <x:c r="L102" s="90"/>
      <x:c r="M102" s="90"/>
      <x:c r="N102" s="90"/>
      <x:c r="O102" s="90"/>
      <x:c r="P102" s="90"/>
      <x:c r="Q102" s="90"/>
      <x:c r="R102" s="90"/>
      <x:c r="S102" s="90"/>
      <x:c r="T102" s="90"/>
      <x:c r="U102" s="90"/>
      <x:c r="V102" s="90"/>
      <x:c r="W102" s="90"/>
      <x:c r="X102" s="90"/>
      <x:c r="Y102" s="90"/>
      <x:c r="Z102" s="90"/>
      <x:c r="AA102" s="90"/>
      <x:c r="AB102" s="90"/>
      <x:c r="AC102" s="90"/>
      <x:c r="AD102" s="90"/>
      <x:c r="AE102" s="90"/>
      <x:c r="AF102" s="90"/>
    </x:row>
    <x:row r="103" ht="28" customHeight="1">
      <x:c r="A103" s="90"/>
      <x:c r="B103" s="90"/>
      <x:c r="C103" s="90"/>
      <x:c r="D103" s="90"/>
      <x:c r="E103" s="90"/>
      <x:c r="F103" s="90"/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90"/>
      <x:c r="R103" s="90"/>
      <x:c r="S103" s="90"/>
      <x:c r="T103" s="90"/>
      <x:c r="U103" s="90"/>
      <x:c r="V103" s="90"/>
      <x:c r="W103" s="90"/>
      <x:c r="X103" s="90"/>
      <x:c r="Y103" s="90"/>
      <x:c r="Z103" s="90"/>
      <x:c r="AA103" s="90"/>
      <x:c r="AB103" s="90"/>
      <x:c r="AC103" s="90"/>
      <x:c r="AD103" s="90"/>
      <x:c r="AE103" s="90"/>
      <x:c r="AF103" s="90"/>
    </x:row>
    <x:row r="104" ht="28" customHeight="1">
      <x:c r="A104" s="90"/>
      <x:c r="B104" s="90"/>
      <x:c r="C104" s="90"/>
      <x:c r="D104" s="90"/>
      <x:c r="E104" s="90"/>
      <x:c r="F104" s="90"/>
      <x:c r="G104" s="90"/>
      <x:c r="H104" s="90"/>
      <x:c r="I104" s="90"/>
      <x:c r="J104" s="90"/>
      <x:c r="K104" s="90"/>
      <x:c r="L104" s="90"/>
      <x:c r="M104" s="90"/>
      <x:c r="N104" s="90"/>
      <x:c r="O104" s="90"/>
      <x:c r="P104" s="90"/>
      <x:c r="Q104" s="90"/>
      <x:c r="R104" s="90"/>
      <x:c r="S104" s="90"/>
      <x:c r="T104" s="90"/>
      <x:c r="U104" s="90"/>
      <x:c r="V104" s="90"/>
      <x:c r="W104" s="90"/>
      <x:c r="X104" s="90"/>
      <x:c r="Y104" s="90"/>
      <x:c r="Z104" s="90"/>
      <x:c r="AA104" s="90"/>
      <x:c r="AB104" s="90"/>
      <x:c r="AC104" s="90"/>
      <x:c r="AD104" s="90"/>
      <x:c r="AE104" s="90"/>
      <x:c r="AF104" s="90"/>
    </x:row>
    <x:row r="105" ht="28" customHeight="1">
      <x:c r="A105" s="90"/>
      <x:c r="B105" s="90"/>
      <x:c r="C105" s="90"/>
      <x:c r="D105" s="90"/>
      <x:c r="E105" s="90"/>
      <x:c r="F105" s="90"/>
      <x:c r="G105" s="90"/>
      <x:c r="H105" s="90"/>
      <x:c r="I105" s="90"/>
      <x:c r="J105" s="90"/>
      <x:c r="K105" s="90"/>
      <x:c r="L105" s="90"/>
      <x:c r="M105" s="90"/>
      <x:c r="N105" s="90"/>
      <x:c r="O105" s="90"/>
      <x:c r="P105" s="90"/>
      <x:c r="Q105" s="90"/>
      <x:c r="R105" s="90"/>
      <x:c r="S105" s="90"/>
      <x:c r="T105" s="90"/>
      <x:c r="U105" s="90"/>
      <x:c r="V105" s="90"/>
      <x:c r="W105" s="90"/>
      <x:c r="X105" s="90"/>
      <x:c r="Y105" s="90"/>
      <x:c r="Z105" s="90"/>
      <x:c r="AA105" s="90"/>
      <x:c r="AB105" s="90"/>
      <x:c r="AC105" s="90"/>
      <x:c r="AD105" s="90"/>
      <x:c r="AE105" s="90"/>
      <x:c r="AF105" s="90"/>
    </x:row>
    <x:row r="106" ht="28" customHeight="1">
      <x:c r="A106" s="90"/>
      <x:c r="B106" s="90"/>
      <x:c r="C106" s="90"/>
      <x:c r="D106" s="90"/>
      <x:c r="E106" s="90"/>
      <x:c r="F106" s="90"/>
      <x:c r="G106" s="90"/>
      <x:c r="H106" s="90"/>
      <x:c r="I106" s="90"/>
      <x:c r="J106" s="90"/>
      <x:c r="K106" s="90"/>
      <x:c r="L106" s="90"/>
      <x:c r="M106" s="90"/>
      <x:c r="N106" s="90"/>
      <x:c r="O106" s="90"/>
      <x:c r="P106" s="90"/>
      <x:c r="Q106" s="90"/>
      <x:c r="R106" s="90"/>
      <x:c r="S106" s="90"/>
      <x:c r="T106" s="90"/>
      <x:c r="U106" s="90"/>
      <x:c r="V106" s="90"/>
      <x:c r="W106" s="90"/>
      <x:c r="X106" s="90"/>
      <x:c r="Y106" s="90"/>
      <x:c r="Z106" s="90"/>
      <x:c r="AA106" s="90"/>
      <x:c r="AB106" s="90"/>
      <x:c r="AC106" s="90"/>
      <x:c r="AD106" s="90"/>
      <x:c r="AE106" s="90"/>
      <x:c r="AF106" s="90"/>
    </x:row>
    <x:row r="107" ht="28" customHeight="1">
      <x:c r="A107" s="90"/>
      <x:c r="B107" s="90"/>
      <x:c r="C107" s="90"/>
      <x:c r="D107" s="90"/>
      <x:c r="E107" s="90"/>
      <x:c r="F107" s="90"/>
      <x:c r="G107" s="90"/>
      <x:c r="H107" s="90"/>
      <x:c r="I107" s="90"/>
      <x:c r="J107" s="90"/>
      <x:c r="K107" s="90"/>
      <x:c r="L107" s="90"/>
      <x:c r="M107" s="90"/>
      <x:c r="N107" s="90"/>
      <x:c r="O107" s="90"/>
      <x:c r="P107" s="90"/>
      <x:c r="Q107" s="90"/>
      <x:c r="R107" s="90"/>
      <x:c r="S107" s="90"/>
      <x:c r="T107" s="90"/>
      <x:c r="U107" s="90"/>
      <x:c r="V107" s="90"/>
      <x:c r="W107" s="90"/>
      <x:c r="X107" s="90"/>
      <x:c r="Y107" s="90"/>
      <x:c r="Z107" s="90"/>
      <x:c r="AA107" s="90"/>
      <x:c r="AB107" s="90"/>
      <x:c r="AC107" s="90"/>
      <x:c r="AD107" s="90"/>
      <x:c r="AE107" s="90"/>
      <x:c r="AF107" s="90"/>
    </x:row>
    <x:row r="108" ht="28" customHeight="1">
      <x:c r="A108" s="90"/>
      <x:c r="B108" s="90"/>
      <x:c r="C108" s="90"/>
      <x:c r="D108" s="90"/>
      <x:c r="E108" s="90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90"/>
      <x:c r="R108" s="90"/>
      <x:c r="S108" s="90"/>
      <x:c r="T108" s="90"/>
      <x:c r="U108" s="90"/>
      <x:c r="V108" s="90"/>
      <x:c r="W108" s="90"/>
      <x:c r="X108" s="90"/>
      <x:c r="Y108" s="90"/>
      <x:c r="Z108" s="90"/>
      <x:c r="AA108" s="90"/>
      <x:c r="AB108" s="90"/>
      <x:c r="AC108" s="90"/>
      <x:c r="AD108" s="90"/>
      <x:c r="AE108" s="90"/>
      <x:c r="AF108" s="90"/>
    </x:row>
    <x:row r="109" ht="28" customHeight="1">
      <x:c r="A109" s="90"/>
      <x:c r="B109" s="90"/>
      <x:c r="C109" s="90"/>
      <x:c r="D109" s="90"/>
      <x:c r="E109" s="90"/>
      <x:c r="F109" s="90"/>
      <x:c r="G109" s="90"/>
      <x:c r="H109" s="90"/>
      <x:c r="I109" s="90"/>
      <x:c r="J109" s="90"/>
      <x:c r="K109" s="90"/>
      <x:c r="L109" s="90"/>
      <x:c r="M109" s="90"/>
      <x:c r="N109" s="90"/>
      <x:c r="O109" s="90"/>
      <x:c r="P109" s="90"/>
      <x:c r="Q109" s="90"/>
      <x:c r="R109" s="90"/>
      <x:c r="S109" s="90"/>
      <x:c r="T109" s="90"/>
      <x:c r="U109" s="90"/>
      <x:c r="V109" s="90"/>
      <x:c r="W109" s="90"/>
      <x:c r="X109" s="90"/>
      <x:c r="Y109" s="90"/>
      <x:c r="Z109" s="90"/>
      <x:c r="AA109" s="90"/>
      <x:c r="AB109" s="90"/>
      <x:c r="AC109" s="90"/>
      <x:c r="AD109" s="90"/>
      <x:c r="AE109" s="90"/>
      <x:c r="AF109" s="90"/>
    </x:row>
    <x:row r="110" ht="28" customHeight="1">
      <x:c r="A110" s="90"/>
      <x:c r="B110" s="90"/>
      <x:c r="C110" s="90"/>
      <x:c r="D110" s="90"/>
      <x:c r="E110" s="90"/>
      <x:c r="F110" s="90"/>
      <x:c r="G110" s="90"/>
      <x:c r="H110" s="90"/>
      <x:c r="I110" s="90"/>
      <x:c r="J110" s="90"/>
      <x:c r="K110" s="90"/>
      <x:c r="L110" s="90"/>
      <x:c r="M110" s="90"/>
      <x:c r="N110" s="90"/>
      <x:c r="O110" s="90"/>
      <x:c r="P110" s="90"/>
      <x:c r="Q110" s="90"/>
      <x:c r="R110" s="90"/>
      <x:c r="S110" s="90"/>
      <x:c r="T110" s="90"/>
      <x:c r="U110" s="90"/>
      <x:c r="V110" s="90"/>
      <x:c r="W110" s="90"/>
      <x:c r="X110" s="90"/>
      <x:c r="Y110" s="90"/>
      <x:c r="Z110" s="90"/>
      <x:c r="AA110" s="90"/>
      <x:c r="AB110" s="90"/>
      <x:c r="AC110" s="90"/>
      <x:c r="AD110" s="90"/>
      <x:c r="AE110" s="90"/>
      <x:c r="AF110" s="90"/>
    </x:row>
    <x:row r="111" ht="28" customHeight="1">
      <x:c r="A111" s="90"/>
      <x:c r="B111" s="90"/>
      <x:c r="C111" s="90"/>
      <x:c r="D111" s="90"/>
      <x:c r="E111" s="90"/>
      <x:c r="F111" s="90"/>
      <x:c r="G111" s="90"/>
      <x:c r="H111" s="90"/>
      <x:c r="I111" s="90"/>
      <x:c r="J111" s="90"/>
      <x:c r="K111" s="90"/>
      <x:c r="L111" s="90"/>
      <x:c r="M111" s="90"/>
      <x:c r="N111" s="90"/>
      <x:c r="O111" s="90"/>
      <x:c r="P111" s="90"/>
      <x:c r="Q111" s="90"/>
      <x:c r="R111" s="90"/>
      <x:c r="S111" s="90"/>
      <x:c r="T111" s="90"/>
      <x:c r="U111" s="90"/>
      <x:c r="V111" s="90"/>
      <x:c r="W111" s="90"/>
      <x:c r="X111" s="90"/>
      <x:c r="Y111" s="90"/>
      <x:c r="Z111" s="90"/>
      <x:c r="AA111" s="90"/>
      <x:c r="AB111" s="90"/>
      <x:c r="AC111" s="90"/>
      <x:c r="AD111" s="90"/>
      <x:c r="AE111" s="90"/>
      <x:c r="AF111" s="90"/>
    </x:row>
    <x:row r="112" ht="28" customHeight="1">
      <x:c r="A112" s="90"/>
      <x:c r="B112" s="90"/>
      <x:c r="C112" s="90"/>
      <x:c r="D112" s="90"/>
      <x:c r="E112" s="90"/>
      <x:c r="F112" s="90"/>
      <x:c r="G112" s="90"/>
      <x:c r="H112" s="90"/>
      <x:c r="I112" s="90"/>
      <x:c r="J112" s="90"/>
      <x:c r="K112" s="90"/>
      <x:c r="L112" s="90"/>
      <x:c r="M112" s="90"/>
      <x:c r="N112" s="90"/>
      <x:c r="O112" s="90"/>
      <x:c r="P112" s="90"/>
      <x:c r="Q112" s="90"/>
      <x:c r="R112" s="90"/>
      <x:c r="S112" s="90"/>
      <x:c r="T112" s="90"/>
      <x:c r="U112" s="90"/>
      <x:c r="V112" s="90"/>
      <x:c r="W112" s="90"/>
      <x:c r="X112" s="90"/>
      <x:c r="Y112" s="90"/>
      <x:c r="Z112" s="90"/>
      <x:c r="AA112" s="90"/>
      <x:c r="AB112" s="90"/>
      <x:c r="AC112" s="90"/>
      <x:c r="AD112" s="90"/>
      <x:c r="AE112" s="90"/>
      <x:c r="AF112" s="90"/>
    </x:row>
    <x:row r="113" ht="28" customHeight="1">
      <x:c r="A113" s="90"/>
      <x:c r="B113" s="90"/>
      <x:c r="C113" s="90"/>
      <x:c r="D113" s="90"/>
      <x:c r="E113" s="90"/>
      <x:c r="F113" s="90"/>
      <x:c r="G113" s="90"/>
      <x:c r="H113" s="90"/>
      <x:c r="I113" s="90"/>
      <x:c r="J113" s="90"/>
      <x:c r="K113" s="90"/>
      <x:c r="L113" s="90"/>
      <x:c r="M113" s="90"/>
      <x:c r="N113" s="90"/>
      <x:c r="O113" s="90"/>
      <x:c r="P113" s="90"/>
      <x:c r="Q113" s="90"/>
      <x:c r="R113" s="90"/>
      <x:c r="S113" s="90"/>
      <x:c r="T113" s="90"/>
      <x:c r="U113" s="90"/>
      <x:c r="V113" s="90"/>
      <x:c r="W113" s="90"/>
      <x:c r="X113" s="90"/>
      <x:c r="Y113" s="90"/>
      <x:c r="Z113" s="90"/>
      <x:c r="AA113" s="90"/>
      <x:c r="AB113" s="90"/>
      <x:c r="AC113" s="90"/>
      <x:c r="AD113" s="90"/>
      <x:c r="AE113" s="90"/>
      <x:c r="AF113" s="90"/>
    </x:row>
    <x:row r="114" ht="28" customHeight="1">
      <x:c r="A114" s="90"/>
      <x:c r="B114" s="90"/>
      <x:c r="C114" s="90"/>
      <x:c r="D114" s="90"/>
      <x:c r="E114" s="90"/>
      <x:c r="F114" s="90"/>
      <x:c r="G114" s="90"/>
      <x:c r="H114" s="90"/>
      <x:c r="I114" s="90"/>
      <x:c r="J114" s="90"/>
      <x:c r="K114" s="90"/>
      <x:c r="L114" s="90"/>
      <x:c r="M114" s="90"/>
      <x:c r="N114" s="90"/>
      <x:c r="O114" s="90"/>
      <x:c r="P114" s="90"/>
      <x:c r="Q114" s="90"/>
      <x:c r="R114" s="90"/>
      <x:c r="S114" s="90"/>
      <x:c r="T114" s="90"/>
      <x:c r="U114" s="90"/>
      <x:c r="V114" s="90"/>
      <x:c r="W114" s="90"/>
      <x:c r="X114" s="90"/>
      <x:c r="Y114" s="90"/>
      <x:c r="Z114" s="90"/>
      <x:c r="AA114" s="90"/>
      <x:c r="AB114" s="90"/>
      <x:c r="AC114" s="90"/>
      <x:c r="AD114" s="90"/>
      <x:c r="AE114" s="90"/>
      <x:c r="AF114" s="90"/>
    </x:row>
    <x:row r="115" ht="28" customHeight="1">
      <x:c r="A115" s="90"/>
      <x:c r="B115" s="90"/>
      <x:c r="C115" s="90"/>
      <x:c r="D115" s="90"/>
      <x:c r="E115" s="90"/>
      <x:c r="F115" s="90"/>
      <x:c r="G115" s="90"/>
      <x:c r="H115" s="90"/>
      <x:c r="I115" s="90"/>
      <x:c r="J115" s="90"/>
      <x:c r="K115" s="90"/>
      <x:c r="L115" s="90"/>
      <x:c r="M115" s="90"/>
      <x:c r="N115" s="90"/>
      <x:c r="O115" s="90"/>
      <x:c r="P115" s="90"/>
      <x:c r="Q115" s="90"/>
      <x:c r="R115" s="90"/>
      <x:c r="S115" s="90"/>
      <x:c r="T115" s="90"/>
      <x:c r="U115" s="90"/>
      <x:c r="V115" s="90"/>
      <x:c r="W115" s="90"/>
      <x:c r="X115" s="90"/>
      <x:c r="Y115" s="90"/>
      <x:c r="Z115" s="90"/>
      <x:c r="AA115" s="90"/>
      <x:c r="AB115" s="90"/>
      <x:c r="AC115" s="90"/>
      <x:c r="AD115" s="90"/>
      <x:c r="AE115" s="90"/>
      <x:c r="AF115" s="90"/>
    </x:row>
    <x:row r="116" ht="28" customHeight="1">
      <x:c r="A116" s="90"/>
      <x:c r="B116" s="90"/>
      <x:c r="C116" s="90"/>
      <x:c r="D116" s="90"/>
      <x:c r="E116" s="90"/>
      <x:c r="F116" s="90"/>
      <x:c r="G116" s="90"/>
      <x:c r="H116" s="90"/>
      <x:c r="I116" s="90"/>
      <x:c r="J116" s="90"/>
      <x:c r="K116" s="90"/>
      <x:c r="L116" s="90"/>
      <x:c r="M116" s="90"/>
      <x:c r="N116" s="90"/>
      <x:c r="O116" s="90"/>
      <x:c r="P116" s="90"/>
      <x:c r="Q116" s="90"/>
      <x:c r="R116" s="90"/>
      <x:c r="S116" s="90"/>
      <x:c r="T116" s="90"/>
      <x:c r="U116" s="90"/>
      <x:c r="V116" s="90"/>
      <x:c r="W116" s="90"/>
      <x:c r="X116" s="90"/>
      <x:c r="Y116" s="90"/>
      <x:c r="Z116" s="90"/>
      <x:c r="AA116" s="90"/>
      <x:c r="AB116" s="90"/>
      <x:c r="AC116" s="90"/>
      <x:c r="AD116" s="90"/>
      <x:c r="AE116" s="90"/>
      <x:c r="AF116" s="90"/>
    </x:row>
    <x:row r="117" ht="28" customHeight="1">
      <x:c r="A117" s="90"/>
      <x:c r="B117" s="90"/>
      <x:c r="C117" s="90"/>
      <x:c r="D117" s="90"/>
      <x:c r="E117" s="90"/>
      <x:c r="F117" s="90"/>
      <x:c r="G117" s="90"/>
      <x:c r="H117" s="90"/>
      <x:c r="I117" s="90"/>
      <x:c r="J117" s="90"/>
      <x:c r="K117" s="90"/>
      <x:c r="L117" s="90"/>
      <x:c r="M117" s="90"/>
      <x:c r="N117" s="90"/>
      <x:c r="O117" s="90"/>
      <x:c r="P117" s="90"/>
      <x:c r="Q117" s="90"/>
      <x:c r="R117" s="90"/>
      <x:c r="S117" s="90"/>
      <x:c r="T117" s="90"/>
      <x:c r="U117" s="90"/>
      <x:c r="V117" s="90"/>
      <x:c r="W117" s="90"/>
      <x:c r="X117" s="90"/>
      <x:c r="Y117" s="90"/>
      <x:c r="Z117" s="90"/>
      <x:c r="AA117" s="90"/>
      <x:c r="AB117" s="90"/>
      <x:c r="AC117" s="90"/>
      <x:c r="AD117" s="90"/>
      <x:c r="AE117" s="90"/>
      <x:c r="AF117" s="90"/>
    </x:row>
    <x:row r="118" ht="28" customHeight="1">
      <x:c r="A118" s="90"/>
      <x:c r="B118" s="90"/>
      <x:c r="C118" s="90"/>
      <x:c r="D118" s="90"/>
      <x:c r="E118" s="90"/>
      <x:c r="F118" s="90"/>
      <x:c r="G118" s="90"/>
      <x:c r="H118" s="90"/>
      <x:c r="I118" s="90"/>
      <x:c r="J118" s="90"/>
      <x:c r="K118" s="90"/>
      <x:c r="L118" s="90"/>
      <x:c r="M118" s="90"/>
      <x:c r="N118" s="90"/>
      <x:c r="O118" s="90"/>
      <x:c r="P118" s="90"/>
      <x:c r="Q118" s="90"/>
      <x:c r="R118" s="90"/>
      <x:c r="S118" s="90"/>
      <x:c r="T118" s="90"/>
      <x:c r="U118" s="90"/>
      <x:c r="V118" s="90"/>
      <x:c r="W118" s="90"/>
      <x:c r="X118" s="90"/>
      <x:c r="Y118" s="90"/>
      <x:c r="Z118" s="90"/>
      <x:c r="AA118" s="90"/>
      <x:c r="AB118" s="90"/>
      <x:c r="AC118" s="90"/>
      <x:c r="AD118" s="90"/>
      <x:c r="AE118" s="90"/>
      <x:c r="AF118" s="90"/>
    </x:row>
    <x:row r="119" ht="28" customHeight="1">
      <x:c r="A119" s="90"/>
      <x:c r="B119" s="90"/>
      <x:c r="C119" s="90"/>
      <x:c r="D119" s="90"/>
      <x:c r="E119" s="90"/>
      <x:c r="F119" s="90"/>
      <x:c r="G119" s="90"/>
      <x:c r="H119" s="90"/>
      <x:c r="I119" s="90"/>
      <x:c r="J119" s="90"/>
      <x:c r="K119" s="90"/>
      <x:c r="L119" s="90"/>
      <x:c r="M119" s="90"/>
      <x:c r="N119" s="90"/>
      <x:c r="O119" s="90"/>
      <x:c r="P119" s="90"/>
      <x:c r="Q119" s="90"/>
      <x:c r="R119" s="90"/>
      <x:c r="S119" s="90"/>
      <x:c r="T119" s="90"/>
      <x:c r="U119" s="90"/>
      <x:c r="V119" s="90"/>
      <x:c r="W119" s="90"/>
      <x:c r="X119" s="90"/>
      <x:c r="Y119" s="90"/>
      <x:c r="Z119" s="90"/>
      <x:c r="AA119" s="90"/>
      <x:c r="AB119" s="90"/>
      <x:c r="AC119" s="90"/>
      <x:c r="AD119" s="90"/>
      <x:c r="AE119" s="90"/>
      <x:c r="AF119" s="90"/>
    </x:row>
    <x:row r="120" ht="28" customHeight="1">
      <x:c r="A120" s="90"/>
      <x:c r="B120" s="90"/>
      <x:c r="C120" s="90"/>
      <x:c r="D120" s="90"/>
      <x:c r="E120" s="90"/>
      <x:c r="F120" s="90"/>
      <x:c r="G120" s="90"/>
      <x:c r="H120" s="90"/>
      <x:c r="I120" s="90"/>
      <x:c r="J120" s="90"/>
      <x:c r="K120" s="90"/>
      <x:c r="L120" s="90"/>
      <x:c r="M120" s="90"/>
      <x:c r="N120" s="90"/>
      <x:c r="O120" s="90"/>
      <x:c r="P120" s="90"/>
      <x:c r="Q120" s="90"/>
      <x:c r="R120" s="90"/>
      <x:c r="S120" s="90"/>
      <x:c r="T120" s="90"/>
      <x:c r="U120" s="90"/>
      <x:c r="V120" s="90"/>
      <x:c r="W120" s="90"/>
      <x:c r="X120" s="90"/>
      <x:c r="Y120" s="90"/>
      <x:c r="Z120" s="90"/>
      <x:c r="AA120" s="90"/>
      <x:c r="AB120" s="90"/>
      <x:c r="AC120" s="90"/>
      <x:c r="AD120" s="90"/>
      <x:c r="AE120" s="90"/>
      <x:c r="AF120" s="90"/>
    </x:row>
    <x:row r="121" ht="28" customHeight="1">
      <x:c r="A121" s="90"/>
      <x:c r="B121" s="90"/>
      <x:c r="C121" s="90"/>
      <x:c r="D121" s="90"/>
      <x:c r="E121" s="90"/>
      <x:c r="F121" s="90"/>
      <x:c r="G121" s="90"/>
      <x:c r="H121" s="90"/>
      <x:c r="I121" s="90"/>
      <x:c r="J121" s="90"/>
      <x:c r="K121" s="90"/>
      <x:c r="L121" s="90"/>
      <x:c r="M121" s="90"/>
      <x:c r="N121" s="90"/>
      <x:c r="O121" s="90"/>
      <x:c r="P121" s="90"/>
      <x:c r="Q121" s="90"/>
      <x:c r="R121" s="90"/>
      <x:c r="S121" s="90"/>
      <x:c r="T121" s="90"/>
      <x:c r="U121" s="90"/>
      <x:c r="V121" s="90"/>
      <x:c r="W121" s="90"/>
      <x:c r="X121" s="90"/>
      <x:c r="Y121" s="90"/>
      <x:c r="Z121" s="90"/>
      <x:c r="AA121" s="90"/>
      <x:c r="AB121" s="90"/>
      <x:c r="AC121" s="90"/>
      <x:c r="AD121" s="90"/>
      <x:c r="AE121" s="90"/>
      <x:c r="AF121" s="90"/>
    </x:row>
    <x:row r="122" ht="28" customHeight="1">
      <x:c r="A122" s="90"/>
      <x:c r="B122" s="90"/>
      <x:c r="C122" s="90"/>
      <x:c r="D122" s="90"/>
      <x:c r="E122" s="90"/>
      <x:c r="F122" s="90"/>
      <x:c r="G122" s="90"/>
      <x:c r="H122" s="90"/>
      <x:c r="I122" s="90"/>
      <x:c r="J122" s="90"/>
      <x:c r="K122" s="90"/>
      <x:c r="L122" s="90"/>
      <x:c r="M122" s="90"/>
      <x:c r="N122" s="90"/>
      <x:c r="O122" s="90"/>
      <x:c r="P122" s="90"/>
      <x:c r="Q122" s="90"/>
      <x:c r="R122" s="90"/>
      <x:c r="S122" s="90"/>
      <x:c r="T122" s="90"/>
      <x:c r="U122" s="90"/>
      <x:c r="V122" s="90"/>
      <x:c r="W122" s="90"/>
      <x:c r="X122" s="90"/>
      <x:c r="Y122" s="90"/>
      <x:c r="Z122" s="90"/>
      <x:c r="AA122" s="90"/>
      <x:c r="AB122" s="90"/>
      <x:c r="AC122" s="90"/>
      <x:c r="AD122" s="90"/>
      <x:c r="AE122" s="90"/>
      <x:c r="AF122" s="90"/>
    </x:row>
    <x:row r="123" ht="28" customHeight="1">
      <x:c r="A123" s="90"/>
      <x:c r="B123" s="90"/>
      <x:c r="C123" s="90"/>
      <x:c r="D123" s="90"/>
      <x:c r="E123" s="90"/>
      <x:c r="F123" s="90"/>
      <x:c r="G123" s="90"/>
      <x:c r="H123" s="90"/>
      <x:c r="I123" s="90"/>
      <x:c r="J123" s="90"/>
      <x:c r="K123" s="90"/>
      <x:c r="L123" s="90"/>
      <x:c r="M123" s="90"/>
      <x:c r="N123" s="90"/>
      <x:c r="O123" s="90"/>
      <x:c r="P123" s="90"/>
      <x:c r="Q123" s="90"/>
      <x:c r="R123" s="90"/>
      <x:c r="S123" s="90"/>
      <x:c r="T123" s="90"/>
      <x:c r="U123" s="90"/>
      <x:c r="V123" s="90"/>
      <x:c r="W123" s="90"/>
      <x:c r="X123" s="90"/>
      <x:c r="Y123" s="90"/>
      <x:c r="Z123" s="90"/>
      <x:c r="AA123" s="90"/>
      <x:c r="AB123" s="90"/>
      <x:c r="AC123" s="90"/>
      <x:c r="AD123" s="90"/>
      <x:c r="AE123" s="90"/>
      <x:c r="AF123" s="90"/>
    </x:row>
    <x:row r="124" ht="28" customHeight="1">
      <x:c r="A124" s="90"/>
      <x:c r="B124" s="90"/>
      <x:c r="C124" s="90"/>
      <x:c r="D124" s="90"/>
      <x:c r="E124" s="90"/>
      <x:c r="F124" s="90"/>
      <x:c r="G124" s="90"/>
      <x:c r="H124" s="90"/>
      <x:c r="I124" s="90"/>
      <x:c r="J124" s="90"/>
      <x:c r="K124" s="90"/>
      <x:c r="L124" s="90"/>
      <x:c r="M124" s="90"/>
      <x:c r="N124" s="90"/>
      <x:c r="O124" s="90"/>
      <x:c r="P124" s="90"/>
      <x:c r="Q124" s="90"/>
      <x:c r="R124" s="90"/>
      <x:c r="S124" s="90"/>
      <x:c r="T124" s="90"/>
      <x:c r="U124" s="90"/>
      <x:c r="V124" s="90"/>
      <x:c r="W124" s="90"/>
      <x:c r="X124" s="90"/>
      <x:c r="Y124" s="90"/>
      <x:c r="Z124" s="90"/>
      <x:c r="AA124" s="90"/>
      <x:c r="AB124" s="90"/>
      <x:c r="AC124" s="90"/>
      <x:c r="AD124" s="90"/>
      <x:c r="AE124" s="90"/>
      <x:c r="AF124" s="90"/>
    </x:row>
    <x:row r="125" ht="28" customHeight="1">
      <x:c r="A125" s="90"/>
      <x:c r="B125" s="90"/>
      <x:c r="C125" s="90"/>
      <x:c r="D125" s="90"/>
      <x:c r="E125" s="90"/>
      <x:c r="F125" s="90"/>
      <x:c r="G125" s="90"/>
      <x:c r="H125" s="90"/>
      <x:c r="I125" s="90"/>
      <x:c r="J125" s="90"/>
      <x:c r="K125" s="90"/>
      <x:c r="L125" s="90"/>
      <x:c r="M125" s="90"/>
      <x:c r="N125" s="90"/>
      <x:c r="O125" s="90"/>
      <x:c r="P125" s="90"/>
      <x:c r="Q125" s="90"/>
      <x:c r="R125" s="90"/>
      <x:c r="S125" s="90"/>
      <x:c r="T125" s="90"/>
      <x:c r="U125" s="90"/>
      <x:c r="V125" s="90"/>
      <x:c r="W125" s="90"/>
      <x:c r="X125" s="90"/>
      <x:c r="Y125" s="90"/>
      <x:c r="Z125" s="90"/>
      <x:c r="AA125" s="90"/>
      <x:c r="AB125" s="90"/>
      <x:c r="AC125" s="90"/>
      <x:c r="AD125" s="90"/>
      <x:c r="AE125" s="90"/>
      <x:c r="AF125" s="90"/>
    </x:row>
    <x:row r="126" ht="28" customHeight="1">
      <x:c r="A126" s="90"/>
      <x:c r="B126" s="90"/>
      <x:c r="C126" s="90"/>
      <x:c r="D126" s="90"/>
      <x:c r="E126" s="90"/>
      <x:c r="F126" s="90"/>
      <x:c r="G126" s="90"/>
      <x:c r="H126" s="90"/>
      <x:c r="I126" s="90"/>
      <x:c r="J126" s="90"/>
      <x:c r="K126" s="90"/>
      <x:c r="L126" s="90"/>
      <x:c r="M126" s="90"/>
      <x:c r="N126" s="90"/>
      <x:c r="O126" s="90"/>
      <x:c r="P126" s="90"/>
      <x:c r="Q126" s="90"/>
      <x:c r="R126" s="90"/>
      <x:c r="S126" s="90"/>
      <x:c r="T126" s="90"/>
      <x:c r="U126" s="90"/>
      <x:c r="V126" s="90"/>
      <x:c r="W126" s="90"/>
      <x:c r="X126" s="90"/>
      <x:c r="Y126" s="90"/>
      <x:c r="Z126" s="90"/>
      <x:c r="AA126" s="90"/>
      <x:c r="AB126" s="90"/>
      <x:c r="AC126" s="90"/>
      <x:c r="AD126" s="90"/>
      <x:c r="AE126" s="90"/>
      <x:c r="AF126" s="90"/>
    </x:row>
    <x:row r="127" ht="28" customHeight="1">
      <x:c r="A127" s="90"/>
      <x:c r="B127" s="90"/>
      <x:c r="C127" s="90"/>
      <x:c r="D127" s="90"/>
      <x:c r="E127" s="90"/>
      <x:c r="F127" s="90"/>
      <x:c r="G127" s="90"/>
      <x:c r="H127" s="90"/>
      <x:c r="I127" s="90"/>
      <x:c r="J127" s="90"/>
      <x:c r="K127" s="90"/>
      <x:c r="L127" s="90"/>
      <x:c r="M127" s="90"/>
      <x:c r="N127" s="90"/>
      <x:c r="O127" s="90"/>
      <x:c r="P127" s="90"/>
      <x:c r="Q127" s="90"/>
      <x:c r="R127" s="90"/>
      <x:c r="S127" s="90"/>
      <x:c r="T127" s="90"/>
      <x:c r="U127" s="90"/>
      <x:c r="V127" s="90"/>
      <x:c r="W127" s="90"/>
      <x:c r="X127" s="90"/>
      <x:c r="Y127" s="90"/>
      <x:c r="Z127" s="90"/>
      <x:c r="AA127" s="90"/>
      <x:c r="AB127" s="90"/>
      <x:c r="AC127" s="90"/>
      <x:c r="AD127" s="90"/>
      <x:c r="AE127" s="90"/>
      <x:c r="AF127" s="90"/>
    </x:row>
    <x:row r="128" ht="28" customHeight="1">
      <x:c r="A128" s="90"/>
      <x:c r="B128" s="90"/>
      <x:c r="C128" s="90"/>
      <x:c r="D128" s="90"/>
      <x:c r="E128" s="90"/>
      <x:c r="F128" s="90"/>
      <x:c r="G128" s="90"/>
      <x:c r="H128" s="90"/>
      <x:c r="I128" s="90"/>
      <x:c r="J128" s="90"/>
      <x:c r="K128" s="90"/>
      <x:c r="L128" s="90"/>
      <x:c r="M128" s="90"/>
      <x:c r="N128" s="90"/>
      <x:c r="O128" s="90"/>
      <x:c r="P128" s="90"/>
      <x:c r="Q128" s="90"/>
      <x:c r="R128" s="90"/>
      <x:c r="S128" s="90"/>
      <x:c r="T128" s="90"/>
      <x:c r="U128" s="90"/>
      <x:c r="V128" s="90"/>
      <x:c r="W128" s="90"/>
      <x:c r="X128" s="90"/>
      <x:c r="Y128" s="90"/>
      <x:c r="Z128" s="90"/>
      <x:c r="AA128" s="90"/>
      <x:c r="AB128" s="90"/>
      <x:c r="AC128" s="90"/>
      <x:c r="AD128" s="90"/>
      <x:c r="AE128" s="90"/>
      <x:c r="AF128" s="90"/>
    </x:row>
    <x:row r="129" ht="28" customHeight="1">
      <x:c r="A129" s="90"/>
      <x:c r="B129" s="90"/>
      <x:c r="C129" s="90"/>
      <x:c r="D129" s="90"/>
      <x:c r="E129" s="90"/>
      <x:c r="F129" s="90"/>
      <x:c r="G129" s="90"/>
      <x:c r="H129" s="90"/>
      <x:c r="I129" s="90"/>
      <x:c r="J129" s="90"/>
      <x:c r="K129" s="90"/>
      <x:c r="L129" s="90"/>
      <x:c r="M129" s="90"/>
      <x:c r="N129" s="90"/>
      <x:c r="O129" s="90"/>
      <x:c r="P129" s="90"/>
      <x:c r="Q129" s="90"/>
      <x:c r="R129" s="90"/>
      <x:c r="S129" s="90"/>
      <x:c r="T129" s="90"/>
      <x:c r="U129" s="90"/>
      <x:c r="V129" s="90"/>
      <x:c r="W129" s="90"/>
      <x:c r="X129" s="90"/>
      <x:c r="Y129" s="90"/>
      <x:c r="Z129" s="90"/>
      <x:c r="AA129" s="90"/>
      <x:c r="AB129" s="90"/>
      <x:c r="AC129" s="90"/>
      <x:c r="AD129" s="90"/>
      <x:c r="AE129" s="90"/>
      <x:c r="AF129" s="90"/>
    </x:row>
    <x:row r="130" ht="28" customHeight="1">
      <x:c r="A130" s="90"/>
      <x:c r="B130" s="90"/>
      <x:c r="C130" s="90"/>
      <x:c r="D130" s="90"/>
      <x:c r="E130" s="90"/>
      <x:c r="F130" s="90"/>
      <x:c r="G130" s="90"/>
      <x:c r="H130" s="90"/>
      <x:c r="I130" s="90"/>
      <x:c r="J130" s="90"/>
      <x:c r="K130" s="90"/>
      <x:c r="L130" s="90"/>
      <x:c r="M130" s="90"/>
      <x:c r="N130" s="90"/>
      <x:c r="O130" s="90"/>
      <x:c r="P130" s="90"/>
      <x:c r="Q130" s="90"/>
      <x:c r="R130" s="90"/>
      <x:c r="S130" s="90"/>
      <x:c r="T130" s="90"/>
      <x:c r="U130" s="90"/>
      <x:c r="V130" s="90"/>
      <x:c r="W130" s="90"/>
      <x:c r="X130" s="90"/>
      <x:c r="Y130" s="90"/>
      <x:c r="Z130" s="90"/>
      <x:c r="AA130" s="90"/>
      <x:c r="AB130" s="90"/>
      <x:c r="AC130" s="90"/>
      <x:c r="AD130" s="90"/>
      <x:c r="AE130" s="90"/>
      <x:c r="AF130" s="90"/>
    </x:row>
    <x:row r="131" ht="28" customHeight="1">
      <x:c r="A131" s="90"/>
      <x:c r="B131" s="90"/>
      <x:c r="C131" s="90"/>
      <x:c r="D131" s="90"/>
      <x:c r="E131" s="90"/>
      <x:c r="F131" s="90"/>
      <x:c r="G131" s="90"/>
      <x:c r="H131" s="90"/>
      <x:c r="I131" s="90"/>
      <x:c r="J131" s="90"/>
      <x:c r="K131" s="90"/>
      <x:c r="L131" s="90"/>
      <x:c r="M131" s="90"/>
      <x:c r="N131" s="90"/>
      <x:c r="O131" s="90"/>
      <x:c r="P131" s="90"/>
      <x:c r="Q131" s="90"/>
      <x:c r="R131" s="90"/>
      <x:c r="S131" s="90"/>
      <x:c r="T131" s="90"/>
      <x:c r="U131" s="90"/>
      <x:c r="V131" s="90"/>
      <x:c r="W131" s="90"/>
      <x:c r="X131" s="90"/>
      <x:c r="Y131" s="90"/>
      <x:c r="Z131" s="90"/>
      <x:c r="AA131" s="90"/>
      <x:c r="AB131" s="90"/>
      <x:c r="AC131" s="90"/>
      <x:c r="AD131" s="90"/>
      <x:c r="AE131" s="90"/>
      <x:c r="AF131" s="90"/>
    </x:row>
    <x:row r="132" ht="28" customHeight="1">
      <x:c r="A132" s="90"/>
      <x:c r="B132" s="90"/>
      <x:c r="C132" s="90"/>
      <x:c r="D132" s="90"/>
      <x:c r="E132" s="90"/>
      <x:c r="F132" s="90"/>
      <x:c r="G132" s="90"/>
      <x:c r="H132" s="90"/>
      <x:c r="I132" s="90"/>
      <x:c r="J132" s="90"/>
      <x:c r="K132" s="90"/>
      <x:c r="L132" s="90"/>
      <x:c r="M132" s="90"/>
      <x:c r="N132" s="90"/>
      <x:c r="O132" s="90"/>
      <x:c r="P132" s="90"/>
      <x:c r="Q132" s="90"/>
      <x:c r="R132" s="90"/>
      <x:c r="S132" s="90"/>
      <x:c r="T132" s="90"/>
      <x:c r="U132" s="90"/>
      <x:c r="V132" s="90"/>
      <x:c r="W132" s="90"/>
      <x:c r="X132" s="90"/>
      <x:c r="Y132" s="90"/>
      <x:c r="Z132" s="90"/>
      <x:c r="AA132" s="90"/>
      <x:c r="AB132" s="90"/>
      <x:c r="AC132" s="90"/>
      <x:c r="AD132" s="90"/>
      <x:c r="AE132" s="90"/>
      <x:c r="AF132" s="90"/>
    </x:row>
    <x:row r="133" ht="28" customHeight="1">
      <x:c r="A133" s="90"/>
      <x:c r="B133" s="90"/>
      <x:c r="C133" s="90"/>
      <x:c r="D133" s="90"/>
      <x:c r="E133" s="90"/>
      <x:c r="F133" s="90"/>
      <x:c r="G133" s="90"/>
      <x:c r="H133" s="90"/>
      <x:c r="I133" s="90"/>
      <x:c r="J133" s="90"/>
      <x:c r="K133" s="90"/>
      <x:c r="L133" s="90"/>
      <x:c r="M133" s="90"/>
      <x:c r="N133" s="90"/>
      <x:c r="O133" s="90"/>
      <x:c r="P133" s="90"/>
      <x:c r="Q133" s="90"/>
      <x:c r="R133" s="90"/>
      <x:c r="S133" s="90"/>
      <x:c r="T133" s="90"/>
      <x:c r="U133" s="90"/>
      <x:c r="V133" s="90"/>
      <x:c r="W133" s="90"/>
      <x:c r="X133" s="90"/>
      <x:c r="Y133" s="90"/>
      <x:c r="Z133" s="90"/>
      <x:c r="AA133" s="90"/>
      <x:c r="AB133" s="90"/>
      <x:c r="AC133" s="90"/>
      <x:c r="AD133" s="90"/>
      <x:c r="AE133" s="90"/>
      <x:c r="AF133" s="90"/>
    </x:row>
    <x:row r="134" ht="28" customHeight="1">
      <x:c r="A134" s="90"/>
      <x:c r="B134" s="90"/>
      <x:c r="C134" s="90"/>
      <x:c r="D134" s="90"/>
      <x:c r="E134" s="90"/>
      <x:c r="F134" s="90"/>
      <x:c r="G134" s="90"/>
      <x:c r="H134" s="90"/>
      <x:c r="I134" s="90"/>
      <x:c r="J134" s="90"/>
      <x:c r="K134" s="90"/>
      <x:c r="L134" s="90"/>
      <x:c r="M134" s="90"/>
      <x:c r="N134" s="90"/>
      <x:c r="O134" s="90"/>
      <x:c r="P134" s="90"/>
      <x:c r="Q134" s="90"/>
      <x:c r="R134" s="90"/>
      <x:c r="S134" s="90"/>
      <x:c r="T134" s="90"/>
      <x:c r="U134" s="90"/>
      <x:c r="V134" s="90"/>
      <x:c r="W134" s="90"/>
      <x:c r="X134" s="90"/>
      <x:c r="Y134" s="90"/>
      <x:c r="Z134" s="90"/>
      <x:c r="AA134" s="90"/>
      <x:c r="AB134" s="90"/>
      <x:c r="AC134" s="90"/>
      <x:c r="AD134" s="90"/>
      <x:c r="AE134" s="90"/>
      <x:c r="AF134" s="90"/>
    </x:row>
    <x:row r="135" ht="28" customHeight="1">
      <x:c r="A135" s="90"/>
      <x:c r="B135" s="90"/>
      <x:c r="C135" s="90"/>
      <x:c r="D135" s="90"/>
      <x:c r="E135" s="90"/>
      <x:c r="F135" s="90"/>
      <x:c r="G135" s="90"/>
      <x:c r="H135" s="90"/>
      <x:c r="I135" s="90"/>
      <x:c r="J135" s="90"/>
      <x:c r="K135" s="90"/>
      <x:c r="L135" s="90"/>
      <x:c r="M135" s="90"/>
      <x:c r="N135" s="90"/>
      <x:c r="O135" s="90"/>
      <x:c r="P135" s="90"/>
      <x:c r="Q135" s="90"/>
      <x:c r="R135" s="90"/>
      <x:c r="S135" s="90"/>
      <x:c r="T135" s="90"/>
      <x:c r="U135" s="90"/>
      <x:c r="V135" s="90"/>
      <x:c r="W135" s="90"/>
      <x:c r="X135" s="90"/>
      <x:c r="Y135" s="90"/>
      <x:c r="Z135" s="90"/>
      <x:c r="AA135" s="90"/>
      <x:c r="AB135" s="90"/>
      <x:c r="AC135" s="90"/>
      <x:c r="AD135" s="90"/>
      <x:c r="AE135" s="90"/>
      <x:c r="AF135" s="90"/>
    </x:row>
    <x:row r="136" ht="28" customHeight="1">
      <x:c r="A136" s="90"/>
      <x:c r="B136" s="90"/>
      <x:c r="C136" s="90"/>
      <x:c r="D136" s="90"/>
      <x:c r="E136" s="90"/>
      <x:c r="F136" s="90"/>
      <x:c r="G136" s="90"/>
      <x:c r="H136" s="90"/>
      <x:c r="I136" s="90"/>
      <x:c r="J136" s="90"/>
      <x:c r="K136" s="90"/>
      <x:c r="L136" s="90"/>
      <x:c r="M136" s="90"/>
      <x:c r="N136" s="90"/>
      <x:c r="O136" s="90"/>
      <x:c r="P136" s="90"/>
      <x:c r="Q136" s="90"/>
      <x:c r="R136" s="90"/>
      <x:c r="S136" s="90"/>
      <x:c r="T136" s="90"/>
      <x:c r="U136" s="90"/>
      <x:c r="V136" s="90"/>
      <x:c r="W136" s="90"/>
      <x:c r="X136" s="90"/>
      <x:c r="Y136" s="90"/>
      <x:c r="Z136" s="90"/>
      <x:c r="AA136" s="90"/>
      <x:c r="AB136" s="90"/>
      <x:c r="AC136" s="90"/>
      <x:c r="AD136" s="90"/>
      <x:c r="AE136" s="90"/>
      <x:c r="AF136" s="90"/>
    </x:row>
    <x:row r="137" ht="28" customHeight="1">
      <x:c r="A137" s="90"/>
      <x:c r="B137" s="90"/>
      <x:c r="C137" s="90"/>
      <x:c r="D137" s="90"/>
      <x:c r="E137" s="90"/>
      <x:c r="F137" s="90"/>
      <x:c r="G137" s="90"/>
      <x:c r="H137" s="90"/>
      <x:c r="I137" s="90"/>
      <x:c r="J137" s="90"/>
      <x:c r="K137" s="90"/>
      <x:c r="L137" s="90"/>
      <x:c r="M137" s="90"/>
      <x:c r="N137" s="90"/>
      <x:c r="O137" s="90"/>
      <x:c r="P137" s="90"/>
      <x:c r="Q137" s="90"/>
      <x:c r="R137" s="90"/>
      <x:c r="S137" s="90"/>
      <x:c r="T137" s="90"/>
      <x:c r="U137" s="90"/>
      <x:c r="V137" s="90"/>
      <x:c r="W137" s="90"/>
      <x:c r="X137" s="90"/>
      <x:c r="Y137" s="90"/>
      <x:c r="Z137" s="90"/>
      <x:c r="AA137" s="90"/>
      <x:c r="AB137" s="90"/>
      <x:c r="AC137" s="90"/>
      <x:c r="AD137" s="90"/>
      <x:c r="AE137" s="90"/>
      <x:c r="AF137" s="90"/>
    </x:row>
    <x:row r="138" ht="28" customHeight="1">
      <x:c r="A138" s="90"/>
      <x:c r="B138" s="90"/>
      <x:c r="C138" s="90"/>
      <x:c r="D138" s="90"/>
      <x:c r="E138" s="90"/>
      <x:c r="F138" s="90"/>
      <x:c r="G138" s="90"/>
      <x:c r="H138" s="90"/>
      <x:c r="I138" s="90"/>
      <x:c r="J138" s="90"/>
      <x:c r="K138" s="90"/>
      <x:c r="L138" s="90"/>
      <x:c r="M138" s="90"/>
      <x:c r="N138" s="90"/>
      <x:c r="O138" s="90"/>
      <x:c r="P138" s="90"/>
      <x:c r="Q138" s="90"/>
      <x:c r="R138" s="90"/>
      <x:c r="S138" s="90"/>
      <x:c r="T138" s="90"/>
      <x:c r="U138" s="90"/>
      <x:c r="V138" s="90"/>
      <x:c r="W138" s="90"/>
      <x:c r="X138" s="90"/>
      <x:c r="Y138" s="90"/>
      <x:c r="Z138" s="90"/>
      <x:c r="AA138" s="90"/>
      <x:c r="AB138" s="90"/>
      <x:c r="AC138" s="90"/>
      <x:c r="AD138" s="90"/>
      <x:c r="AE138" s="90"/>
      <x:c r="AF138" s="90"/>
    </x:row>
    <x:row r="139" ht="28" customHeight="1">
      <x:c r="A139" s="90"/>
      <x:c r="B139" s="90"/>
      <x:c r="C139" s="90"/>
      <x:c r="D139" s="90"/>
      <x:c r="E139" s="90"/>
      <x:c r="F139" s="90"/>
      <x:c r="G139" s="90"/>
      <x:c r="H139" s="90"/>
      <x:c r="I139" s="90"/>
      <x:c r="J139" s="90"/>
      <x:c r="K139" s="90"/>
      <x:c r="L139" s="90"/>
      <x:c r="M139" s="90"/>
      <x:c r="N139" s="90"/>
      <x:c r="O139" s="90"/>
      <x:c r="P139" s="90"/>
      <x:c r="Q139" s="90"/>
      <x:c r="R139" s="90"/>
      <x:c r="S139" s="90"/>
      <x:c r="T139" s="90"/>
      <x:c r="U139" s="90"/>
      <x:c r="V139" s="90"/>
      <x:c r="W139" s="90"/>
      <x:c r="X139" s="90"/>
      <x:c r="Y139" s="90"/>
      <x:c r="Z139" s="90"/>
      <x:c r="AA139" s="90"/>
      <x:c r="AB139" s="90"/>
      <x:c r="AC139" s="90"/>
      <x:c r="AD139" s="90"/>
      <x:c r="AE139" s="90"/>
      <x:c r="AF139" s="90"/>
    </x:row>
    <x:row r="140" ht="28" customHeight="1">
      <x:c r="A140" s="90"/>
      <x:c r="B140" s="90"/>
      <x:c r="C140" s="90"/>
      <x:c r="D140" s="90"/>
      <x:c r="E140" s="90"/>
      <x:c r="F140" s="90"/>
      <x:c r="G140" s="90"/>
      <x:c r="H140" s="90"/>
      <x:c r="I140" s="90"/>
      <x:c r="J140" s="90"/>
      <x:c r="K140" s="90"/>
      <x:c r="L140" s="90"/>
      <x:c r="M140" s="90"/>
      <x:c r="N140" s="90"/>
      <x:c r="O140" s="90"/>
      <x:c r="P140" s="90"/>
      <x:c r="Q140" s="90"/>
      <x:c r="R140" s="90"/>
      <x:c r="S140" s="90"/>
      <x:c r="T140" s="90"/>
      <x:c r="U140" s="90"/>
      <x:c r="V140" s="90"/>
      <x:c r="W140" s="90"/>
      <x:c r="X140" s="90"/>
      <x:c r="Y140" s="90"/>
      <x:c r="Z140" s="90"/>
      <x:c r="AA140" s="90"/>
      <x:c r="AB140" s="90"/>
      <x:c r="AC140" s="90"/>
      <x:c r="AD140" s="90"/>
      <x:c r="AE140" s="90"/>
      <x:c r="AF140" s="90"/>
    </x:row>
    <x:row r="141" ht="28" customHeight="1">
      <x:c r="A141" s="90"/>
      <x:c r="B141" s="90"/>
      <x:c r="C141" s="90"/>
      <x:c r="D141" s="90"/>
      <x:c r="E141" s="90"/>
      <x:c r="F141" s="90"/>
      <x:c r="G141" s="90"/>
      <x:c r="H141" s="90"/>
      <x:c r="I141" s="90"/>
      <x:c r="J141" s="90"/>
      <x:c r="K141" s="90"/>
      <x:c r="L141" s="90"/>
      <x:c r="M141" s="90"/>
      <x:c r="N141" s="90"/>
      <x:c r="O141" s="90"/>
      <x:c r="P141" s="90"/>
      <x:c r="Q141" s="90"/>
      <x:c r="R141" s="90"/>
      <x:c r="S141" s="90"/>
      <x:c r="T141" s="90"/>
      <x:c r="U141" s="90"/>
      <x:c r="V141" s="90"/>
      <x:c r="W141" s="90"/>
      <x:c r="X141" s="90"/>
      <x:c r="Y141" s="90"/>
      <x:c r="Z141" s="90"/>
      <x:c r="AA141" s="90"/>
      <x:c r="AB141" s="90"/>
      <x:c r="AC141" s="90"/>
      <x:c r="AD141" s="90"/>
      <x:c r="AE141" s="90"/>
      <x:c r="AF141" s="90"/>
    </x:row>
    <x:row r="142" ht="28" customHeight="1">
      <x:c r="A142" s="90"/>
      <x:c r="B142" s="90"/>
      <x:c r="C142" s="90"/>
      <x:c r="D142" s="90"/>
      <x:c r="E142" s="90"/>
      <x:c r="F142" s="90"/>
      <x:c r="G142" s="90"/>
      <x:c r="H142" s="90"/>
      <x:c r="I142" s="90"/>
      <x:c r="J142" s="90"/>
      <x:c r="K142" s="90"/>
      <x:c r="L142" s="90"/>
      <x:c r="M142" s="90"/>
      <x:c r="N142" s="90"/>
      <x:c r="O142" s="90"/>
      <x:c r="P142" s="90"/>
      <x:c r="Q142" s="90"/>
      <x:c r="R142" s="90"/>
      <x:c r="S142" s="90"/>
      <x:c r="T142" s="90"/>
      <x:c r="U142" s="90"/>
      <x:c r="V142" s="90"/>
      <x:c r="W142" s="90"/>
      <x:c r="X142" s="90"/>
      <x:c r="Y142" s="90"/>
      <x:c r="Z142" s="90"/>
      <x:c r="AA142" s="90"/>
      <x:c r="AB142" s="90"/>
      <x:c r="AC142" s="90"/>
      <x:c r="AD142" s="90"/>
      <x:c r="AE142" s="90"/>
      <x:c r="AF142" s="90"/>
    </x:row>
    <x:row r="143" ht="28" customHeight="1">
      <x:c r="A143" s="90"/>
      <x:c r="B143" s="90"/>
      <x:c r="C143" s="90"/>
      <x:c r="D143" s="90"/>
      <x:c r="E143" s="90"/>
      <x:c r="F143" s="90"/>
      <x:c r="G143" s="90"/>
      <x:c r="H143" s="90"/>
      <x:c r="I143" s="90"/>
      <x:c r="J143" s="90"/>
      <x:c r="K143" s="90"/>
      <x:c r="L143" s="90"/>
      <x:c r="M143" s="90"/>
      <x:c r="N143" s="90"/>
      <x:c r="O143" s="90"/>
      <x:c r="P143" s="90"/>
      <x:c r="Q143" s="90"/>
      <x:c r="R143" s="90"/>
      <x:c r="S143" s="90"/>
      <x:c r="T143" s="90"/>
      <x:c r="U143" s="90"/>
      <x:c r="V143" s="90"/>
      <x:c r="W143" s="90"/>
      <x:c r="X143" s="90"/>
      <x:c r="Y143" s="90"/>
      <x:c r="Z143" s="90"/>
      <x:c r="AA143" s="90"/>
      <x:c r="AB143" s="90"/>
      <x:c r="AC143" s="90"/>
      <x:c r="AD143" s="90"/>
      <x:c r="AE143" s="90"/>
      <x:c r="AF143" s="90"/>
    </x:row>
    <x:row r="144" ht="28" customHeight="1">
      <x:c r="A144" s="90"/>
      <x:c r="B144" s="90"/>
      <x:c r="C144" s="90"/>
      <x:c r="D144" s="90"/>
      <x:c r="E144" s="90"/>
      <x:c r="F144" s="90"/>
      <x:c r="G144" s="90"/>
      <x:c r="H144" s="90"/>
      <x:c r="I144" s="90"/>
      <x:c r="J144" s="90"/>
      <x:c r="K144" s="90"/>
      <x:c r="L144" s="90"/>
      <x:c r="M144" s="90"/>
      <x:c r="N144" s="90"/>
      <x:c r="O144" s="90"/>
      <x:c r="P144" s="90"/>
      <x:c r="Q144" s="90"/>
      <x:c r="R144" s="90"/>
      <x:c r="S144" s="90"/>
      <x:c r="T144" s="90"/>
      <x:c r="U144" s="90"/>
      <x:c r="V144" s="90"/>
      <x:c r="W144" s="90"/>
      <x:c r="X144" s="90"/>
      <x:c r="Y144" s="90"/>
      <x:c r="Z144" s="90"/>
      <x:c r="AA144" s="90"/>
      <x:c r="AB144" s="90"/>
      <x:c r="AC144" s="90"/>
      <x:c r="AD144" s="90"/>
      <x:c r="AE144" s="90"/>
      <x:c r="AF144" s="90"/>
    </x:row>
    <x:row r="145" ht="28" customHeight="1">
      <x:c r="A145" s="90"/>
      <x:c r="B145" s="90"/>
      <x:c r="C145" s="90"/>
      <x:c r="D145" s="90"/>
      <x:c r="E145" s="90"/>
      <x:c r="F145" s="90"/>
      <x:c r="G145" s="90"/>
      <x:c r="H145" s="90"/>
      <x:c r="I145" s="90"/>
      <x:c r="J145" s="90"/>
      <x:c r="K145" s="90"/>
      <x:c r="L145" s="90"/>
      <x:c r="M145" s="90"/>
      <x:c r="N145" s="90"/>
      <x:c r="O145" s="90"/>
      <x:c r="P145" s="90"/>
      <x:c r="Q145" s="90"/>
      <x:c r="R145" s="90"/>
      <x:c r="S145" s="90"/>
      <x:c r="T145" s="90"/>
      <x:c r="U145" s="90"/>
      <x:c r="V145" s="90"/>
      <x:c r="W145" s="90"/>
      <x:c r="X145" s="90"/>
      <x:c r="Y145" s="90"/>
      <x:c r="Z145" s="90"/>
      <x:c r="AA145" s="90"/>
      <x:c r="AB145" s="90"/>
      <x:c r="AC145" s="90"/>
      <x:c r="AD145" s="90"/>
      <x:c r="AE145" s="90"/>
      <x:c r="AF145" s="90"/>
    </x:row>
    <x:row r="146" ht="28" customHeight="1">
      <x:c r="A146" s="90"/>
      <x:c r="B146" s="90"/>
      <x:c r="C146" s="90"/>
      <x:c r="D146" s="90"/>
      <x:c r="E146" s="90"/>
      <x:c r="F146" s="90"/>
      <x:c r="G146" s="90"/>
      <x:c r="H146" s="90"/>
      <x:c r="I146" s="90"/>
      <x:c r="J146" s="90"/>
      <x:c r="K146" s="90"/>
      <x:c r="L146" s="90"/>
      <x:c r="M146" s="90"/>
      <x:c r="N146" s="90"/>
      <x:c r="O146" s="90"/>
      <x:c r="P146" s="90"/>
      <x:c r="Q146" s="90"/>
      <x:c r="R146" s="90"/>
      <x:c r="S146" s="90"/>
      <x:c r="T146" s="90"/>
      <x:c r="U146" s="90"/>
      <x:c r="V146" s="90"/>
      <x:c r="W146" s="90"/>
      <x:c r="X146" s="90"/>
      <x:c r="Y146" s="90"/>
      <x:c r="Z146" s="90"/>
      <x:c r="AA146" s="90"/>
      <x:c r="AB146" s="90"/>
      <x:c r="AC146" s="90"/>
      <x:c r="AD146" s="90"/>
      <x:c r="AE146" s="90"/>
      <x:c r="AF146" s="90"/>
    </x:row>
    <x:row r="147" ht="28" customHeight="1">
      <x:c r="A147" s="90"/>
      <x:c r="B147" s="90"/>
      <x:c r="C147" s="90"/>
      <x:c r="D147" s="90"/>
      <x:c r="E147" s="90"/>
      <x:c r="F147" s="90"/>
      <x:c r="G147" s="90"/>
      <x:c r="H147" s="90"/>
      <x:c r="I147" s="90"/>
      <x:c r="J147" s="90"/>
      <x:c r="K147" s="90"/>
      <x:c r="L147" s="90"/>
      <x:c r="M147" s="90"/>
      <x:c r="N147" s="90"/>
      <x:c r="O147" s="90"/>
      <x:c r="P147" s="90"/>
      <x:c r="Q147" s="90"/>
      <x:c r="R147" s="90"/>
      <x:c r="S147" s="90"/>
      <x:c r="T147" s="90"/>
      <x:c r="U147" s="90"/>
      <x:c r="V147" s="90"/>
      <x:c r="W147" s="90"/>
      <x:c r="X147" s="90"/>
      <x:c r="Y147" s="90"/>
      <x:c r="Z147" s="90"/>
      <x:c r="AA147" s="90"/>
      <x:c r="AB147" s="90"/>
      <x:c r="AC147" s="90"/>
      <x:c r="AD147" s="90"/>
      <x:c r="AE147" s="90"/>
      <x:c r="AF147" s="90"/>
    </x:row>
    <x:row r="148" ht="28" customHeight="1">
      <x:c r="A148" s="90"/>
      <x:c r="B148" s="90"/>
      <x:c r="C148" s="90"/>
      <x:c r="D148" s="90"/>
      <x:c r="E148" s="90"/>
      <x:c r="F148" s="90"/>
      <x:c r="G148" s="90"/>
      <x:c r="H148" s="90"/>
      <x:c r="I148" s="90"/>
      <x:c r="J148" s="90"/>
      <x:c r="K148" s="90"/>
      <x:c r="L148" s="90"/>
      <x:c r="M148" s="90"/>
      <x:c r="N148" s="90"/>
      <x:c r="O148" s="90"/>
      <x:c r="P148" s="90"/>
      <x:c r="Q148" s="90"/>
      <x:c r="R148" s="90"/>
      <x:c r="S148" s="90"/>
      <x:c r="T148" s="90"/>
      <x:c r="U148" s="90"/>
      <x:c r="V148" s="90"/>
      <x:c r="W148" s="90"/>
      <x:c r="X148" s="90"/>
      <x:c r="Y148" s="90"/>
      <x:c r="Z148" s="90"/>
      <x:c r="AA148" s="90"/>
      <x:c r="AB148" s="90"/>
      <x:c r="AC148" s="90"/>
      <x:c r="AD148" s="90"/>
      <x:c r="AE148" s="90"/>
      <x:c r="AF148" s="90"/>
    </x:row>
    <x:row r="149" ht="28" customHeight="1">
      <x:c r="A149" s="90"/>
      <x:c r="B149" s="90"/>
      <x:c r="C149" s="90"/>
      <x:c r="D149" s="90"/>
      <x:c r="E149" s="90"/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  <x:c r="S149" s="90"/>
      <x:c r="T149" s="90"/>
      <x:c r="U149" s="90"/>
      <x:c r="V149" s="90"/>
      <x:c r="W149" s="90"/>
      <x:c r="X149" s="90"/>
      <x:c r="Y149" s="90"/>
      <x:c r="Z149" s="90"/>
      <x:c r="AA149" s="90"/>
      <x:c r="AB149" s="90"/>
      <x:c r="AC149" s="90"/>
      <x:c r="AD149" s="90"/>
      <x:c r="AE149" s="90"/>
      <x:c r="AF149" s="90"/>
    </x:row>
    <x:row r="150" ht="28" hidden="1" customHeight="1">
      <x:c r="A150" s="90"/>
      <x:c r="B150" s="90"/>
      <x:c r="C150" s="90"/>
      <x:c r="D150" s="90"/>
      <x:c r="E150" s="90"/>
      <x:c r="F150" s="90"/>
      <x:c r="G150" s="90"/>
      <x:c r="H150" s="90"/>
      <x:c r="I150" s="90"/>
      <x:c r="J150" s="90"/>
      <x:c r="K150" s="90"/>
      <x:c r="L150" s="90"/>
      <x:c r="M150" s="90"/>
      <x:c r="N150" s="90"/>
      <x:c r="O150" s="90"/>
      <x:c r="P150" s="90"/>
      <x:c r="Q150" s="90"/>
      <x:c r="R150" s="90"/>
      <x:c r="S150" s="90"/>
      <x:c r="T150" s="90"/>
      <x:c r="U150" s="90" t="str">
        <x:v>Amount</x:v>
      </x:c>
      <x:c r="V150" s="90" t="str">
        <x:v>Taka</x:v>
      </x:c>
      <x:c r="W150" s="90"/>
      <x:c r="X150" s="90"/>
      <x:c r="Y150" s="90"/>
      <x:c r="Z150" s="90" t="str">
        <x:v>Counter</x:v>
      </x:c>
      <x:c r="AA150" s="90" t="str">
        <x:v>Tickets</x:v>
      </x:c>
      <x:c r="AB150" s="90"/>
      <x:c r="AC150" s="90"/>
      <x:c r="AD150" s="90"/>
      <x:c r="AE150" s="90"/>
      <x:c r="AF150" s="90"/>
    </x:row>
    <x:row r="151" ht="28" hidden="1" customHeight="1">
      <x:c r="A151" s="90"/>
      <x:c r="B151" s="90"/>
      <x:c r="C151" s="90"/>
      <x:c r="D151" s="90"/>
      <x:c r="E151" s="90"/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  <x:c r="S151" s="90"/>
      <x:c r="T151" s="90"/>
      <x:c r="U151" s="90" t="str">
        <x:v>Total income</x:v>
      </x:c>
      <x:c r="V151" s="90" t="n">
        <x:f>P8</x:f>
        <x:v>0</x:v>
      </x:c>
      <x:c r="W151" s="90"/>
      <x:c r="X151" s="90"/>
      <x:c r="Y151" s="90"/>
      <x:c r="Z151" s="90" t="str">
        <x:f>IF(COUNT($W$156:$W$255)&lt;1,"",INDEX($U$156:$U$255,MATCH(1,$W$156:$W$255,0)))</x:f>
      </x:c>
      <x:c r="AA151" s="90" t="str">
        <x:f>IF(Z151="","",INDEX($V$156:$V$255,MATCH(1,$W$156:$W$255,0)))</x:f>
      </x:c>
      <x:c r="AB151" s="90"/>
      <x:c r="AC151" s="90"/>
      <x:c r="AD151" s="90"/>
      <x:c r="AE151" s="90"/>
      <x:c r="AF151" s="90"/>
    </x:row>
    <x:row r="152" ht="28" hidden="1" customHeight="1">
      <x:c r="A152" s="90"/>
      <x:c r="B152" s="90"/>
      <x:c r="C152" s="90"/>
      <x:c r="D152" s="90"/>
      <x:c r="E152" s="90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  <x:c r="S152" s="90"/>
      <x:c r="T152" s="90"/>
      <x:c r="U152" s="90" t="str">
        <x:v>Total commission</x:v>
      </x:c>
      <x:c r="V152" s="90" t="n">
        <x:f>F11</x:f>
        <x:v>0</x:v>
      </x:c>
      <x:c r="W152" s="90"/>
      <x:c r="X152" s="90"/>
      <x:c r="Y152" s="90"/>
      <x:c r="Z152" s="90" t="str">
        <x:f>IF(COUNT($W$156:$W$255)&lt;2,"",INDEX($U$156:$U$255,MATCH(2,$W$156:$W$255,0)))</x:f>
      </x:c>
      <x:c r="AA152" s="90" t="str">
        <x:f>IF(Z152="","",INDEX($V$156:$V$255,MATCH(2,$W$156:$W$255,0)))</x:f>
      </x:c>
      <x:c r="AB152" s="90"/>
      <x:c r="AC152" s="90"/>
      <x:c r="AD152" s="90"/>
      <x:c r="AE152" s="90"/>
      <x:c r="AF152" s="90"/>
    </x:row>
    <x:row r="153" ht="28" hidden="1" customHeight="1">
      <x:c r="A153" s="90"/>
      <x:c r="B153" s="90"/>
      <x:c r="C153" s="90"/>
      <x:c r="D153" s="90"/>
      <x:c r="E153" s="90"/>
      <x:c r="F153" s="90"/>
      <x:c r="G153" s="90"/>
      <x:c r="H153" s="90"/>
      <x:c r="I153" s="90"/>
      <x:c r="J153" s="90"/>
      <x:c r="K153" s="90"/>
      <x:c r="L153" s="90"/>
      <x:c r="M153" s="90"/>
      <x:c r="N153" s="90"/>
      <x:c r="O153" s="90"/>
      <x:c r="P153" s="90"/>
      <x:c r="Q153" s="90"/>
      <x:c r="R153" s="90"/>
      <x:c r="S153" s="90"/>
      <x:c r="T153" s="90"/>
      <x:c r="U153" s="90"/>
      <x:c r="V153" s="90"/>
      <x:c r="W153" s="90"/>
      <x:c r="X153" s="90"/>
      <x:c r="Y153" s="90"/>
      <x:c r="Z153" s="90" t="str">
        <x:f>IF(COUNT($W$156:$W$255)&lt;3,"",INDEX($U$156:$U$255,MATCH(3,$W$156:$W$255,0)))</x:f>
      </x:c>
      <x:c r="AA153" s="90" t="str">
        <x:f>IF(Z153="","",INDEX($V$156:$V$255,MATCH(3,$W$156:$W$255,0)))</x:f>
      </x:c>
      <x:c r="AB153" s="90"/>
      <x:c r="AC153" s="90"/>
      <x:c r="AD153" s="90"/>
      <x:c r="AE153" s="90"/>
      <x:c r="AF153" s="90"/>
    </x:row>
    <x:row r="154" ht="28" hidden="1" customHeight="1">
      <x:c r="A154" s="90"/>
      <x:c r="B154" s="90"/>
      <x:c r="C154" s="90"/>
      <x:c r="D154" s="90"/>
      <x:c r="E154" s="90"/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  <x:c r="S154" s="90"/>
      <x:c r="T154" s="90"/>
      <x:c r="U154" s="90"/>
      <x:c r="V154" s="90"/>
      <x:c r="W154" s="90"/>
      <x:c r="X154" s="90"/>
      <x:c r="Y154" s="90"/>
      <x:c r="Z154" s="90" t="str">
        <x:f>IF(COUNT($W$156:$W$255)&lt;4,"",INDEX($U$156:$U$255,MATCH(4,$W$156:$W$255,0)))</x:f>
      </x:c>
      <x:c r="AA154" s="90" t="str">
        <x:f>IF(Z154="","",INDEX($V$156:$V$255,MATCH(4,$W$156:$W$255,0)))</x:f>
      </x:c>
      <x:c r="AB154" s="90"/>
      <x:c r="AC154" s="90"/>
      <x:c r="AD154" s="90"/>
      <x:c r="AE154" s="90"/>
      <x:c r="AF154" s="90"/>
    </x:row>
    <x:row r="155" ht="28" hidden="1" customHeight="1">
      <x:c r="A155" s="90"/>
      <x:c r="B155" s="90"/>
      <x:c r="C155" s="90"/>
      <x:c r="D155" s="90"/>
      <x:c r="E155" s="90"/>
      <x:c r="F155" s="90"/>
      <x:c r="G155" s="90"/>
      <x:c r="H155" s="90"/>
      <x:c r="I155" s="90"/>
      <x:c r="J155" s="90"/>
      <x:c r="K155" s="90"/>
      <x:c r="L155" s="90"/>
      <x:c r="M155" s="90"/>
      <x:c r="N155" s="90"/>
      <x:c r="O155" s="90"/>
      <x:c r="P155" s="90"/>
      <x:c r="Q155" s="90"/>
      <x:c r="R155" s="90"/>
      <x:c r="S155" s="90"/>
      <x:c r="T155" s="90"/>
      <x:c r="U155" s="90" t="str">
        <x:v>Counter</x:v>
      </x:c>
      <x:c r="V155" s="90" t="str">
        <x:v>Tickets</x:v>
      </x:c>
      <x:c r="W155" s="90" t="str">
        <x:v>Rank</x:v>
      </x:c>
      <x:c r="X155" s="90"/>
      <x:c r="Y155" s="90"/>
      <x:c r="Z155" s="90" t="str">
        <x:v>Other counters</x:v>
      </x:c>
      <x:c r="AA155" s="90" t="n">
        <x:f>MAX(SUM(Collections!G6:G505)-SUM(AA151:AA154),0)</x:f>
        <x:v>0</x:v>
      </x:c>
      <x:c r="AB155" s="90"/>
      <x:c r="AC155" s="90"/>
      <x:c r="AD155" s="90"/>
      <x:c r="AE155" s="90"/>
      <x:c r="AF155" s="90"/>
    </x:row>
    <x:row r="156" ht="28" hidden="1" customHeight="1">
      <x:c r="A156" s="90"/>
      <x:c r="B156" s="90"/>
      <x:c r="C156" s="90"/>
      <x:c r="D156" s="90"/>
      <x:c r="E156" s="90"/>
      <x:c r="F156" s="90"/>
      <x:c r="G156" s="90"/>
      <x:c r="H156" s="90"/>
      <x:c r="I156" s="90"/>
      <x:c r="J156" s="90"/>
      <x:c r="K156" s="90"/>
      <x:c r="L156" s="90"/>
      <x:c r="M156" s="90"/>
      <x:c r="N156" s="90"/>
      <x:c r="O156" s="90"/>
      <x:c r="P156" s="90"/>
      <x:c r="Q156" s="90"/>
      <x:c r="R156" s="90"/>
      <x:c r="S156" s="90"/>
      <x:c r="T156" s="90"/>
      <x:c r="U156" s="90" t="str">
        <x:f>IF(Counters!A6="","",Counters!A6)</x:f>
        <x:v>Gabtoli AC</x:v>
      </x:c>
      <x:c r="V156" s="90" t="n">
        <x:f>IF(U156="","",SUMIFS(Collections!$G$6:$G$505,Collections!$E$6:$E$505,U156))</x:f>
        <x:v>0</x:v>
      </x:c>
      <x:c r="W156" s="90" t="str">
        <x:f>IF(AND(ISNUMBER(V156),V156&gt;0),COUNTIFS($V$156:$V$255,"&gt;"&amp;V156)+COUNTIFS($V$156:V156,V156),"")</x:f>
      </x:c>
      <x:c r="X156" s="90"/>
      <x:c r="Y156" s="90"/>
      <x:c r="Z156" s="90"/>
      <x:c r="AA156" s="90"/>
      <x:c r="AB156" s="90"/>
      <x:c r="AC156" s="90"/>
      <x:c r="AD156" s="90"/>
      <x:c r="AE156" s="90"/>
      <x:c r="AF156" s="90"/>
    </x:row>
    <x:row r="157" ht="28" hidden="1" customHeight="1">
      <x:c r="A157" s="90"/>
      <x:c r="B157" s="90"/>
      <x:c r="C157" s="90"/>
      <x:c r="D157" s="90"/>
      <x:c r="E157" s="90"/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  <x:c r="S157" s="90"/>
      <x:c r="T157" s="90"/>
      <x:c r="U157" s="90" t="str">
        <x:f>IF(Counters!A7="","",Counters!A7)</x:f>
        <x:v>Balurmath - 2</x:v>
      </x:c>
      <x:c r="V157" s="90" t="n">
        <x:f>IF(U157="","",SUMIFS(Collections!$G$6:$G$505,Collections!$E$6:$E$505,U157))</x:f>
        <x:v>0</x:v>
      </x:c>
      <x:c r="W157" s="90" t="str">
        <x:f>IF(AND(ISNUMBER(V157),V157&gt;0),COUNTIFS($V$156:$V$255,"&gt;"&amp;V157)+COUNTIFS($V$156:V157,V157),"")</x:f>
      </x:c>
      <x:c r="X157" s="90"/>
      <x:c r="Y157" s="90"/>
      <x:c r="Z157" s="90"/>
      <x:c r="AA157" s="90"/>
      <x:c r="AB157" s="90"/>
      <x:c r="AC157" s="90"/>
      <x:c r="AD157" s="90"/>
      <x:c r="AE157" s="90"/>
      <x:c r="AF157" s="90"/>
    </x:row>
    <x:row r="158" ht="28" hidden="1" customHeight="1">
      <x:c r="A158" s="90"/>
      <x:c r="B158" s="90"/>
      <x:c r="C158" s="90"/>
      <x:c r="D158" s="90"/>
      <x:c r="E158" s="90"/>
      <x:c r="F158" s="90"/>
      <x:c r="G158" s="90"/>
      <x:c r="H158" s="90"/>
      <x:c r="I158" s="90"/>
      <x:c r="J158" s="90"/>
      <x:c r="K158" s="90"/>
      <x:c r="L158" s="90"/>
      <x:c r="M158" s="90"/>
      <x:c r="N158" s="90"/>
      <x:c r="O158" s="90"/>
      <x:c r="P158" s="90"/>
      <x:c r="Q158" s="90"/>
      <x:c r="R158" s="90"/>
      <x:c r="S158" s="90"/>
      <x:c r="T158" s="90"/>
      <x:c r="U158" s="90" t="str">
        <x:f>IF(Counters!A8="","",Counters!A8)</x:f>
        <x:v>Gabtoli B-6</x:v>
      </x:c>
      <x:c r="V158" s="90" t="n">
        <x:f>IF(U158="","",SUMIFS(Collections!$G$6:$G$505,Collections!$E$6:$E$505,U158))</x:f>
        <x:v>0</x:v>
      </x:c>
      <x:c r="W158" s="90" t="str">
        <x:f>IF(AND(ISNUMBER(V158),V158&gt;0),COUNTIFS($V$156:$V$255,"&gt;"&amp;V158)+COUNTIFS($V$156:V158,V158),"")</x:f>
      </x:c>
      <x:c r="X158" s="90"/>
      <x:c r="Y158" s="90"/>
      <x:c r="Z158" s="90"/>
      <x:c r="AA158" s="90"/>
      <x:c r="AB158" s="90"/>
      <x:c r="AC158" s="90"/>
      <x:c r="AD158" s="90"/>
      <x:c r="AE158" s="90"/>
      <x:c r="AF158" s="90"/>
    </x:row>
    <x:row r="159" ht="28" hidden="1" customHeight="1">
      <x:c r="A159" s="90"/>
      <x:c r="B159" s="90"/>
      <x:c r="C159" s="90"/>
      <x:c r="D159" s="90"/>
      <x:c r="E159" s="90"/>
      <x:c r="F159" s="90"/>
      <x:c r="G159" s="90"/>
      <x:c r="H159" s="90"/>
      <x:c r="I159" s="90"/>
      <x:c r="J159" s="90"/>
      <x:c r="K159" s="90"/>
      <x:c r="L159" s="90"/>
      <x:c r="M159" s="90"/>
      <x:c r="N159" s="90"/>
      <x:c r="O159" s="90"/>
      <x:c r="P159" s="90"/>
      <x:c r="Q159" s="90"/>
      <x:c r="R159" s="90"/>
      <x:c r="S159" s="90"/>
      <x:c r="T159" s="90"/>
      <x:c r="U159" s="90" t="str">
        <x:f>IF(Counters!A9="","",Counters!A9)</x:f>
        <x:v>Khalek Market</x:v>
      </x:c>
      <x:c r="V159" s="90" t="n">
        <x:f>IF(U159="","",SUMIFS(Collections!$G$6:$G$505,Collections!$E$6:$E$505,U159))</x:f>
        <x:v>0</x:v>
      </x:c>
      <x:c r="W159" s="90" t="str">
        <x:f>IF(AND(ISNUMBER(V159),V159&gt;0),COUNTIFS($V$156:$V$255,"&gt;"&amp;V159)+COUNTIFS($V$156:V159,V159),"")</x:f>
      </x:c>
      <x:c r="X159" s="90"/>
      <x:c r="Y159" s="90"/>
      <x:c r="Z159" s="90"/>
      <x:c r="AA159" s="90"/>
      <x:c r="AB159" s="90"/>
      <x:c r="AC159" s="90"/>
      <x:c r="AD159" s="90"/>
      <x:c r="AE159" s="90"/>
      <x:c r="AF159" s="90"/>
    </x:row>
    <x:row r="160" ht="28" hidden="1" customHeight="1">
      <x:c r="A160" s="90"/>
      <x:c r="B160" s="90"/>
      <x:c r="C160" s="90"/>
      <x:c r="D160" s="90"/>
      <x:c r="E160" s="90"/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  <x:c r="S160" s="90"/>
      <x:c r="T160" s="90"/>
      <x:c r="U160" s="90" t="str">
        <x:f>IF(Counters!A10="","",Counters!A10)</x:f>
        <x:v>Kallyanpur BRTC - 1</x:v>
      </x:c>
      <x:c r="V160" s="90" t="n">
        <x:f>IF(U160="","",SUMIFS(Collections!$G$6:$G$505,Collections!$E$6:$E$505,U160))</x:f>
        <x:v>0</x:v>
      </x:c>
      <x:c r="W160" s="90" t="str">
        <x:f>IF(AND(ISNUMBER(V160),V160&gt;0),COUNTIFS($V$156:$V$255,"&gt;"&amp;V160)+COUNTIFS($V$156:V160,V160),"")</x:f>
      </x:c>
      <x:c r="X160" s="90"/>
      <x:c r="Y160" s="90"/>
      <x:c r="Z160" s="90"/>
      <x:c r="AA160" s="90"/>
      <x:c r="AB160" s="90"/>
      <x:c r="AC160" s="90"/>
      <x:c r="AD160" s="90"/>
      <x:c r="AE160" s="90"/>
      <x:c r="AF160" s="90"/>
    </x:row>
    <x:row r="161" ht="28" hidden="1" customHeight="1">
      <x:c r="A161" s="90"/>
      <x:c r="B161" s="90"/>
      <x:c r="C161" s="90"/>
      <x:c r="D161" s="90"/>
      <x:c r="E161" s="90"/>
      <x:c r="F161" s="90"/>
      <x:c r="G161" s="90"/>
      <x:c r="H161" s="90"/>
      <x:c r="I161" s="90"/>
      <x:c r="J161" s="90"/>
      <x:c r="K161" s="90"/>
      <x:c r="L161" s="90"/>
      <x:c r="M161" s="90"/>
      <x:c r="N161" s="90"/>
      <x:c r="O161" s="90"/>
      <x:c r="P161" s="90"/>
      <x:c r="Q161" s="90"/>
      <x:c r="R161" s="90"/>
      <x:c r="S161" s="90"/>
      <x:c r="T161" s="90"/>
      <x:c r="U161" s="90" t="str">
        <x:f>IF(Counters!A11="","",Counters!A11)</x:f>
        <x:v>Kalabagan B-3</x:v>
      </x:c>
      <x:c r="V161" s="90" t="n">
        <x:f>IF(U161="","",SUMIFS(Collections!$G$6:$G$505,Collections!$E$6:$E$505,U161))</x:f>
        <x:v>0</x:v>
      </x:c>
      <x:c r="W161" s="90" t="str">
        <x:f>IF(AND(ISNUMBER(V161),V161&gt;0),COUNTIFS($V$156:$V$255,"&gt;"&amp;V161)+COUNTIFS($V$156:V161,V161),"")</x:f>
      </x:c>
      <x:c r="X161" s="90"/>
      <x:c r="Y161" s="90"/>
      <x:c r="Z161" s="90"/>
      <x:c r="AA161" s="90"/>
      <x:c r="AB161" s="90"/>
      <x:c r="AC161" s="90"/>
      <x:c r="AD161" s="90"/>
      <x:c r="AE161" s="90"/>
      <x:c r="AF161" s="90"/>
    </x:row>
    <x:row r="162" ht="28" hidden="1" customHeight="1">
      <x:c r="A162" s="90"/>
      <x:c r="B162" s="90"/>
      <x:c r="C162" s="90"/>
      <x:c r="D162" s="90"/>
      <x:c r="E162" s="90"/>
      <x:c r="F162" s="90"/>
      <x:c r="G162" s="90"/>
      <x:c r="H162" s="90"/>
      <x:c r="I162" s="90"/>
      <x:c r="J162" s="90"/>
      <x:c r="K162" s="90"/>
      <x:c r="L162" s="90"/>
      <x:c r="M162" s="90"/>
      <x:c r="N162" s="90"/>
      <x:c r="O162" s="90"/>
      <x:c r="P162" s="90"/>
      <x:c r="Q162" s="90"/>
      <x:c r="R162" s="90"/>
      <x:c r="S162" s="90"/>
      <x:c r="T162" s="90"/>
      <x:c r="U162" s="90" t="str">
        <x:f>IF(Counters!A12="","",Counters!A12)</x:f>
        <x:v>Panthapath AC</x:v>
      </x:c>
      <x:c r="V162" s="90" t="n">
        <x:f>IF(U162="","",SUMIFS(Collections!$G$6:$G$505,Collections!$E$6:$E$505,U162))</x:f>
        <x:v>0</x:v>
      </x:c>
      <x:c r="W162" s="90" t="str">
        <x:f>IF(AND(ISNUMBER(V162),V162&gt;0),COUNTIFS($V$156:$V$255,"&gt;"&amp;V162)+COUNTIFS($V$156:V162,V162),"")</x:f>
      </x:c>
      <x:c r="X162" s="90"/>
      <x:c r="Y162" s="90"/>
      <x:c r="Z162" s="90"/>
      <x:c r="AA162" s="90"/>
      <x:c r="AB162" s="90"/>
      <x:c r="AC162" s="90"/>
      <x:c r="AD162" s="90"/>
      <x:c r="AE162" s="90"/>
      <x:c r="AF162" s="90"/>
    </x:row>
    <x:row r="163" ht="28" hidden="1" customHeight="1">
      <x:c r="A163" s="90"/>
      <x:c r="B163" s="90"/>
      <x:c r="C163" s="90"/>
      <x:c r="D163" s="90"/>
      <x:c r="E163" s="90"/>
      <x:c r="F163" s="90"/>
      <x:c r="G163" s="90"/>
      <x:c r="H163" s="90"/>
      <x:c r="I163" s="90"/>
      <x:c r="J163" s="90"/>
      <x:c r="K163" s="90"/>
      <x:c r="L163" s="90"/>
      <x:c r="M163" s="90"/>
      <x:c r="N163" s="90"/>
      <x:c r="O163" s="90"/>
      <x:c r="P163" s="90"/>
      <x:c r="Q163" s="90"/>
      <x:c r="R163" s="90"/>
      <x:c r="S163" s="90"/>
      <x:c r="T163" s="90"/>
      <x:c r="U163" s="90" t="str">
        <x:f>IF(Counters!A13="","",Counters!A13)</x:f>
        <x:v>Fakirapul B-4-1</x:v>
      </x:c>
      <x:c r="V163" s="90" t="n">
        <x:f>IF(U163="","",SUMIFS(Collections!$G$6:$G$505,Collections!$E$6:$E$505,U163))</x:f>
        <x:v>0</x:v>
      </x:c>
      <x:c r="W163" s="90" t="str">
        <x:f>IF(AND(ISNUMBER(V163),V163&gt;0),COUNTIFS($V$156:$V$255,"&gt;"&amp;V163)+COUNTIFS($V$156:V163,V163),"")</x:f>
      </x:c>
      <x:c r="X163" s="90"/>
      <x:c r="Y163" s="90"/>
      <x:c r="Z163" s="90"/>
      <x:c r="AA163" s="90"/>
      <x:c r="AB163" s="90"/>
      <x:c r="AC163" s="90"/>
      <x:c r="AD163" s="90"/>
      <x:c r="AE163" s="90"/>
      <x:c r="AF163" s="90"/>
    </x:row>
    <x:row r="164" ht="28" hidden="1" customHeight="1">
      <x:c r="A164" s="90"/>
      <x:c r="B164" s="90"/>
      <x:c r="C164" s="90"/>
      <x:c r="D164" s="90"/>
      <x:c r="E164" s="90"/>
      <x:c r="F164" s="90"/>
      <x:c r="G164" s="90"/>
      <x:c r="H164" s="90"/>
      <x:c r="I164" s="90"/>
      <x:c r="J164" s="90"/>
      <x:c r="K164" s="90"/>
      <x:c r="L164" s="90"/>
      <x:c r="M164" s="90"/>
      <x:c r="N164" s="90"/>
      <x:c r="O164" s="90"/>
      <x:c r="P164" s="90"/>
      <x:c r="Q164" s="90"/>
      <x:c r="R164" s="90"/>
      <x:c r="S164" s="90"/>
      <x:c r="T164" s="90"/>
      <x:c r="U164" s="90" t="str">
        <x:f>IF(Counters!A14="","",Counters!A14)</x:f>
        <x:v>Fakirapul B-4-2</x:v>
      </x:c>
      <x:c r="V164" s="90" t="n">
        <x:f>IF(U164="","",SUMIFS(Collections!$G$6:$G$505,Collections!$E$6:$E$505,U164))</x:f>
        <x:v>0</x:v>
      </x:c>
      <x:c r="W164" s="90" t="str">
        <x:f>IF(AND(ISNUMBER(V164),V164&gt;0),COUNTIFS($V$156:$V$255,"&gt;"&amp;V164)+COUNTIFS($V$156:V164,V164),"")</x:f>
      </x:c>
      <x:c r="X164" s="90"/>
      <x:c r="Y164" s="90"/>
      <x:c r="Z164" s="90"/>
      <x:c r="AA164" s="90"/>
      <x:c r="AB164" s="90"/>
      <x:c r="AC164" s="90"/>
      <x:c r="AD164" s="90"/>
      <x:c r="AE164" s="90"/>
      <x:c r="AF164" s="90"/>
    </x:row>
    <x:row r="165" ht="28" hidden="1" customHeight="1">
      <x:c r="A165" s="90"/>
      <x:c r="B165" s="90"/>
      <x:c r="C165" s="90"/>
      <x:c r="D165" s="90"/>
      <x:c r="E165" s="90"/>
      <x:c r="F165" s="90"/>
      <x:c r="G165" s="90"/>
      <x:c r="H165" s="90"/>
      <x:c r="I165" s="90"/>
      <x:c r="J165" s="90"/>
      <x:c r="K165" s="90"/>
      <x:c r="L165" s="90"/>
      <x:c r="M165" s="90"/>
      <x:c r="N165" s="90"/>
      <x:c r="O165" s="90"/>
      <x:c r="P165" s="90"/>
      <x:c r="Q165" s="90"/>
      <x:c r="R165" s="90"/>
      <x:c r="S165" s="90"/>
      <x:c r="T165" s="90"/>
      <x:c r="U165" s="90" t="str">
        <x:f>IF(Counters!A15="","",Counters!A15)</x:f>
        <x:v>Sayedabad B-5</x:v>
      </x:c>
      <x:c r="V165" s="90" t="n">
        <x:f>IF(U165="","",SUMIFS(Collections!$G$6:$G$505,Collections!$E$6:$E$505,U165))</x:f>
        <x:v>0</x:v>
      </x:c>
      <x:c r="W165" s="90" t="str">
        <x:f>IF(AND(ISNUMBER(V165),V165&gt;0),COUNTIFS($V$156:$V$255,"&gt;"&amp;V165)+COUNTIFS($V$156:V165,V165),"")</x:f>
      </x:c>
      <x:c r="X165" s="90"/>
      <x:c r="Y165" s="90"/>
      <x:c r="Z165" s="90"/>
      <x:c r="AA165" s="90"/>
      <x:c r="AB165" s="90"/>
      <x:c r="AC165" s="90"/>
      <x:c r="AD165" s="90"/>
      <x:c r="AE165" s="90"/>
      <x:c r="AF165" s="90"/>
    </x:row>
    <x:row r="166" ht="28" hidden="1" customHeight="1">
      <x:c r="A166" s="90"/>
      <x:c r="B166" s="90"/>
      <x:c r="C166" s="90"/>
      <x:c r="D166" s="90"/>
      <x:c r="E166" s="90"/>
      <x:c r="F166" s="90"/>
      <x:c r="G166" s="90"/>
      <x:c r="H166" s="90"/>
      <x:c r="I166" s="90"/>
      <x:c r="J166" s="90"/>
      <x:c r="K166" s="90"/>
      <x:c r="L166" s="90"/>
      <x:c r="M166" s="90"/>
      <x:c r="N166" s="90"/>
      <x:c r="O166" s="90"/>
      <x:c r="P166" s="90"/>
      <x:c r="Q166" s="90"/>
      <x:c r="R166" s="90"/>
      <x:c r="S166" s="90"/>
      <x:c r="T166" s="90"/>
      <x:c r="U166" s="90" t="str">
        <x:f>IF(Counters!A16="","",Counters!A16)</x:f>
        <x:v>Sayedabad B-11</x:v>
      </x:c>
      <x:c r="V166" s="90" t="n">
        <x:f>IF(U166="","",SUMIFS(Collections!$G$6:$G$505,Collections!$E$6:$E$505,U166))</x:f>
        <x:v>0</x:v>
      </x:c>
      <x:c r="W166" s="90" t="str">
        <x:f>IF(AND(ISNUMBER(V166),V166&gt;0),COUNTIFS($V$156:$V$255,"&gt;"&amp;V166)+COUNTIFS($V$156:V166,V166),"")</x:f>
      </x:c>
      <x:c r="X166" s="90"/>
      <x:c r="Y166" s="90"/>
      <x:c r="Z166" s="90"/>
      <x:c r="AA166" s="90"/>
      <x:c r="AB166" s="90"/>
      <x:c r="AC166" s="90"/>
      <x:c r="AD166" s="90"/>
      <x:c r="AE166" s="90"/>
      <x:c r="AF166" s="90"/>
    </x:row>
    <x:row r="167" ht="28" hidden="1" customHeight="1">
      <x:c r="A167" s="90"/>
      <x:c r="B167" s="90"/>
      <x:c r="C167" s="90"/>
      <x:c r="D167" s="90"/>
      <x:c r="E167" s="90"/>
      <x:c r="F167" s="90"/>
      <x:c r="G167" s="90"/>
      <x:c r="H167" s="90"/>
      <x:c r="I167" s="90"/>
      <x:c r="J167" s="90"/>
      <x:c r="K167" s="90"/>
      <x:c r="L167" s="90"/>
      <x:c r="M167" s="90"/>
      <x:c r="N167" s="90"/>
      <x:c r="O167" s="90"/>
      <x:c r="P167" s="90"/>
      <x:c r="Q167" s="90"/>
      <x:c r="R167" s="90"/>
      <x:c r="S167" s="90"/>
      <x:c r="T167" s="90"/>
      <x:c r="U167" s="90" t="str">
        <x:f>IF(Counters!A17="","",Counters!A17)</x:f>
        <x:v>Shohoz.com</x:v>
      </x:c>
      <x:c r="V167" s="90" t="n">
        <x:f>IF(U167="","",SUMIFS(Collections!$G$6:$G$505,Collections!$E$6:$E$505,U167))</x:f>
        <x:v>0</x:v>
      </x:c>
      <x:c r="W167" s="90" t="str">
        <x:f>IF(AND(ISNUMBER(V167),V167&gt;0),COUNTIFS($V$156:$V$255,"&gt;"&amp;V167)+COUNTIFS($V$156:V167,V167),"")</x:f>
      </x:c>
      <x:c r="X167" s="90"/>
      <x:c r="Y167" s="90"/>
      <x:c r="Z167" s="90"/>
      <x:c r="AA167" s="90"/>
      <x:c r="AB167" s="90"/>
      <x:c r="AC167" s="90"/>
      <x:c r="AD167" s="90"/>
      <x:c r="AE167" s="90"/>
      <x:c r="AF167" s="90"/>
    </x:row>
    <x:row r="168" ht="28" hidden="1" customHeight="1">
      <x:c r="A168" s="90"/>
      <x:c r="B168" s="90"/>
      <x:c r="C168" s="90"/>
      <x:c r="D168" s="90"/>
      <x:c r="E168" s="90"/>
      <x:c r="F168" s="90"/>
      <x:c r="G168" s="90"/>
      <x:c r="H168" s="90"/>
      <x:c r="I168" s="90"/>
      <x:c r="J168" s="90"/>
      <x:c r="K168" s="90"/>
      <x:c r="L168" s="90"/>
      <x:c r="M168" s="90"/>
      <x:c r="N168" s="90"/>
      <x:c r="O168" s="90"/>
      <x:c r="P168" s="90"/>
      <x:c r="Q168" s="90"/>
      <x:c r="R168" s="90"/>
      <x:c r="S168" s="90"/>
      <x:c r="T168" s="90"/>
      <x:c r="U168" s="90" t="str">
        <x:f>IF(Counters!A18="","",Counters!A18)</x:f>
        <x:v>Mazar Road</x:v>
      </x:c>
      <x:c r="V168" s="90" t="n">
        <x:f>IF(U168="","",SUMIFS(Collections!$G$6:$G$505,Collections!$E$6:$E$505,U168))</x:f>
        <x:v>0</x:v>
      </x:c>
      <x:c r="W168" s="90" t="str">
        <x:f>IF(AND(ISNUMBER(V168),V168&gt;0),COUNTIFS($V$156:$V$255,"&gt;"&amp;V168)+COUNTIFS($V$156:V168,V168),"")</x:f>
      </x:c>
      <x:c r="X168" s="90"/>
      <x:c r="Y168" s="90"/>
      <x:c r="Z168" s="90"/>
      <x:c r="AA168" s="90"/>
      <x:c r="AB168" s="90"/>
      <x:c r="AC168" s="90"/>
      <x:c r="AD168" s="90"/>
      <x:c r="AE168" s="90"/>
      <x:c r="AF168" s="90"/>
    </x:row>
    <x:row r="169" ht="28" hidden="1" customHeight="1">
      <x:c r="A169" s="90"/>
      <x:c r="B169" s="90"/>
      <x:c r="C169" s="90"/>
      <x:c r="D169" s="90"/>
      <x:c r="E169" s="90"/>
      <x:c r="F169" s="90"/>
      <x:c r="G169" s="90"/>
      <x:c r="H169" s="90"/>
      <x:c r="I169" s="90"/>
      <x:c r="J169" s="90"/>
      <x:c r="K169" s="90"/>
      <x:c r="L169" s="90"/>
      <x:c r="M169" s="90"/>
      <x:c r="N169" s="90"/>
      <x:c r="O169" s="90"/>
      <x:c r="P169" s="90"/>
      <x:c r="Q169" s="90"/>
      <x:c r="R169" s="90"/>
      <x:c r="S169" s="90"/>
      <x:c r="T169" s="90"/>
      <x:c r="U169" s="90" t="str">
        <x:f>IF(Counters!A19="","",Counters!A19)</x:f>
        <x:v>Kallyanpur BRTC - 2</x:v>
      </x:c>
      <x:c r="V169" s="90" t="n">
        <x:f>IF(U169="","",SUMIFS(Collections!$G$6:$G$505,Collections!$E$6:$E$505,U169))</x:f>
        <x:v>0</x:v>
      </x:c>
      <x:c r="W169" s="90" t="str">
        <x:f>IF(AND(ISNUMBER(V169),V169&gt;0),COUNTIFS($V$156:$V$255,"&gt;"&amp;V169)+COUNTIFS($V$156:V169,V169),"")</x:f>
      </x:c>
      <x:c r="X169" s="90"/>
      <x:c r="Y169" s="90"/>
      <x:c r="Z169" s="90"/>
      <x:c r="AA169" s="90"/>
      <x:c r="AB169" s="90"/>
      <x:c r="AC169" s="90"/>
      <x:c r="AD169" s="90"/>
      <x:c r="AE169" s="90"/>
      <x:c r="AF169" s="90"/>
    </x:row>
    <x:row r="170" ht="28" hidden="1" customHeight="1">
      <x:c r="A170" s="90"/>
      <x:c r="B170" s="90"/>
      <x:c r="C170" s="90"/>
      <x:c r="D170" s="90"/>
      <x:c r="E170" s="90"/>
      <x:c r="F170" s="90"/>
      <x:c r="G170" s="90"/>
      <x:c r="H170" s="90"/>
      <x:c r="I170" s="90"/>
      <x:c r="J170" s="90"/>
      <x:c r="K170" s="90"/>
      <x:c r="L170" s="90"/>
      <x:c r="M170" s="90"/>
      <x:c r="N170" s="90"/>
      <x:c r="O170" s="90"/>
      <x:c r="P170" s="90"/>
      <x:c r="Q170" s="90"/>
      <x:c r="R170" s="90"/>
      <x:c r="S170" s="90"/>
      <x:c r="T170" s="90"/>
      <x:c r="U170" s="90" t="str">
        <x:f>IF(Counters!A20="","",Counters!A20)</x:f>
        <x:v>Panthapath Shohag</x:v>
      </x:c>
      <x:c r="V170" s="90" t="n">
        <x:f>IF(U170="","",SUMIFS(Collections!$G$6:$G$505,Collections!$E$6:$E$505,U170))</x:f>
        <x:v>0</x:v>
      </x:c>
      <x:c r="W170" s="90" t="str">
        <x:f>IF(AND(ISNUMBER(V170),V170&gt;0),COUNTIFS($V$156:$V$255,"&gt;"&amp;V170)+COUNTIFS($V$156:V170,V170),"")</x:f>
      </x:c>
      <x:c r="X170" s="90"/>
      <x:c r="Y170" s="90"/>
      <x:c r="Z170" s="90"/>
      <x:c r="AA170" s="90"/>
      <x:c r="AB170" s="90"/>
      <x:c r="AC170" s="90"/>
      <x:c r="AD170" s="90"/>
      <x:c r="AE170" s="90"/>
      <x:c r="AF170" s="90"/>
    </x:row>
    <x:row r="171" ht="28" hidden="1" customHeight="1">
      <x:c r="A171" s="90"/>
      <x:c r="B171" s="90"/>
      <x:c r="C171" s="90"/>
      <x:c r="D171" s="90"/>
      <x:c r="E171" s="90"/>
      <x:c r="F171" s="90"/>
      <x:c r="G171" s="90"/>
      <x:c r="H171" s="90"/>
      <x:c r="I171" s="90"/>
      <x:c r="J171" s="90"/>
      <x:c r="K171" s="90"/>
      <x:c r="L171" s="90"/>
      <x:c r="M171" s="90"/>
      <x:c r="N171" s="90"/>
      <x:c r="O171" s="90"/>
      <x:c r="P171" s="90"/>
      <x:c r="Q171" s="90"/>
      <x:c r="R171" s="90"/>
      <x:c r="S171" s="90"/>
      <x:c r="T171" s="90"/>
      <x:c r="U171" s="90" t="str">
        <x:f>IF(Counters!A21="","",Counters!A21)</x:f>
        <x:v>Maniknagar</x:v>
      </x:c>
      <x:c r="V171" s="90" t="n">
        <x:f>IF(U171="","",SUMIFS(Collections!$G$6:$G$505,Collections!$E$6:$E$505,U171))</x:f>
        <x:v>0</x:v>
      </x:c>
      <x:c r="W171" s="90" t="str">
        <x:f>IF(AND(ISNUMBER(V171),V171&gt;0),COUNTIFS($V$156:$V$255,"&gt;"&amp;V171)+COUNTIFS($V$156:V171,V171),"")</x:f>
      </x:c>
      <x:c r="X171" s="90"/>
      <x:c r="Y171" s="90"/>
      <x:c r="Z171" s="90"/>
      <x:c r="AA171" s="90"/>
      <x:c r="AB171" s="90"/>
      <x:c r="AC171" s="90"/>
      <x:c r="AD171" s="90"/>
      <x:c r="AE171" s="90"/>
      <x:c r="AF171" s="90"/>
    </x:row>
    <x:row r="172" ht="28" hidden="1" customHeight="1">
      <x:c r="A172" s="90"/>
      <x:c r="B172" s="90"/>
      <x:c r="C172" s="90"/>
      <x:c r="D172" s="90"/>
      <x:c r="E172" s="90"/>
      <x:c r="F172" s="90"/>
      <x:c r="G172" s="90"/>
      <x:c r="H172" s="90"/>
      <x:c r="I172" s="90"/>
      <x:c r="J172" s="90"/>
      <x:c r="K172" s="90"/>
      <x:c r="L172" s="90"/>
      <x:c r="M172" s="90"/>
      <x:c r="N172" s="90"/>
      <x:c r="O172" s="90"/>
      <x:c r="P172" s="90"/>
      <x:c r="Q172" s="90"/>
      <x:c r="R172" s="90"/>
      <x:c r="S172" s="90"/>
      <x:c r="T172" s="90"/>
      <x:c r="U172" s="90" t="str">
        <x:f>IF(Counters!A22="","",Counters!A22)</x:f>
        <x:v>B-8</x:v>
      </x:c>
      <x:c r="V172" s="90" t="n">
        <x:f>IF(U172="","",SUMIFS(Collections!$G$6:$G$505,Collections!$E$6:$E$505,U172))</x:f>
        <x:v>0</x:v>
      </x:c>
      <x:c r="W172" s="90" t="str">
        <x:f>IF(AND(ISNUMBER(V172),V172&gt;0),COUNTIFS($V$156:$V$255,"&gt;"&amp;V172)+COUNTIFS($V$156:V172,V172),"")</x:f>
      </x:c>
      <x:c r="X172" s="90"/>
      <x:c r="Y172" s="90"/>
      <x:c r="Z172" s="90"/>
      <x:c r="AA172" s="90"/>
      <x:c r="AB172" s="90"/>
      <x:c r="AC172" s="90"/>
      <x:c r="AD172" s="90"/>
      <x:c r="AE172" s="90"/>
      <x:c r="AF172" s="90"/>
    </x:row>
    <x:row r="173" ht="28" hidden="1" customHeight="1">
      <x:c r="A173" s="90"/>
      <x:c r="B173" s="90"/>
      <x:c r="C173" s="90"/>
      <x:c r="D173" s="90"/>
      <x:c r="E173" s="90"/>
      <x:c r="F173" s="90"/>
      <x:c r="G173" s="90"/>
      <x:c r="H173" s="90"/>
      <x:c r="I173" s="90"/>
      <x:c r="J173" s="90"/>
      <x:c r="K173" s="90"/>
      <x:c r="L173" s="90"/>
      <x:c r="M173" s="90"/>
      <x:c r="N173" s="90"/>
      <x:c r="O173" s="90"/>
      <x:c r="P173" s="90"/>
      <x:c r="Q173" s="90"/>
      <x:c r="R173" s="90"/>
      <x:c r="S173" s="90"/>
      <x:c r="T173" s="90"/>
      <x:c r="U173" s="90" t="str">
        <x:f>IF(Counters!A23="","",Counters!A23)</x:f>
        <x:v>B-9</x:v>
      </x:c>
      <x:c r="V173" s="90" t="n">
        <x:f>IF(U173="","",SUMIFS(Collections!$G$6:$G$505,Collections!$E$6:$E$505,U173))</x:f>
        <x:v>0</x:v>
      </x:c>
      <x:c r="W173" s="90" t="str">
        <x:f>IF(AND(ISNUMBER(V173),V173&gt;0),COUNTIFS($V$156:$V$255,"&gt;"&amp;V173)+COUNTIFS($V$156:V173,V173),"")</x:f>
      </x:c>
      <x:c r="X173" s="90"/>
      <x:c r="Y173" s="90"/>
      <x:c r="Z173" s="90"/>
      <x:c r="AA173" s="90"/>
      <x:c r="AB173" s="90"/>
      <x:c r="AC173" s="90"/>
      <x:c r="AD173" s="90"/>
      <x:c r="AE173" s="90"/>
      <x:c r="AF173" s="90"/>
    </x:row>
    <x:row r="174" ht="28" hidden="1" customHeight="1">
      <x:c r="A174" s="90"/>
      <x:c r="B174" s="90"/>
      <x:c r="C174" s="90"/>
      <x:c r="D174" s="90"/>
      <x:c r="E174" s="90"/>
      <x:c r="F174" s="90"/>
      <x:c r="G174" s="90"/>
      <x:c r="H174" s="90"/>
      <x:c r="I174" s="90"/>
      <x:c r="J174" s="90"/>
      <x:c r="K174" s="90"/>
      <x:c r="L174" s="90"/>
      <x:c r="M174" s="90"/>
      <x:c r="N174" s="90"/>
      <x:c r="O174" s="90"/>
      <x:c r="P174" s="90"/>
      <x:c r="Q174" s="90"/>
      <x:c r="R174" s="90"/>
      <x:c r="S174" s="90"/>
      <x:c r="T174" s="90"/>
      <x:c r="U174" s="90" t="str">
        <x:f>IF(Counters!A24="","",Counters!A24)</x:f>
        <x:v>Janapad-2</x:v>
      </x:c>
      <x:c r="V174" s="90" t="n">
        <x:f>IF(U174="","",SUMIFS(Collections!$G$6:$G$505,Collections!$E$6:$E$505,U174))</x:f>
        <x:v>0</x:v>
      </x:c>
      <x:c r="W174" s="90" t="str">
        <x:f>IF(AND(ISNUMBER(V174),V174&gt;0),COUNTIFS($V$156:$V$255,"&gt;"&amp;V174)+COUNTIFS($V$156:V174,V174),"")</x:f>
      </x:c>
      <x:c r="X174" s="90"/>
      <x:c r="Y174" s="90"/>
      <x:c r="Z174" s="90"/>
      <x:c r="AA174" s="90"/>
      <x:c r="AB174" s="90"/>
      <x:c r="AC174" s="90"/>
      <x:c r="AD174" s="90"/>
      <x:c r="AE174" s="90"/>
      <x:c r="AF174" s="90"/>
    </x:row>
    <x:row r="175" ht="28" hidden="1" customHeight="1">
      <x:c r="A175" s="90"/>
      <x:c r="B175" s="90"/>
      <x:c r="C175" s="90"/>
      <x:c r="D175" s="90"/>
      <x:c r="E175" s="90"/>
      <x:c r="F175" s="90"/>
      <x:c r="G175" s="90"/>
      <x:c r="H175" s="90"/>
      <x:c r="I175" s="90"/>
      <x:c r="J175" s="90"/>
      <x:c r="K175" s="90"/>
      <x:c r="L175" s="90"/>
      <x:c r="M175" s="90"/>
      <x:c r="N175" s="90"/>
      <x:c r="O175" s="90"/>
      <x:c r="P175" s="90"/>
      <x:c r="Q175" s="90"/>
      <x:c r="R175" s="90"/>
      <x:c r="S175" s="90"/>
      <x:c r="T175" s="90"/>
      <x:c r="U175" s="90" t="str">
        <x:f>IF(Counters!A25="","",Counters!A25)</x:f>
        <x:v>Janapad-1</x:v>
      </x:c>
      <x:c r="V175" s="90" t="n">
        <x:f>IF(U175="","",SUMIFS(Collections!$G$6:$G$505,Collections!$E$6:$E$505,U175))</x:f>
        <x:v>0</x:v>
      </x:c>
      <x:c r="W175" s="90" t="str">
        <x:f>IF(AND(ISNUMBER(V175),V175&gt;0),COUNTIFS($V$156:$V$255,"&gt;"&amp;V175)+COUNTIFS($V$156:V175,V175),"")</x:f>
      </x:c>
      <x:c r="X175" s="90"/>
      <x:c r="Y175" s="90"/>
      <x:c r="Z175" s="90"/>
      <x:c r="AA175" s="90"/>
      <x:c r="AB175" s="90"/>
      <x:c r="AC175" s="90"/>
      <x:c r="AD175" s="90"/>
      <x:c r="AE175" s="90"/>
      <x:c r="AF175" s="90"/>
    </x:row>
    <x:row r="176" ht="28" hidden="1" customHeight="1">
      <x:c r="A176" s="90"/>
      <x:c r="B176" s="90"/>
      <x:c r="C176" s="90"/>
      <x:c r="D176" s="90"/>
      <x:c r="E176" s="90"/>
      <x:c r="F176" s="90"/>
      <x:c r="G176" s="90"/>
      <x:c r="H176" s="90"/>
      <x:c r="I176" s="90"/>
      <x:c r="J176" s="90"/>
      <x:c r="K176" s="90"/>
      <x:c r="L176" s="90"/>
      <x:c r="M176" s="90"/>
      <x:c r="N176" s="90"/>
      <x:c r="O176" s="90"/>
      <x:c r="P176" s="90"/>
      <x:c r="Q176" s="90"/>
      <x:c r="R176" s="90"/>
      <x:c r="S176" s="90"/>
      <x:c r="T176" s="90"/>
      <x:c r="U176" s="90" t="str">
        <x:f>IF(Counters!A26="","",Counters!A26)</x:f>
        <x:v>Janapad-4</x:v>
      </x:c>
      <x:c r="V176" s="90" t="n">
        <x:f>IF(U176="","",SUMIFS(Collections!$G$6:$G$505,Collections!$E$6:$E$505,U176))</x:f>
        <x:v>0</x:v>
      </x:c>
      <x:c r="W176" s="90" t="str">
        <x:f>IF(AND(ISNUMBER(V176),V176&gt;0),COUNTIFS($V$156:$V$255,"&gt;"&amp;V176)+COUNTIFS($V$156:V176,V176),"")</x:f>
      </x:c>
      <x:c r="X176" s="90"/>
      <x:c r="Y176" s="90"/>
      <x:c r="Z176" s="90"/>
      <x:c r="AA176" s="90"/>
      <x:c r="AB176" s="90"/>
      <x:c r="AC176" s="90"/>
      <x:c r="AD176" s="90"/>
      <x:c r="AE176" s="90"/>
      <x:c r="AF176" s="90"/>
    </x:row>
    <x:row r="177" ht="28" hidden="1" customHeight="1">
      <x:c r="A177" s="90"/>
      <x:c r="B177" s="90"/>
      <x:c r="C177" s="90"/>
      <x:c r="D177" s="90"/>
      <x:c r="E177" s="90"/>
      <x:c r="F177" s="90"/>
      <x:c r="G177" s="90"/>
      <x:c r="H177" s="90"/>
      <x:c r="I177" s="90"/>
      <x:c r="J177" s="90"/>
      <x:c r="K177" s="90"/>
      <x:c r="L177" s="90"/>
      <x:c r="M177" s="90"/>
      <x:c r="N177" s="90"/>
      <x:c r="O177" s="90"/>
      <x:c r="P177" s="90"/>
      <x:c r="Q177" s="90"/>
      <x:c r="R177" s="90"/>
      <x:c r="S177" s="90"/>
      <x:c r="T177" s="90"/>
      <x:c r="U177" s="90" t="str">
        <x:f>IF(Counters!A27="","",Counters!A27)</x:f>
        <x:v>Janapad-7</x:v>
      </x:c>
      <x:c r="V177" s="90" t="n">
        <x:f>IF(U177="","",SUMIFS(Collections!$G$6:$G$505,Collections!$E$6:$E$505,U177))</x:f>
        <x:v>0</x:v>
      </x:c>
      <x:c r="W177" s="90" t="str">
        <x:f>IF(AND(ISNUMBER(V177),V177&gt;0),COUNTIFS($V$156:$V$255,"&gt;"&amp;V177)+COUNTIFS($V$156:V177,V177),"")</x:f>
      </x:c>
      <x:c r="X177" s="90"/>
      <x:c r="Y177" s="90"/>
      <x:c r="Z177" s="90"/>
      <x:c r="AA177" s="90"/>
      <x:c r="AB177" s="90"/>
      <x:c r="AC177" s="90"/>
      <x:c r="AD177" s="90"/>
      <x:c r="AE177" s="90"/>
      <x:c r="AF177" s="90"/>
    </x:row>
    <x:row r="178" ht="28" hidden="1" customHeight="1">
      <x:c r="A178" s="90"/>
      <x:c r="B178" s="90"/>
      <x:c r="C178" s="90"/>
      <x:c r="D178" s="90"/>
      <x:c r="E178" s="90"/>
      <x:c r="F178" s="90"/>
      <x:c r="G178" s="90"/>
      <x:c r="H178" s="90"/>
      <x:c r="I178" s="90"/>
      <x:c r="J178" s="90"/>
      <x:c r="K178" s="90"/>
      <x:c r="L178" s="90"/>
      <x:c r="M178" s="90"/>
      <x:c r="N178" s="90"/>
      <x:c r="O178" s="90"/>
      <x:c r="P178" s="90"/>
      <x:c r="Q178" s="90"/>
      <x:c r="R178" s="90"/>
      <x:c r="S178" s="90"/>
      <x:c r="T178" s="90"/>
      <x:c r="U178" s="90" t="str">
        <x:f>IF(Counters!A28="","",Counters!A28)</x:f>
        <x:v>Janapad-5</x:v>
      </x:c>
      <x:c r="V178" s="90" t="n">
        <x:f>IF(U178="","",SUMIFS(Collections!$G$6:$G$505,Collections!$E$6:$E$505,U178))</x:f>
        <x:v>0</x:v>
      </x:c>
      <x:c r="W178" s="90" t="str">
        <x:f>IF(AND(ISNUMBER(V178),V178&gt;0),COUNTIFS($V$156:$V$255,"&gt;"&amp;V178)+COUNTIFS($V$156:V178,V178),"")</x:f>
      </x:c>
      <x:c r="X178" s="90"/>
      <x:c r="Y178" s="90"/>
      <x:c r="Z178" s="90"/>
      <x:c r="AA178" s="90"/>
      <x:c r="AB178" s="90"/>
      <x:c r="AC178" s="90"/>
      <x:c r="AD178" s="90"/>
      <x:c r="AE178" s="90"/>
      <x:c r="AF178" s="90"/>
    </x:row>
    <x:row r="179" ht="28" hidden="1" customHeight="1">
      <x:c r="A179" s="90"/>
      <x:c r="B179" s="90"/>
      <x:c r="C179" s="90"/>
      <x:c r="D179" s="90"/>
      <x:c r="E179" s="90"/>
      <x:c r="F179" s="90"/>
      <x:c r="G179" s="90"/>
      <x:c r="H179" s="90"/>
      <x:c r="I179" s="90"/>
      <x:c r="J179" s="90"/>
      <x:c r="K179" s="90"/>
      <x:c r="L179" s="90"/>
      <x:c r="M179" s="90"/>
      <x:c r="N179" s="90"/>
      <x:c r="O179" s="90"/>
      <x:c r="P179" s="90"/>
      <x:c r="Q179" s="90"/>
      <x:c r="R179" s="90"/>
      <x:c r="S179" s="90"/>
      <x:c r="T179" s="90"/>
      <x:c r="U179" s="90" t="str">
        <x:f>IF(Counters!A29="","",Counters!A29)</x:f>
        <x:v>B-10</x:v>
      </x:c>
      <x:c r="V179" s="90" t="n">
        <x:f>IF(U179="","",SUMIFS(Collections!$G$6:$G$505,Collections!$E$6:$E$505,U179))</x:f>
        <x:v>0</x:v>
      </x:c>
      <x:c r="W179" s="90" t="str">
        <x:f>IF(AND(ISNUMBER(V179),V179&gt;0),COUNTIFS($V$156:$V$255,"&gt;"&amp;V179)+COUNTIFS($V$156:V179,V179),"")</x:f>
      </x:c>
      <x:c r="X179" s="90"/>
      <x:c r="Y179" s="90"/>
      <x:c r="Z179" s="90"/>
      <x:c r="AA179" s="90"/>
      <x:c r="AB179" s="90"/>
      <x:c r="AC179" s="90"/>
      <x:c r="AD179" s="90"/>
      <x:c r="AE179" s="90"/>
      <x:c r="AF179" s="90"/>
    </x:row>
    <x:row r="180" ht="28" hidden="1" customHeight="1">
      <x:c r="A180" s="90"/>
      <x:c r="B180" s="90"/>
      <x:c r="C180" s="90"/>
      <x:c r="D180" s="90"/>
      <x:c r="E180" s="90"/>
      <x:c r="F180" s="90"/>
      <x:c r="G180" s="90"/>
      <x:c r="H180" s="90"/>
      <x:c r="I180" s="90"/>
      <x:c r="J180" s="90"/>
      <x:c r="K180" s="90"/>
      <x:c r="L180" s="90"/>
      <x:c r="M180" s="90"/>
      <x:c r="N180" s="90"/>
      <x:c r="O180" s="90"/>
      <x:c r="P180" s="90"/>
      <x:c r="Q180" s="90"/>
      <x:c r="R180" s="90"/>
      <x:c r="S180" s="90"/>
      <x:c r="T180" s="90"/>
      <x:c r="U180" s="90" t="str">
        <x:f>IF(Counters!A30="","",Counters!A30)</x:f>
        <x:v>Janapad-6</x:v>
      </x:c>
      <x:c r="V180" s="90" t="n">
        <x:f>IF(U180="","",SUMIFS(Collections!$G$6:$G$505,Collections!$E$6:$E$505,U180))</x:f>
        <x:v>0</x:v>
      </x:c>
      <x:c r="W180" s="90" t="str">
        <x:f>IF(AND(ISNUMBER(V180),V180&gt;0),COUNTIFS($V$156:$V$255,"&gt;"&amp;V180)+COUNTIFS($V$156:V180,V180),"")</x:f>
      </x:c>
      <x:c r="X180" s="90"/>
      <x:c r="Y180" s="90"/>
      <x:c r="Z180" s="90"/>
      <x:c r="AA180" s="90"/>
      <x:c r="AB180" s="90"/>
      <x:c r="AC180" s="90"/>
      <x:c r="AD180" s="90"/>
      <x:c r="AE180" s="90"/>
      <x:c r="AF180" s="90"/>
    </x:row>
    <x:row r="181" ht="28" hidden="1" customHeight="1">
      <x:c r="A181" s="90"/>
      <x:c r="B181" s="90"/>
      <x:c r="C181" s="90"/>
      <x:c r="D181" s="90"/>
      <x:c r="E181" s="90"/>
      <x:c r="F181" s="90"/>
      <x:c r="G181" s="90"/>
      <x:c r="H181" s="90"/>
      <x:c r="I181" s="90"/>
      <x:c r="J181" s="90"/>
      <x:c r="K181" s="90"/>
      <x:c r="L181" s="90"/>
      <x:c r="M181" s="90"/>
      <x:c r="N181" s="90"/>
      <x:c r="O181" s="90"/>
      <x:c r="P181" s="90"/>
      <x:c r="Q181" s="90"/>
      <x:c r="R181" s="90"/>
      <x:c r="S181" s="90"/>
      <x:c r="T181" s="90"/>
      <x:c r="U181" s="90" t="str">
        <x:f>IF(Counters!A31="","",Counters!A31)</x:f>
        <x:v>Terminal</x:v>
      </x:c>
      <x:c r="V181" s="90" t="n">
        <x:f>IF(U181="","",SUMIFS(Collections!$G$6:$G$505,Collections!$E$6:$E$505,U181))</x:f>
        <x:v>0</x:v>
      </x:c>
      <x:c r="W181" s="90" t="str">
        <x:f>IF(AND(ISNUMBER(V181),V181&gt;0),COUNTIFS($V$156:$V$255,"&gt;"&amp;V181)+COUNTIFS($V$156:V181,V181),"")</x:f>
      </x:c>
      <x:c r="X181" s="90"/>
      <x:c r="Y181" s="90"/>
      <x:c r="Z181" s="90"/>
      <x:c r="AA181" s="90"/>
      <x:c r="AB181" s="90"/>
      <x:c r="AC181" s="90"/>
      <x:c r="AD181" s="90"/>
      <x:c r="AE181" s="90"/>
      <x:c r="AF181" s="90"/>
    </x:row>
    <x:row r="182" ht="28" hidden="1" customHeight="1">
      <x:c r="A182" s="90"/>
      <x:c r="B182" s="90"/>
      <x:c r="C182" s="90"/>
      <x:c r="D182" s="90"/>
      <x:c r="E182" s="90"/>
      <x:c r="F182" s="90"/>
      <x:c r="G182" s="90"/>
      <x:c r="H182" s="90"/>
      <x:c r="I182" s="90"/>
      <x:c r="J182" s="90"/>
      <x:c r="K182" s="90"/>
      <x:c r="L182" s="90"/>
      <x:c r="M182" s="90"/>
      <x:c r="N182" s="90"/>
      <x:c r="O182" s="90"/>
      <x:c r="P182" s="90"/>
      <x:c r="Q182" s="90"/>
      <x:c r="R182" s="90"/>
      <x:c r="S182" s="90"/>
      <x:c r="T182" s="90"/>
      <x:c r="U182" s="90" t="str">
        <x:f>IF(Counters!A32="","",Counters!A32)</x:f>
        <x:v>Jatrabari</x:v>
      </x:c>
      <x:c r="V182" s="90" t="n">
        <x:f>IF(U182="","",SUMIFS(Collections!$G$6:$G$505,Collections!$E$6:$E$505,U182))</x:f>
        <x:v>0</x:v>
      </x:c>
      <x:c r="W182" s="90" t="str">
        <x:f>IF(AND(ISNUMBER(V182),V182&gt;0),COUNTIFS($V$156:$V$255,"&gt;"&amp;V182)+COUNTIFS($V$156:V182,V182),"")</x:f>
      </x:c>
      <x:c r="X182" s="90"/>
      <x:c r="Y182" s="90"/>
      <x:c r="Z182" s="90"/>
      <x:c r="AA182" s="90"/>
      <x:c r="AB182" s="90"/>
      <x:c r="AC182" s="90"/>
      <x:c r="AD182" s="90"/>
      <x:c r="AE182" s="90"/>
      <x:c r="AF182" s="90"/>
    </x:row>
    <x:row r="183" ht="28" hidden="1" customHeight="1">
      <x:c r="A183" s="90"/>
      <x:c r="B183" s="90"/>
      <x:c r="C183" s="90"/>
      <x:c r="D183" s="90"/>
      <x:c r="E183" s="90"/>
      <x:c r="F183" s="90"/>
      <x:c r="G183" s="90"/>
      <x:c r="H183" s="90"/>
      <x:c r="I183" s="90"/>
      <x:c r="J183" s="90"/>
      <x:c r="K183" s="90"/>
      <x:c r="L183" s="90"/>
      <x:c r="M183" s="90"/>
      <x:c r="N183" s="90"/>
      <x:c r="O183" s="90"/>
      <x:c r="P183" s="90"/>
      <x:c r="Q183" s="90"/>
      <x:c r="R183" s="90"/>
      <x:c r="S183" s="90"/>
      <x:c r="T183" s="90"/>
      <x:c r="U183" s="90" t="str">
        <x:f>IF(Counters!A33="","",Counters!A33)</x:f>
        <x:v>Signboard</x:v>
      </x:c>
      <x:c r="V183" s="90" t="n">
        <x:f>IF(U183="","",SUMIFS(Collections!$G$6:$G$505,Collections!$E$6:$E$505,U183))</x:f>
        <x:v>0</x:v>
      </x:c>
      <x:c r="W183" s="90" t="str">
        <x:f>IF(AND(ISNUMBER(V183),V183&gt;0),COUNTIFS($V$156:$V$255,"&gt;"&amp;V183)+COUNTIFS($V$156:V183,V183),"")</x:f>
      </x:c>
      <x:c r="X183" s="90"/>
      <x:c r="Y183" s="90"/>
      <x:c r="Z183" s="90"/>
      <x:c r="AA183" s="90"/>
      <x:c r="AB183" s="90"/>
      <x:c r="AC183" s="90"/>
      <x:c r="AD183" s="90"/>
      <x:c r="AE183" s="90"/>
      <x:c r="AF183" s="90"/>
    </x:row>
    <x:row r="184" ht="28" hidden="1" customHeight="1">
      <x:c r="A184" s="90"/>
      <x:c r="B184" s="90"/>
      <x:c r="C184" s="90"/>
      <x:c r="D184" s="90"/>
      <x:c r="E184" s="90"/>
      <x:c r="F184" s="90"/>
      <x:c r="G184" s="90"/>
      <x:c r="H184" s="90"/>
      <x:c r="I184" s="90"/>
      <x:c r="J184" s="90"/>
      <x:c r="K184" s="90"/>
      <x:c r="L184" s="90"/>
      <x:c r="M184" s="90"/>
      <x:c r="N184" s="90"/>
      <x:c r="O184" s="90"/>
      <x:c r="P184" s="90"/>
      <x:c r="Q184" s="90"/>
      <x:c r="R184" s="90"/>
      <x:c r="S184" s="90"/>
      <x:c r="T184" s="90"/>
      <x:c r="U184" s="90" t="str">
        <x:f>IF(Counters!A34="","",Counters!A34)</x:f>
        <x:v>B-20</x:v>
      </x:c>
      <x:c r="V184" s="90" t="n">
        <x:f>IF(U184="","",SUMIFS(Collections!$G$6:$G$505,Collections!$E$6:$E$505,U184))</x:f>
        <x:v>0</x:v>
      </x:c>
      <x:c r="W184" s="90" t="str">
        <x:f>IF(AND(ISNUMBER(V184),V184&gt;0),COUNTIFS($V$156:$V$255,"&gt;"&amp;V184)+COUNTIFS($V$156:V184,V184),"")</x:f>
      </x:c>
      <x:c r="X184" s="90"/>
      <x:c r="Y184" s="90"/>
      <x:c r="Z184" s="90"/>
      <x:c r="AA184" s="90"/>
      <x:c r="AB184" s="90"/>
      <x:c r="AC184" s="90"/>
      <x:c r="AD184" s="90"/>
      <x:c r="AE184" s="90"/>
      <x:c r="AF184" s="90"/>
    </x:row>
    <x:row r="185" ht="28" hidden="1" customHeight="1">
      <x:c r="A185" s="90"/>
      <x:c r="B185" s="90"/>
      <x:c r="C185" s="90"/>
      <x:c r="D185" s="90"/>
      <x:c r="E185" s="90"/>
      <x:c r="F185" s="90"/>
      <x:c r="G185" s="90"/>
      <x:c r="H185" s="90"/>
      <x:c r="I185" s="90"/>
      <x:c r="J185" s="90"/>
      <x:c r="K185" s="90"/>
      <x:c r="L185" s="90"/>
      <x:c r="M185" s="90"/>
      <x:c r="N185" s="90"/>
      <x:c r="O185" s="90"/>
      <x:c r="P185" s="90"/>
      <x:c r="Q185" s="90"/>
      <x:c r="R185" s="90"/>
      <x:c r="S185" s="90"/>
      <x:c r="T185" s="90"/>
      <x:c r="U185" s="90" t="str">
        <x:f>IF(Counters!A35="","",Counters!A35)</x:f>
        <x:v>Kanchpur</x:v>
      </x:c>
      <x:c r="V185" s="90" t="n">
        <x:f>IF(U185="","",SUMIFS(Collections!$G$6:$G$505,Collections!$E$6:$E$505,U185))</x:f>
        <x:v>0</x:v>
      </x:c>
      <x:c r="W185" s="90" t="str">
        <x:f>IF(AND(ISNUMBER(V185),V185&gt;0),COUNTIFS($V$156:$V$255,"&gt;"&amp;V185)+COUNTIFS($V$156:V185,V185),"")</x:f>
      </x:c>
      <x:c r="X185" s="90"/>
      <x:c r="Y185" s="90"/>
      <x:c r="Z185" s="90"/>
      <x:c r="AA185" s="90"/>
      <x:c r="AB185" s="90"/>
      <x:c r="AC185" s="90"/>
      <x:c r="AD185" s="90"/>
      <x:c r="AE185" s="90"/>
      <x:c r="AF185" s="90"/>
    </x:row>
    <x:row r="186" ht="28" hidden="1" customHeight="1">
      <x:c r="A186" s="90"/>
      <x:c r="B186" s="90"/>
      <x:c r="C186" s="90"/>
      <x:c r="D186" s="90"/>
      <x:c r="E186" s="90"/>
      <x:c r="F186" s="90"/>
      <x:c r="G186" s="90"/>
      <x:c r="H186" s="90"/>
      <x:c r="I186" s="90"/>
      <x:c r="J186" s="90"/>
      <x:c r="K186" s="90"/>
      <x:c r="L186" s="90"/>
      <x:c r="M186" s="90"/>
      <x:c r="N186" s="90"/>
      <x:c r="O186" s="90"/>
      <x:c r="P186" s="90"/>
      <x:c r="Q186" s="90"/>
      <x:c r="R186" s="90"/>
      <x:c r="S186" s="90"/>
      <x:c r="T186" s="90"/>
      <x:c r="U186" s="90" t="str">
        <x:f>IF(Counters!A36="","",Counters!A36)</x:f>
        <x:v>Mirpur-10</x:v>
      </x:c>
      <x:c r="V186" s="90" t="n">
        <x:f>IF(U186="","",SUMIFS(Collections!$G$6:$G$505,Collections!$E$6:$E$505,U186))</x:f>
        <x:v>0</x:v>
      </x:c>
      <x:c r="W186" s="90" t="str">
        <x:f>IF(AND(ISNUMBER(V186),V186&gt;0),COUNTIFS($V$156:$V$255,"&gt;"&amp;V186)+COUNTIFS($V$156:V186,V186),"")</x:f>
      </x:c>
      <x:c r="X186" s="90"/>
      <x:c r="Y186" s="90"/>
      <x:c r="Z186" s="90"/>
      <x:c r="AA186" s="90"/>
      <x:c r="AB186" s="90"/>
      <x:c r="AC186" s="90"/>
      <x:c r="AD186" s="90"/>
      <x:c r="AE186" s="90"/>
      <x:c r="AF186" s="90"/>
    </x:row>
    <x:row r="187" ht="28" hidden="1" customHeight="1">
      <x:c r="A187" s="90"/>
      <x:c r="B187" s="90"/>
      <x:c r="C187" s="90"/>
      <x:c r="D187" s="90"/>
      <x:c r="E187" s="90"/>
      <x:c r="F187" s="90"/>
      <x:c r="G187" s="90"/>
      <x:c r="H187" s="90"/>
      <x:c r="I187" s="90"/>
      <x:c r="J187" s="90"/>
      <x:c r="K187" s="90"/>
      <x:c r="L187" s="90"/>
      <x:c r="M187" s="90"/>
      <x:c r="N187" s="90"/>
      <x:c r="O187" s="90"/>
      <x:c r="P187" s="90"/>
      <x:c r="Q187" s="90"/>
      <x:c r="R187" s="90"/>
      <x:c r="S187" s="90"/>
      <x:c r="T187" s="90"/>
      <x:c r="U187" s="90" t="str">
        <x:f>IF(Counters!A37="","",Counters!A37)</x:f>
        <x:v>Kochukhet</x:v>
      </x:c>
      <x:c r="V187" s="90" t="n">
        <x:f>IF(U187="","",SUMIFS(Collections!$G$6:$G$505,Collections!$E$6:$E$505,U187))</x:f>
        <x:v>0</x:v>
      </x:c>
      <x:c r="W187" s="90" t="str">
        <x:f>IF(AND(ISNUMBER(V187),V187&gt;0),COUNTIFS($V$156:$V$255,"&gt;"&amp;V187)+COUNTIFS($V$156:V187,V187),"")</x:f>
      </x:c>
      <x:c r="X187" s="90"/>
      <x:c r="Y187" s="90"/>
      <x:c r="Z187" s="90"/>
      <x:c r="AA187" s="90"/>
      <x:c r="AB187" s="90"/>
      <x:c r="AC187" s="90"/>
      <x:c r="AD187" s="90"/>
      <x:c r="AE187" s="90"/>
      <x:c r="AF187" s="90"/>
    </x:row>
    <x:row r="188" ht="28" hidden="1" customHeight="1">
      <x:c r="A188" s="90"/>
      <x:c r="B188" s="90"/>
      <x:c r="C188" s="90"/>
      <x:c r="D188" s="90"/>
      <x:c r="E188" s="90"/>
      <x:c r="F188" s="90"/>
      <x:c r="G188" s="90"/>
      <x:c r="H188" s="90"/>
      <x:c r="I188" s="90"/>
      <x:c r="J188" s="90"/>
      <x:c r="K188" s="90"/>
      <x:c r="L188" s="90"/>
      <x:c r="M188" s="90"/>
      <x:c r="N188" s="90"/>
      <x:c r="O188" s="90"/>
      <x:c r="P188" s="90"/>
      <x:c r="Q188" s="90"/>
      <x:c r="R188" s="90"/>
      <x:c r="S188" s="90"/>
      <x:c r="T188" s="90"/>
      <x:c r="U188" s="90" t="str">
        <x:f>IF(Counters!A38="","",Counters!A38)</x:f>
        <x:v>Court Kachari</x:v>
      </x:c>
      <x:c r="V188" s="90" t="n">
        <x:f>IF(U188="","",SUMIFS(Collections!$G$6:$G$505,Collections!$E$6:$E$505,U188))</x:f>
        <x:v>0</x:v>
      </x:c>
      <x:c r="W188" s="90" t="str">
        <x:f>IF(AND(ISNUMBER(V188),V188&gt;0),COUNTIFS($V$156:$V$255,"&gt;"&amp;V188)+COUNTIFS($V$156:V188,V188),"")</x:f>
      </x:c>
      <x:c r="X188" s="90"/>
      <x:c r="Y188" s="90"/>
      <x:c r="Z188" s="90"/>
      <x:c r="AA188" s="90"/>
      <x:c r="AB188" s="90"/>
      <x:c r="AC188" s="90"/>
      <x:c r="AD188" s="90"/>
      <x:c r="AE188" s="90"/>
      <x:c r="AF188" s="90"/>
    </x:row>
    <x:row r="189" ht="28" hidden="1" customHeight="1">
      <x:c r="A189" s="90"/>
      <x:c r="B189" s="90"/>
      <x:c r="C189" s="90"/>
      <x:c r="D189" s="90"/>
      <x:c r="E189" s="90"/>
      <x:c r="F189" s="90"/>
      <x:c r="G189" s="90"/>
      <x:c r="H189" s="90"/>
      <x:c r="I189" s="90"/>
      <x:c r="J189" s="90"/>
      <x:c r="K189" s="90"/>
      <x:c r="L189" s="90"/>
      <x:c r="M189" s="90"/>
      <x:c r="N189" s="90"/>
      <x:c r="O189" s="90"/>
      <x:c r="P189" s="90"/>
      <x:c r="Q189" s="90"/>
      <x:c r="R189" s="90"/>
      <x:c r="S189" s="90"/>
      <x:c r="T189" s="90"/>
      <x:c r="U189" s="90" t="str">
        <x:f>IF(Counters!A39="","",Counters!A39)</x:f>
      </x:c>
      <x:c r="V189" s="90" t="str">
        <x:f>IF(U189="","",SUMIFS(Collections!$G$6:$G$505,Collections!$E$6:$E$505,U189))</x:f>
      </x:c>
      <x:c r="W189" s="90" t="str">
        <x:f>IF(AND(ISNUMBER(V189),V189&gt;0),COUNTIFS($V$156:$V$255,"&gt;"&amp;V189)+COUNTIFS($V$156:V189,V189),"")</x:f>
      </x:c>
      <x:c r="X189" s="90"/>
      <x:c r="Y189" s="90"/>
      <x:c r="Z189" s="90"/>
      <x:c r="AA189" s="90"/>
      <x:c r="AB189" s="90"/>
      <x:c r="AC189" s="90"/>
      <x:c r="AD189" s="90"/>
      <x:c r="AE189" s="90"/>
      <x:c r="AF189" s="90"/>
    </x:row>
    <x:row r="190" ht="28" hidden="1" customHeight="1">
      <x:c r="A190" s="90"/>
      <x:c r="B190" s="90"/>
      <x:c r="C190" s="90"/>
      <x:c r="D190" s="90"/>
      <x:c r="E190" s="90"/>
      <x:c r="F190" s="90"/>
      <x:c r="G190" s="90"/>
      <x:c r="H190" s="90"/>
      <x:c r="I190" s="90"/>
      <x:c r="J190" s="90"/>
      <x:c r="K190" s="90"/>
      <x:c r="L190" s="90"/>
      <x:c r="M190" s="90"/>
      <x:c r="N190" s="90"/>
      <x:c r="O190" s="90"/>
      <x:c r="P190" s="90"/>
      <x:c r="Q190" s="90"/>
      <x:c r="R190" s="90"/>
      <x:c r="S190" s="90"/>
      <x:c r="T190" s="90"/>
      <x:c r="U190" s="90" t="str">
        <x:f>IF(Counters!A40="","",Counters!A40)</x:f>
      </x:c>
      <x:c r="V190" s="90" t="str">
        <x:f>IF(U190="","",SUMIFS(Collections!$G$6:$G$505,Collections!$E$6:$E$505,U190))</x:f>
      </x:c>
      <x:c r="W190" s="90" t="str">
        <x:f>IF(AND(ISNUMBER(V190),V190&gt;0),COUNTIFS($V$156:$V$255,"&gt;"&amp;V190)+COUNTIFS($V$156:V190,V190),"")</x:f>
      </x:c>
      <x:c r="X190" s="90"/>
      <x:c r="Y190" s="90"/>
      <x:c r="Z190" s="90"/>
      <x:c r="AA190" s="90"/>
      <x:c r="AB190" s="90"/>
      <x:c r="AC190" s="90"/>
      <x:c r="AD190" s="90"/>
      <x:c r="AE190" s="90"/>
      <x:c r="AF190" s="90"/>
    </x:row>
    <x:row r="191" ht="28" hidden="1" customHeight="1">
      <x:c r="A191" s="90"/>
      <x:c r="B191" s="90"/>
      <x:c r="C191" s="90"/>
      <x:c r="D191" s="90"/>
      <x:c r="E191" s="90"/>
      <x:c r="F191" s="90"/>
      <x:c r="G191" s="90"/>
      <x:c r="H191" s="90"/>
      <x:c r="I191" s="90"/>
      <x:c r="J191" s="90"/>
      <x:c r="K191" s="90"/>
      <x:c r="L191" s="90"/>
      <x:c r="M191" s="90"/>
      <x:c r="N191" s="90"/>
      <x:c r="O191" s="90"/>
      <x:c r="P191" s="90"/>
      <x:c r="Q191" s="90"/>
      <x:c r="R191" s="90"/>
      <x:c r="S191" s="90"/>
      <x:c r="T191" s="90"/>
      <x:c r="U191" s="90" t="str">
        <x:f>IF(Counters!A41="","",Counters!A41)</x:f>
      </x:c>
      <x:c r="V191" s="90" t="str">
        <x:f>IF(U191="","",SUMIFS(Collections!$G$6:$G$505,Collections!$E$6:$E$505,U191))</x:f>
      </x:c>
      <x:c r="W191" s="90" t="str">
        <x:f>IF(AND(ISNUMBER(V191),V191&gt;0),COUNTIFS($V$156:$V$255,"&gt;"&amp;V191)+COUNTIFS($V$156:V191,V191),"")</x:f>
      </x:c>
      <x:c r="X191" s="90"/>
      <x:c r="Y191" s="90"/>
      <x:c r="Z191" s="90"/>
      <x:c r="AA191" s="90"/>
      <x:c r="AB191" s="90"/>
      <x:c r="AC191" s="90"/>
      <x:c r="AD191" s="90"/>
      <x:c r="AE191" s="90"/>
      <x:c r="AF191" s="90"/>
    </x:row>
    <x:row r="192" ht="28" hidden="1" customHeight="1">
      <x:c r="A192" s="90"/>
      <x:c r="B192" s="90"/>
      <x:c r="C192" s="90"/>
      <x:c r="D192" s="90"/>
      <x:c r="E192" s="90"/>
      <x:c r="F192" s="90"/>
      <x:c r="G192" s="90"/>
      <x:c r="H192" s="90"/>
      <x:c r="I192" s="90"/>
      <x:c r="J192" s="90"/>
      <x:c r="K192" s="90"/>
      <x:c r="L192" s="90"/>
      <x:c r="M192" s="90"/>
      <x:c r="N192" s="90"/>
      <x:c r="O192" s="90"/>
      <x:c r="P192" s="90"/>
      <x:c r="Q192" s="90"/>
      <x:c r="R192" s="90"/>
      <x:c r="S192" s="90"/>
      <x:c r="T192" s="90"/>
      <x:c r="U192" s="90" t="str">
        <x:f>IF(Counters!A42="","",Counters!A42)</x:f>
      </x:c>
      <x:c r="V192" s="90" t="str">
        <x:f>IF(U192="","",SUMIFS(Collections!$G$6:$G$505,Collections!$E$6:$E$505,U192))</x:f>
      </x:c>
      <x:c r="W192" s="90" t="str">
        <x:f>IF(AND(ISNUMBER(V192),V192&gt;0),COUNTIFS($V$156:$V$255,"&gt;"&amp;V192)+COUNTIFS($V$156:V192,V192),"")</x:f>
      </x:c>
      <x:c r="X192" s="90"/>
      <x:c r="Y192" s="90"/>
      <x:c r="Z192" s="90"/>
      <x:c r="AA192" s="90"/>
      <x:c r="AB192" s="90"/>
      <x:c r="AC192" s="90"/>
      <x:c r="AD192" s="90"/>
      <x:c r="AE192" s="90"/>
      <x:c r="AF192" s="90"/>
    </x:row>
    <x:row r="193" ht="28" hidden="1" customHeight="1">
      <x:c r="A193" s="90"/>
      <x:c r="B193" s="90"/>
      <x:c r="C193" s="90"/>
      <x:c r="D193" s="90"/>
      <x:c r="E193" s="90"/>
      <x:c r="F193" s="90"/>
      <x:c r="G193" s="90"/>
      <x:c r="H193" s="90"/>
      <x:c r="I193" s="90"/>
      <x:c r="J193" s="90"/>
      <x:c r="K193" s="90"/>
      <x:c r="L193" s="90"/>
      <x:c r="M193" s="90"/>
      <x:c r="N193" s="90"/>
      <x:c r="O193" s="90"/>
      <x:c r="P193" s="90"/>
      <x:c r="Q193" s="90"/>
      <x:c r="R193" s="90"/>
      <x:c r="S193" s="90"/>
      <x:c r="T193" s="90"/>
      <x:c r="U193" s="90" t="str">
        <x:f>IF(Counters!A43="","",Counters!A43)</x:f>
      </x:c>
      <x:c r="V193" s="90" t="str">
        <x:f>IF(U193="","",SUMIFS(Collections!$G$6:$G$505,Collections!$E$6:$E$505,U193))</x:f>
      </x:c>
      <x:c r="W193" s="90" t="str">
        <x:f>IF(AND(ISNUMBER(V193),V193&gt;0),COUNTIFS($V$156:$V$255,"&gt;"&amp;V193)+COUNTIFS($V$156:V193,V193),"")</x:f>
      </x:c>
      <x:c r="X193" s="90"/>
      <x:c r="Y193" s="90"/>
      <x:c r="Z193" s="90"/>
      <x:c r="AA193" s="90"/>
      <x:c r="AB193" s="90"/>
      <x:c r="AC193" s="90"/>
      <x:c r="AD193" s="90"/>
      <x:c r="AE193" s="90"/>
      <x:c r="AF193" s="90"/>
    </x:row>
    <x:row r="194" ht="28" hidden="1" customHeight="1">
      <x:c r="A194" s="90"/>
      <x:c r="B194" s="90"/>
      <x:c r="C194" s="90"/>
      <x:c r="D194" s="90"/>
      <x:c r="E194" s="90"/>
      <x:c r="F194" s="90"/>
      <x:c r="G194" s="90"/>
      <x:c r="H194" s="90"/>
      <x:c r="I194" s="90"/>
      <x:c r="J194" s="90"/>
      <x:c r="K194" s="90"/>
      <x:c r="L194" s="90"/>
      <x:c r="M194" s="90"/>
      <x:c r="N194" s="90"/>
      <x:c r="O194" s="90"/>
      <x:c r="P194" s="90"/>
      <x:c r="Q194" s="90"/>
      <x:c r="R194" s="90"/>
      <x:c r="S194" s="90"/>
      <x:c r="T194" s="90"/>
      <x:c r="U194" s="90" t="str">
        <x:f>IF(Counters!A44="","",Counters!A44)</x:f>
      </x:c>
      <x:c r="V194" s="90" t="str">
        <x:f>IF(U194="","",SUMIFS(Collections!$G$6:$G$505,Collections!$E$6:$E$505,U194))</x:f>
      </x:c>
      <x:c r="W194" s="90" t="str">
        <x:f>IF(AND(ISNUMBER(V194),V194&gt;0),COUNTIFS($V$156:$V$255,"&gt;"&amp;V194)+COUNTIFS($V$156:V194,V194),"")</x:f>
      </x:c>
      <x:c r="X194" s="90"/>
      <x:c r="Y194" s="90"/>
      <x:c r="Z194" s="90"/>
      <x:c r="AA194" s="90"/>
      <x:c r="AB194" s="90"/>
      <x:c r="AC194" s="90"/>
      <x:c r="AD194" s="90"/>
      <x:c r="AE194" s="90"/>
      <x:c r="AF194" s="90"/>
    </x:row>
    <x:row r="195" ht="28" hidden="1" customHeight="1">
      <x:c r="A195" s="90"/>
      <x:c r="B195" s="90"/>
      <x:c r="C195" s="90"/>
      <x:c r="D195" s="90"/>
      <x:c r="E195" s="90"/>
      <x:c r="F195" s="90"/>
      <x:c r="G195" s="90"/>
      <x:c r="H195" s="90"/>
      <x:c r="I195" s="90"/>
      <x:c r="J195" s="90"/>
      <x:c r="K195" s="90"/>
      <x:c r="L195" s="90"/>
      <x:c r="M195" s="90"/>
      <x:c r="N195" s="90"/>
      <x:c r="O195" s="90"/>
      <x:c r="P195" s="90"/>
      <x:c r="Q195" s="90"/>
      <x:c r="R195" s="90"/>
      <x:c r="S195" s="90"/>
      <x:c r="T195" s="90"/>
      <x:c r="U195" s="90" t="str">
        <x:f>IF(Counters!A45="","",Counters!A45)</x:f>
      </x:c>
      <x:c r="V195" s="90" t="str">
        <x:f>IF(U195="","",SUMIFS(Collections!$G$6:$G$505,Collections!$E$6:$E$505,U195))</x:f>
      </x:c>
      <x:c r="W195" s="90" t="str">
        <x:f>IF(AND(ISNUMBER(V195),V195&gt;0),COUNTIFS($V$156:$V$255,"&gt;"&amp;V195)+COUNTIFS($V$156:V195,V195),"")</x:f>
      </x:c>
      <x:c r="X195" s="90"/>
      <x:c r="Y195" s="90"/>
      <x:c r="Z195" s="90"/>
      <x:c r="AA195" s="90"/>
      <x:c r="AB195" s="90"/>
      <x:c r="AC195" s="90"/>
      <x:c r="AD195" s="90"/>
      <x:c r="AE195" s="90"/>
      <x:c r="AF195" s="90"/>
    </x:row>
    <x:row r="196" ht="28" hidden="1" customHeight="1">
      <x:c r="A196" s="90"/>
      <x:c r="B196" s="90"/>
      <x:c r="C196" s="90"/>
      <x:c r="D196" s="90"/>
      <x:c r="E196" s="90"/>
      <x:c r="F196" s="90"/>
      <x:c r="G196" s="90"/>
      <x:c r="H196" s="90"/>
      <x:c r="I196" s="90"/>
      <x:c r="J196" s="90"/>
      <x:c r="K196" s="90"/>
      <x:c r="L196" s="90"/>
      <x:c r="M196" s="90"/>
      <x:c r="N196" s="90"/>
      <x:c r="O196" s="90"/>
      <x:c r="P196" s="90"/>
      <x:c r="Q196" s="90"/>
      <x:c r="R196" s="90"/>
      <x:c r="S196" s="90"/>
      <x:c r="T196" s="90"/>
      <x:c r="U196" s="90" t="str">
        <x:f>IF(Counters!A46="","",Counters!A46)</x:f>
      </x:c>
      <x:c r="V196" s="90" t="str">
        <x:f>IF(U196="","",SUMIFS(Collections!$G$6:$G$505,Collections!$E$6:$E$505,U196))</x:f>
      </x:c>
      <x:c r="W196" s="90" t="str">
        <x:f>IF(AND(ISNUMBER(V196),V196&gt;0),COUNTIFS($V$156:$V$255,"&gt;"&amp;V196)+COUNTIFS($V$156:V196,V196),"")</x:f>
      </x:c>
      <x:c r="X196" s="90"/>
      <x:c r="Y196" s="90"/>
      <x:c r="Z196" s="90"/>
      <x:c r="AA196" s="90"/>
      <x:c r="AB196" s="90"/>
      <x:c r="AC196" s="90"/>
      <x:c r="AD196" s="90"/>
      <x:c r="AE196" s="90"/>
      <x:c r="AF196" s="90"/>
    </x:row>
    <x:row r="197" ht="28" hidden="1" customHeight="1">
      <x:c r="A197" s="90"/>
      <x:c r="B197" s="90"/>
      <x:c r="C197" s="90"/>
      <x:c r="D197" s="90"/>
      <x:c r="E197" s="90"/>
      <x:c r="F197" s="90"/>
      <x:c r="G197" s="90"/>
      <x:c r="H197" s="90"/>
      <x:c r="I197" s="90"/>
      <x:c r="J197" s="90"/>
      <x:c r="K197" s="90"/>
      <x:c r="L197" s="90"/>
      <x:c r="M197" s="90"/>
      <x:c r="N197" s="90"/>
      <x:c r="O197" s="90"/>
      <x:c r="P197" s="90"/>
      <x:c r="Q197" s="90"/>
      <x:c r="R197" s="90"/>
      <x:c r="S197" s="90"/>
      <x:c r="T197" s="90"/>
      <x:c r="U197" s="90" t="str">
        <x:f>IF(Counters!A47="","",Counters!A47)</x:f>
      </x:c>
      <x:c r="V197" s="90" t="str">
        <x:f>IF(U197="","",SUMIFS(Collections!$G$6:$G$505,Collections!$E$6:$E$505,U197))</x:f>
      </x:c>
      <x:c r="W197" s="90" t="str">
        <x:f>IF(AND(ISNUMBER(V197),V197&gt;0),COUNTIFS($V$156:$V$255,"&gt;"&amp;V197)+COUNTIFS($V$156:V197,V197),"")</x:f>
      </x:c>
      <x:c r="X197" s="90"/>
      <x:c r="Y197" s="90"/>
      <x:c r="Z197" s="90"/>
      <x:c r="AA197" s="90"/>
      <x:c r="AB197" s="90"/>
      <x:c r="AC197" s="90"/>
      <x:c r="AD197" s="90"/>
      <x:c r="AE197" s="90"/>
      <x:c r="AF197" s="90"/>
    </x:row>
    <x:row r="198" ht="28" hidden="1" customHeight="1">
      <x:c r="A198" s="90"/>
      <x:c r="B198" s="90"/>
      <x:c r="C198" s="90"/>
      <x:c r="D198" s="90"/>
      <x:c r="E198" s="90"/>
      <x:c r="F198" s="90"/>
      <x:c r="G198" s="90"/>
      <x:c r="H198" s="90"/>
      <x:c r="I198" s="90"/>
      <x:c r="J198" s="90"/>
      <x:c r="K198" s="90"/>
      <x:c r="L198" s="90"/>
      <x:c r="M198" s="90"/>
      <x:c r="N198" s="90"/>
      <x:c r="O198" s="90"/>
      <x:c r="P198" s="90"/>
      <x:c r="Q198" s="90"/>
      <x:c r="R198" s="90"/>
      <x:c r="S198" s="90"/>
      <x:c r="T198" s="90"/>
      <x:c r="U198" s="90" t="str">
        <x:f>IF(Counters!A48="","",Counters!A48)</x:f>
      </x:c>
      <x:c r="V198" s="90" t="str">
        <x:f>IF(U198="","",SUMIFS(Collections!$G$6:$G$505,Collections!$E$6:$E$505,U198))</x:f>
      </x:c>
      <x:c r="W198" s="90" t="str">
        <x:f>IF(AND(ISNUMBER(V198),V198&gt;0),COUNTIFS($V$156:$V$255,"&gt;"&amp;V198)+COUNTIFS($V$156:V198,V198),"")</x:f>
      </x:c>
      <x:c r="X198" s="90"/>
      <x:c r="Y198" s="90"/>
      <x:c r="Z198" s="90"/>
      <x:c r="AA198" s="90"/>
      <x:c r="AB198" s="90"/>
      <x:c r="AC198" s="90"/>
      <x:c r="AD198" s="90"/>
      <x:c r="AE198" s="90"/>
      <x:c r="AF198" s="90"/>
    </x:row>
    <x:row r="199" ht="28" hidden="1" customHeight="1">
      <x:c r="A199" s="90"/>
      <x:c r="B199" s="90"/>
      <x:c r="C199" s="90"/>
      <x:c r="D199" s="90"/>
      <x:c r="E199" s="90"/>
      <x:c r="F199" s="90"/>
      <x:c r="G199" s="90"/>
      <x:c r="H199" s="90"/>
      <x:c r="I199" s="90"/>
      <x:c r="J199" s="90"/>
      <x:c r="K199" s="90"/>
      <x:c r="L199" s="90"/>
      <x:c r="M199" s="90"/>
      <x:c r="N199" s="90"/>
      <x:c r="O199" s="90"/>
      <x:c r="P199" s="90"/>
      <x:c r="Q199" s="90"/>
      <x:c r="R199" s="90"/>
      <x:c r="S199" s="90"/>
      <x:c r="T199" s="90"/>
      <x:c r="U199" s="90" t="str">
        <x:f>IF(Counters!A49="","",Counters!A49)</x:f>
      </x:c>
      <x:c r="V199" s="90" t="str">
        <x:f>IF(U199="","",SUMIFS(Collections!$G$6:$G$505,Collections!$E$6:$E$505,U199))</x:f>
      </x:c>
      <x:c r="W199" s="90" t="str">
        <x:f>IF(AND(ISNUMBER(V199),V199&gt;0),COUNTIFS($V$156:$V$255,"&gt;"&amp;V199)+COUNTIFS($V$156:V199,V199),"")</x:f>
      </x:c>
      <x:c r="X199" s="90"/>
      <x:c r="Y199" s="90"/>
      <x:c r="Z199" s="90"/>
      <x:c r="AA199" s="90"/>
      <x:c r="AB199" s="90"/>
      <x:c r="AC199" s="90"/>
      <x:c r="AD199" s="90"/>
      <x:c r="AE199" s="90"/>
      <x:c r="AF199" s="90"/>
    </x:row>
    <x:row r="200" ht="28" hidden="1" customHeight="1">
      <x:c r="A200" s="90"/>
      <x:c r="B200" s="90"/>
      <x:c r="C200" s="90"/>
      <x:c r="D200" s="90"/>
      <x:c r="E200" s="90"/>
      <x:c r="F200" s="90"/>
      <x:c r="G200" s="90"/>
      <x:c r="H200" s="90"/>
      <x:c r="I200" s="90"/>
      <x:c r="J200" s="90"/>
      <x:c r="K200" s="90"/>
      <x:c r="L200" s="90"/>
      <x:c r="M200" s="90"/>
      <x:c r="N200" s="90"/>
      <x:c r="O200" s="90"/>
      <x:c r="P200" s="90"/>
      <x:c r="Q200" s="90"/>
      <x:c r="R200" s="90"/>
      <x:c r="S200" s="90"/>
      <x:c r="T200" s="90"/>
      <x:c r="U200" s="90" t="str">
        <x:f>IF(Counters!A50="","",Counters!A50)</x:f>
      </x:c>
      <x:c r="V200" s="90" t="str">
        <x:f>IF(U200="","",SUMIFS(Collections!$G$6:$G$505,Collections!$E$6:$E$505,U200))</x:f>
      </x:c>
      <x:c r="W200" s="90" t="str">
        <x:f>IF(AND(ISNUMBER(V200),V200&gt;0),COUNTIFS($V$156:$V$255,"&gt;"&amp;V200)+COUNTIFS($V$156:V200,V200),"")</x:f>
      </x:c>
      <x:c r="X200" s="90"/>
      <x:c r="Y200" s="90"/>
      <x:c r="Z200" s="90"/>
      <x:c r="AA200" s="90"/>
      <x:c r="AB200" s="90"/>
      <x:c r="AC200" s="90"/>
      <x:c r="AD200" s="90"/>
      <x:c r="AE200" s="90"/>
      <x:c r="AF200" s="90"/>
    </x:row>
    <x:row r="201" ht="28" hidden="1" customHeight="1">
      <x:c r="A201" s="90"/>
      <x:c r="B201" s="90"/>
      <x:c r="C201" s="90"/>
      <x:c r="D201" s="90"/>
      <x:c r="E201" s="90"/>
      <x:c r="F201" s="90"/>
      <x:c r="G201" s="90"/>
      <x:c r="H201" s="90"/>
      <x:c r="I201" s="90"/>
      <x:c r="J201" s="90"/>
      <x:c r="K201" s="90"/>
      <x:c r="L201" s="90"/>
      <x:c r="M201" s="90"/>
      <x:c r="N201" s="90"/>
      <x:c r="O201" s="90"/>
      <x:c r="P201" s="90"/>
      <x:c r="Q201" s="90"/>
      <x:c r="R201" s="90"/>
      <x:c r="S201" s="90"/>
      <x:c r="T201" s="90"/>
      <x:c r="U201" s="90" t="str">
        <x:f>IF(Counters!A51="","",Counters!A51)</x:f>
      </x:c>
      <x:c r="V201" s="90" t="str">
        <x:f>IF(U201="","",SUMIFS(Collections!$G$6:$G$505,Collections!$E$6:$E$505,U201))</x:f>
      </x:c>
      <x:c r="W201" s="90" t="str">
        <x:f>IF(AND(ISNUMBER(V201),V201&gt;0),COUNTIFS($V$156:$V$255,"&gt;"&amp;V201)+COUNTIFS($V$156:V201,V201),"")</x:f>
      </x:c>
      <x:c r="X201" s="90"/>
      <x:c r="Y201" s="90"/>
      <x:c r="Z201" s="90"/>
      <x:c r="AA201" s="90"/>
      <x:c r="AB201" s="90"/>
      <x:c r="AC201" s="90"/>
      <x:c r="AD201" s="90"/>
      <x:c r="AE201" s="90"/>
      <x:c r="AF201" s="90"/>
    </x:row>
    <x:row r="202" ht="28" hidden="1" customHeight="1">
      <x:c r="A202" s="90"/>
      <x:c r="B202" s="90"/>
      <x:c r="C202" s="90"/>
      <x:c r="D202" s="90"/>
      <x:c r="E202" s="90"/>
      <x:c r="F202" s="90"/>
      <x:c r="G202" s="90"/>
      <x:c r="H202" s="90"/>
      <x:c r="I202" s="90"/>
      <x:c r="J202" s="90"/>
      <x:c r="K202" s="90"/>
      <x:c r="L202" s="90"/>
      <x:c r="M202" s="90"/>
      <x:c r="N202" s="90"/>
      <x:c r="O202" s="90"/>
      <x:c r="P202" s="90"/>
      <x:c r="Q202" s="90"/>
      <x:c r="R202" s="90"/>
      <x:c r="S202" s="90"/>
      <x:c r="T202" s="90"/>
      <x:c r="U202" s="90" t="str">
        <x:f>IF(Counters!A52="","",Counters!A52)</x:f>
      </x:c>
      <x:c r="V202" s="90" t="str">
        <x:f>IF(U202="","",SUMIFS(Collections!$G$6:$G$505,Collections!$E$6:$E$505,U202))</x:f>
      </x:c>
      <x:c r="W202" s="90" t="str">
        <x:f>IF(AND(ISNUMBER(V202),V202&gt;0),COUNTIFS($V$156:$V$255,"&gt;"&amp;V202)+COUNTIFS($V$156:V202,V202),"")</x:f>
      </x:c>
      <x:c r="X202" s="90"/>
      <x:c r="Y202" s="90"/>
      <x:c r="Z202" s="90"/>
      <x:c r="AA202" s="90"/>
      <x:c r="AB202" s="90"/>
      <x:c r="AC202" s="90"/>
      <x:c r="AD202" s="90"/>
      <x:c r="AE202" s="90"/>
      <x:c r="AF202" s="90"/>
    </x:row>
    <x:row r="203" ht="28" hidden="1" customHeight="1">
      <x:c r="A203" s="90"/>
      <x:c r="B203" s="90"/>
      <x:c r="C203" s="90"/>
      <x:c r="D203" s="90"/>
      <x:c r="E203" s="90"/>
      <x:c r="F203" s="90"/>
      <x:c r="G203" s="90"/>
      <x:c r="H203" s="90"/>
      <x:c r="I203" s="90"/>
      <x:c r="J203" s="90"/>
      <x:c r="K203" s="90"/>
      <x:c r="L203" s="90"/>
      <x:c r="M203" s="90"/>
      <x:c r="N203" s="90"/>
      <x:c r="O203" s="90"/>
      <x:c r="P203" s="90"/>
      <x:c r="Q203" s="90"/>
      <x:c r="R203" s="90"/>
      <x:c r="S203" s="90"/>
      <x:c r="T203" s="90"/>
      <x:c r="U203" s="90" t="str">
        <x:f>IF(Counters!A53="","",Counters!A53)</x:f>
      </x:c>
      <x:c r="V203" s="90" t="str">
        <x:f>IF(U203="","",SUMIFS(Collections!$G$6:$G$505,Collections!$E$6:$E$505,U203))</x:f>
      </x:c>
      <x:c r="W203" s="90" t="str">
        <x:f>IF(AND(ISNUMBER(V203),V203&gt;0),COUNTIFS($V$156:$V$255,"&gt;"&amp;V203)+COUNTIFS($V$156:V203,V203),"")</x:f>
      </x:c>
      <x:c r="X203" s="90"/>
      <x:c r="Y203" s="90"/>
      <x:c r="Z203" s="90"/>
      <x:c r="AA203" s="90"/>
      <x:c r="AB203" s="90"/>
      <x:c r="AC203" s="90"/>
      <x:c r="AD203" s="90"/>
      <x:c r="AE203" s="90"/>
      <x:c r="AF203" s="90"/>
    </x:row>
    <x:row r="204" ht="28" hidden="1" customHeight="1">
      <x:c r="A204" s="90"/>
      <x:c r="B204" s="90"/>
      <x:c r="C204" s="90"/>
      <x:c r="D204" s="90"/>
      <x:c r="E204" s="90"/>
      <x:c r="F204" s="90"/>
      <x:c r="G204" s="90"/>
      <x:c r="H204" s="90"/>
      <x:c r="I204" s="90"/>
      <x:c r="J204" s="90"/>
      <x:c r="K204" s="90"/>
      <x:c r="L204" s="90"/>
      <x:c r="M204" s="90"/>
      <x:c r="N204" s="90"/>
      <x:c r="O204" s="90"/>
      <x:c r="P204" s="90"/>
      <x:c r="Q204" s="90"/>
      <x:c r="R204" s="90"/>
      <x:c r="S204" s="90"/>
      <x:c r="T204" s="90"/>
      <x:c r="U204" s="90" t="str">
        <x:f>IF(Counters!A54="","",Counters!A54)</x:f>
      </x:c>
      <x:c r="V204" s="90" t="str">
        <x:f>IF(U204="","",SUMIFS(Collections!$G$6:$G$505,Collections!$E$6:$E$505,U204))</x:f>
      </x:c>
      <x:c r="W204" s="90" t="str">
        <x:f>IF(AND(ISNUMBER(V204),V204&gt;0),COUNTIFS($V$156:$V$255,"&gt;"&amp;V204)+COUNTIFS($V$156:V204,V204),"")</x:f>
      </x:c>
      <x:c r="X204" s="90"/>
      <x:c r="Y204" s="90"/>
      <x:c r="Z204" s="90"/>
      <x:c r="AA204" s="90"/>
      <x:c r="AB204" s="90"/>
      <x:c r="AC204" s="90"/>
      <x:c r="AD204" s="90"/>
      <x:c r="AE204" s="90"/>
      <x:c r="AF204" s="90"/>
    </x:row>
    <x:row r="205" ht="28" hidden="1" customHeight="1">
      <x:c r="A205" s="90"/>
      <x:c r="B205" s="90"/>
      <x:c r="C205" s="90"/>
      <x:c r="D205" s="90"/>
      <x:c r="E205" s="90"/>
      <x:c r="F205" s="90"/>
      <x:c r="G205" s="90"/>
      <x:c r="H205" s="90"/>
      <x:c r="I205" s="90"/>
      <x:c r="J205" s="90"/>
      <x:c r="K205" s="90"/>
      <x:c r="L205" s="90"/>
      <x:c r="M205" s="90"/>
      <x:c r="N205" s="90"/>
      <x:c r="O205" s="90"/>
      <x:c r="P205" s="90"/>
      <x:c r="Q205" s="90"/>
      <x:c r="R205" s="90"/>
      <x:c r="S205" s="90"/>
      <x:c r="T205" s="90"/>
      <x:c r="U205" s="90" t="str">
        <x:f>IF(Counters!A55="","",Counters!A55)</x:f>
      </x:c>
      <x:c r="V205" s="90" t="str">
        <x:f>IF(U205="","",SUMIFS(Collections!$G$6:$G$505,Collections!$E$6:$E$505,U205))</x:f>
      </x:c>
      <x:c r="W205" s="90" t="str">
        <x:f>IF(AND(ISNUMBER(V205),V205&gt;0),COUNTIFS($V$156:$V$255,"&gt;"&amp;V205)+COUNTIFS($V$156:V205,V205),"")</x:f>
      </x:c>
      <x:c r="X205" s="90"/>
      <x:c r="Y205" s="90"/>
      <x:c r="Z205" s="90"/>
      <x:c r="AA205" s="90"/>
      <x:c r="AB205" s="90"/>
      <x:c r="AC205" s="90"/>
      <x:c r="AD205" s="90"/>
      <x:c r="AE205" s="90"/>
      <x:c r="AF205" s="90"/>
    </x:row>
    <x:row r="206" ht="28" hidden="1" customHeight="1">
      <x:c r="A206" s="90"/>
      <x:c r="B206" s="90"/>
      <x:c r="C206" s="90"/>
      <x:c r="D206" s="90"/>
      <x:c r="E206" s="90"/>
      <x:c r="F206" s="90"/>
      <x:c r="G206" s="90"/>
      <x:c r="H206" s="90"/>
      <x:c r="I206" s="90"/>
      <x:c r="J206" s="90"/>
      <x:c r="K206" s="90"/>
      <x:c r="L206" s="90"/>
      <x:c r="M206" s="90"/>
      <x:c r="N206" s="90"/>
      <x:c r="O206" s="90"/>
      <x:c r="P206" s="90"/>
      <x:c r="Q206" s="90"/>
      <x:c r="R206" s="90"/>
      <x:c r="S206" s="90"/>
      <x:c r="T206" s="90"/>
      <x:c r="U206" s="90" t="str">
        <x:f>IF(Counters!A56="","",Counters!A56)</x:f>
      </x:c>
      <x:c r="V206" s="90" t="str">
        <x:f>IF(U206="","",SUMIFS(Collections!$G$6:$G$505,Collections!$E$6:$E$505,U206))</x:f>
      </x:c>
      <x:c r="W206" s="90" t="str">
        <x:f>IF(AND(ISNUMBER(V206),V206&gt;0),COUNTIFS($V$156:$V$255,"&gt;"&amp;V206)+COUNTIFS($V$156:V206,V206),"")</x:f>
      </x:c>
      <x:c r="X206" s="90"/>
      <x:c r="Y206" s="90"/>
      <x:c r="Z206" s="90"/>
      <x:c r="AA206" s="90"/>
      <x:c r="AB206" s="90"/>
      <x:c r="AC206" s="90"/>
      <x:c r="AD206" s="90"/>
      <x:c r="AE206" s="90"/>
      <x:c r="AF206" s="90"/>
    </x:row>
    <x:row r="207" ht="28" hidden="1" customHeight="1">
      <x:c r="A207" s="90"/>
      <x:c r="B207" s="90"/>
      <x:c r="C207" s="90"/>
      <x:c r="D207" s="90"/>
      <x:c r="E207" s="90"/>
      <x:c r="F207" s="90"/>
      <x:c r="G207" s="90"/>
      <x:c r="H207" s="90"/>
      <x:c r="I207" s="90"/>
      <x:c r="J207" s="90"/>
      <x:c r="K207" s="90"/>
      <x:c r="L207" s="90"/>
      <x:c r="M207" s="90"/>
      <x:c r="N207" s="90"/>
      <x:c r="O207" s="90"/>
      <x:c r="P207" s="90"/>
      <x:c r="Q207" s="90"/>
      <x:c r="R207" s="90"/>
      <x:c r="S207" s="90"/>
      <x:c r="T207" s="90"/>
      <x:c r="U207" s="90" t="str">
        <x:f>IF(Counters!A57="","",Counters!A57)</x:f>
      </x:c>
      <x:c r="V207" s="90" t="str">
        <x:f>IF(U207="","",SUMIFS(Collections!$G$6:$G$505,Collections!$E$6:$E$505,U207))</x:f>
      </x:c>
      <x:c r="W207" s="90" t="str">
        <x:f>IF(AND(ISNUMBER(V207),V207&gt;0),COUNTIFS($V$156:$V$255,"&gt;"&amp;V207)+COUNTIFS($V$156:V207,V207),"")</x:f>
      </x:c>
      <x:c r="X207" s="90"/>
      <x:c r="Y207" s="90"/>
      <x:c r="Z207" s="90"/>
      <x:c r="AA207" s="90"/>
      <x:c r="AB207" s="90"/>
      <x:c r="AC207" s="90"/>
      <x:c r="AD207" s="90"/>
      <x:c r="AE207" s="90"/>
      <x:c r="AF207" s="90"/>
    </x:row>
    <x:row r="208" ht="28" hidden="1" customHeight="1">
      <x:c r="A208" s="90"/>
      <x:c r="B208" s="90"/>
      <x:c r="C208" s="90"/>
      <x:c r="D208" s="90"/>
      <x:c r="E208" s="90"/>
      <x:c r="F208" s="90"/>
      <x:c r="G208" s="90"/>
      <x:c r="H208" s="90"/>
      <x:c r="I208" s="90"/>
      <x:c r="J208" s="90"/>
      <x:c r="K208" s="90"/>
      <x:c r="L208" s="90"/>
      <x:c r="M208" s="90"/>
      <x:c r="N208" s="90"/>
      <x:c r="O208" s="90"/>
      <x:c r="P208" s="90"/>
      <x:c r="Q208" s="90"/>
      <x:c r="R208" s="90"/>
      <x:c r="S208" s="90"/>
      <x:c r="T208" s="90"/>
      <x:c r="U208" s="90" t="str">
        <x:f>IF(Counters!A58="","",Counters!A58)</x:f>
      </x:c>
      <x:c r="V208" s="90" t="str">
        <x:f>IF(U208="","",SUMIFS(Collections!$G$6:$G$505,Collections!$E$6:$E$505,U208))</x:f>
      </x:c>
      <x:c r="W208" s="90" t="str">
        <x:f>IF(AND(ISNUMBER(V208),V208&gt;0),COUNTIFS($V$156:$V$255,"&gt;"&amp;V208)+COUNTIFS($V$156:V208,V208),"")</x:f>
      </x:c>
      <x:c r="X208" s="90"/>
      <x:c r="Y208" s="90"/>
      <x:c r="Z208" s="90"/>
      <x:c r="AA208" s="90"/>
      <x:c r="AB208" s="90"/>
      <x:c r="AC208" s="90"/>
      <x:c r="AD208" s="90"/>
      <x:c r="AE208" s="90"/>
      <x:c r="AF208" s="90"/>
    </x:row>
    <x:row r="209" ht="28" hidden="1" customHeight="1">
      <x:c r="A209" s="90"/>
      <x:c r="B209" s="90"/>
      <x:c r="C209" s="90"/>
      <x:c r="D209" s="90"/>
      <x:c r="E209" s="90"/>
      <x:c r="F209" s="90"/>
      <x:c r="G209" s="90"/>
      <x:c r="H209" s="90"/>
      <x:c r="I209" s="90"/>
      <x:c r="J209" s="90"/>
      <x:c r="K209" s="90"/>
      <x:c r="L209" s="90"/>
      <x:c r="M209" s="90"/>
      <x:c r="N209" s="90"/>
      <x:c r="O209" s="90"/>
      <x:c r="P209" s="90"/>
      <x:c r="Q209" s="90"/>
      <x:c r="R209" s="90"/>
      <x:c r="S209" s="90"/>
      <x:c r="T209" s="90"/>
      <x:c r="U209" s="90" t="str">
        <x:f>IF(Counters!A59="","",Counters!A59)</x:f>
      </x:c>
      <x:c r="V209" s="90" t="str">
        <x:f>IF(U209="","",SUMIFS(Collections!$G$6:$G$505,Collections!$E$6:$E$505,U209))</x:f>
      </x:c>
      <x:c r="W209" s="90" t="str">
        <x:f>IF(AND(ISNUMBER(V209),V209&gt;0),COUNTIFS($V$156:$V$255,"&gt;"&amp;V209)+COUNTIFS($V$156:V209,V209),"")</x:f>
      </x:c>
      <x:c r="X209" s="90"/>
      <x:c r="Y209" s="90"/>
      <x:c r="Z209" s="90"/>
      <x:c r="AA209" s="90"/>
      <x:c r="AB209" s="90"/>
      <x:c r="AC209" s="90"/>
      <x:c r="AD209" s="90"/>
      <x:c r="AE209" s="90"/>
      <x:c r="AF209" s="90"/>
    </x:row>
    <x:row r="210" ht="28" hidden="1" customHeight="1">
      <x:c r="A210" s="90"/>
      <x:c r="B210" s="90"/>
      <x:c r="C210" s="90"/>
      <x:c r="D210" s="90"/>
      <x:c r="E210" s="90"/>
      <x:c r="F210" s="90"/>
      <x:c r="G210" s="90"/>
      <x:c r="H210" s="90"/>
      <x:c r="I210" s="90"/>
      <x:c r="J210" s="90"/>
      <x:c r="K210" s="90"/>
      <x:c r="L210" s="90"/>
      <x:c r="M210" s="90"/>
      <x:c r="N210" s="90"/>
      <x:c r="O210" s="90"/>
      <x:c r="P210" s="90"/>
      <x:c r="Q210" s="90"/>
      <x:c r="R210" s="90"/>
      <x:c r="S210" s="90"/>
      <x:c r="T210" s="90"/>
      <x:c r="U210" s="90" t="str">
        <x:f>IF(Counters!A60="","",Counters!A60)</x:f>
      </x:c>
      <x:c r="V210" s="90" t="str">
        <x:f>IF(U210="","",SUMIFS(Collections!$G$6:$G$505,Collections!$E$6:$E$505,U210))</x:f>
      </x:c>
      <x:c r="W210" s="90" t="str">
        <x:f>IF(AND(ISNUMBER(V210),V210&gt;0),COUNTIFS($V$156:$V$255,"&gt;"&amp;V210)+COUNTIFS($V$156:V210,V210),"")</x:f>
      </x:c>
      <x:c r="X210" s="90"/>
      <x:c r="Y210" s="90"/>
      <x:c r="Z210" s="90"/>
      <x:c r="AA210" s="90"/>
      <x:c r="AB210" s="90"/>
      <x:c r="AC210" s="90"/>
      <x:c r="AD210" s="90"/>
      <x:c r="AE210" s="90"/>
      <x:c r="AF210" s="90"/>
    </x:row>
    <x:row r="211" ht="28" hidden="1" customHeight="1">
      <x:c r="A211" s="90"/>
      <x:c r="B211" s="90"/>
      <x:c r="C211" s="90"/>
      <x:c r="D211" s="90"/>
      <x:c r="E211" s="90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  <x:c r="R211" s="90"/>
      <x:c r="S211" s="90"/>
      <x:c r="T211" s="90"/>
      <x:c r="U211" s="90" t="str">
        <x:f>IF(Counters!A61="","",Counters!A61)</x:f>
      </x:c>
      <x:c r="V211" s="90" t="str">
        <x:f>IF(U211="","",SUMIFS(Collections!$G$6:$G$505,Collections!$E$6:$E$505,U211))</x:f>
      </x:c>
      <x:c r="W211" s="90" t="str">
        <x:f>IF(AND(ISNUMBER(V211),V211&gt;0),COUNTIFS($V$156:$V$255,"&gt;"&amp;V211)+COUNTIFS($V$156:V211,V211),"")</x:f>
      </x:c>
      <x:c r="X211" s="90"/>
      <x:c r="Y211" s="90"/>
      <x:c r="Z211" s="90"/>
      <x:c r="AA211" s="90"/>
      <x:c r="AB211" s="90"/>
      <x:c r="AC211" s="90"/>
      <x:c r="AD211" s="90"/>
      <x:c r="AE211" s="90"/>
      <x:c r="AF211" s="90"/>
    </x:row>
    <x:row r="212" ht="28" hidden="1" customHeight="1">
      <x:c r="A212" s="90"/>
      <x:c r="B212" s="90"/>
      <x:c r="C212" s="90"/>
      <x:c r="D212" s="90"/>
      <x:c r="E212" s="90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  <x:c r="R212" s="90"/>
      <x:c r="S212" s="90"/>
      <x:c r="T212" s="90"/>
      <x:c r="U212" s="90" t="str">
        <x:f>IF(Counters!A62="","",Counters!A62)</x:f>
      </x:c>
      <x:c r="V212" s="90" t="str">
        <x:f>IF(U212="","",SUMIFS(Collections!$G$6:$G$505,Collections!$E$6:$E$505,U212))</x:f>
      </x:c>
      <x:c r="W212" s="90" t="str">
        <x:f>IF(AND(ISNUMBER(V212),V212&gt;0),COUNTIFS($V$156:$V$255,"&gt;"&amp;V212)+COUNTIFS($V$156:V212,V212),"")</x:f>
      </x:c>
      <x:c r="X212" s="90"/>
      <x:c r="Y212" s="90"/>
      <x:c r="Z212" s="90"/>
      <x:c r="AA212" s="90"/>
      <x:c r="AB212" s="90"/>
      <x:c r="AC212" s="90"/>
      <x:c r="AD212" s="90"/>
      <x:c r="AE212" s="90"/>
      <x:c r="AF212" s="90"/>
    </x:row>
    <x:row r="213" ht="28" hidden="1" customHeight="1">
      <x:c r="A213" s="90"/>
      <x:c r="B213" s="90"/>
      <x:c r="C213" s="90"/>
      <x:c r="D213" s="90"/>
      <x:c r="E213" s="90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  <x:c r="R213" s="90"/>
      <x:c r="S213" s="90"/>
      <x:c r="T213" s="90"/>
      <x:c r="U213" s="90" t="str">
        <x:f>IF(Counters!A63="","",Counters!A63)</x:f>
      </x:c>
      <x:c r="V213" s="90" t="str">
        <x:f>IF(U213="","",SUMIFS(Collections!$G$6:$G$505,Collections!$E$6:$E$505,U213))</x:f>
      </x:c>
      <x:c r="W213" s="90" t="str">
        <x:f>IF(AND(ISNUMBER(V213),V213&gt;0),COUNTIFS($V$156:$V$255,"&gt;"&amp;V213)+COUNTIFS($V$156:V213,V213),"")</x:f>
      </x:c>
      <x:c r="X213" s="90"/>
      <x:c r="Y213" s="90"/>
      <x:c r="Z213" s="90"/>
      <x:c r="AA213" s="90"/>
      <x:c r="AB213" s="90"/>
      <x:c r="AC213" s="90"/>
      <x:c r="AD213" s="90"/>
      <x:c r="AE213" s="90"/>
      <x:c r="AF213" s="90"/>
    </x:row>
    <x:row r="214" ht="28" hidden="1" customHeight="1">
      <x:c r="A214" s="90"/>
      <x:c r="B214" s="90"/>
      <x:c r="C214" s="90"/>
      <x:c r="D214" s="90"/>
      <x:c r="E214" s="90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  <x:c r="R214" s="90"/>
      <x:c r="S214" s="90"/>
      <x:c r="T214" s="90"/>
      <x:c r="U214" s="90" t="str">
        <x:f>IF(Counters!A64="","",Counters!A64)</x:f>
      </x:c>
      <x:c r="V214" s="90" t="str">
        <x:f>IF(U214="","",SUMIFS(Collections!$G$6:$G$505,Collections!$E$6:$E$505,U214))</x:f>
      </x:c>
      <x:c r="W214" s="90" t="str">
        <x:f>IF(AND(ISNUMBER(V214),V214&gt;0),COUNTIFS($V$156:$V$255,"&gt;"&amp;V214)+COUNTIFS($V$156:V214,V214),"")</x:f>
      </x:c>
      <x:c r="X214" s="90"/>
      <x:c r="Y214" s="90"/>
      <x:c r="Z214" s="90"/>
      <x:c r="AA214" s="90"/>
      <x:c r="AB214" s="90"/>
      <x:c r="AC214" s="90"/>
      <x:c r="AD214" s="90"/>
      <x:c r="AE214" s="90"/>
      <x:c r="AF214" s="90"/>
    </x:row>
    <x:row r="215" ht="28" hidden="1" customHeight="1">
      <x:c r="A215" s="90"/>
      <x:c r="B215" s="90"/>
      <x:c r="C215" s="90"/>
      <x:c r="D215" s="90"/>
      <x:c r="E215" s="90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  <x:c r="R215" s="90"/>
      <x:c r="S215" s="90"/>
      <x:c r="T215" s="90"/>
      <x:c r="U215" s="90" t="str">
        <x:f>IF(Counters!A65="","",Counters!A65)</x:f>
      </x:c>
      <x:c r="V215" s="90" t="str">
        <x:f>IF(U215="","",SUMIFS(Collections!$G$6:$G$505,Collections!$E$6:$E$505,U215))</x:f>
      </x:c>
      <x:c r="W215" s="90" t="str">
        <x:f>IF(AND(ISNUMBER(V215),V215&gt;0),COUNTIFS($V$156:$V$255,"&gt;"&amp;V215)+COUNTIFS($V$156:V215,V215),"")</x:f>
      </x:c>
      <x:c r="X215" s="90"/>
      <x:c r="Y215" s="90"/>
      <x:c r="Z215" s="90"/>
      <x:c r="AA215" s="90"/>
      <x:c r="AB215" s="90"/>
      <x:c r="AC215" s="90"/>
      <x:c r="AD215" s="90"/>
      <x:c r="AE215" s="90"/>
      <x:c r="AF215" s="90"/>
    </x:row>
    <x:row r="216" ht="28" hidden="1" customHeight="1">
      <x:c r="A216" s="90"/>
      <x:c r="B216" s="90"/>
      <x:c r="C216" s="90"/>
      <x:c r="D216" s="90"/>
      <x:c r="E216" s="90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  <x:c r="R216" s="90"/>
      <x:c r="S216" s="90"/>
      <x:c r="T216" s="90"/>
      <x:c r="U216" s="90" t="str">
        <x:f>IF(Counters!A66="","",Counters!A66)</x:f>
      </x:c>
      <x:c r="V216" s="90" t="str">
        <x:f>IF(U216="","",SUMIFS(Collections!$G$6:$G$505,Collections!$E$6:$E$505,U216))</x:f>
      </x:c>
      <x:c r="W216" s="90" t="str">
        <x:f>IF(AND(ISNUMBER(V216),V216&gt;0),COUNTIFS($V$156:$V$255,"&gt;"&amp;V216)+COUNTIFS($V$156:V216,V216),"")</x:f>
      </x:c>
      <x:c r="X216" s="90"/>
      <x:c r="Y216" s="90"/>
      <x:c r="Z216" s="90"/>
      <x:c r="AA216" s="90"/>
      <x:c r="AB216" s="90"/>
      <x:c r="AC216" s="90"/>
      <x:c r="AD216" s="90"/>
      <x:c r="AE216" s="90"/>
      <x:c r="AF216" s="90"/>
    </x:row>
    <x:row r="217" ht="28" hidden="1" customHeight="1">
      <x:c r="A217" s="90"/>
      <x:c r="B217" s="90"/>
      <x:c r="C217" s="90"/>
      <x:c r="D217" s="90"/>
      <x:c r="E217" s="90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  <x:c r="R217" s="90"/>
      <x:c r="S217" s="90"/>
      <x:c r="T217" s="90"/>
      <x:c r="U217" s="90" t="str">
        <x:f>IF(Counters!A67="","",Counters!A67)</x:f>
      </x:c>
      <x:c r="V217" s="90" t="str">
        <x:f>IF(U217="","",SUMIFS(Collections!$G$6:$G$505,Collections!$E$6:$E$505,U217))</x:f>
      </x:c>
      <x:c r="W217" s="90" t="str">
        <x:f>IF(AND(ISNUMBER(V217),V217&gt;0),COUNTIFS($V$156:$V$255,"&gt;"&amp;V217)+COUNTIFS($V$156:V217,V217),"")</x:f>
      </x:c>
      <x:c r="X217" s="90"/>
      <x:c r="Y217" s="90"/>
      <x:c r="Z217" s="90"/>
      <x:c r="AA217" s="90"/>
      <x:c r="AB217" s="90"/>
      <x:c r="AC217" s="90"/>
      <x:c r="AD217" s="90"/>
      <x:c r="AE217" s="90"/>
      <x:c r="AF217" s="90"/>
    </x:row>
    <x:row r="218" ht="28" hidden="1" customHeight="1">
      <x:c r="A218" s="90"/>
      <x:c r="B218" s="90"/>
      <x:c r="C218" s="90"/>
      <x:c r="D218" s="90"/>
      <x:c r="E218" s="90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  <x:c r="R218" s="90"/>
      <x:c r="S218" s="90"/>
      <x:c r="T218" s="90"/>
      <x:c r="U218" s="90" t="str">
        <x:f>IF(Counters!A68="","",Counters!A68)</x:f>
      </x:c>
      <x:c r="V218" s="90" t="str">
        <x:f>IF(U218="","",SUMIFS(Collections!$G$6:$G$505,Collections!$E$6:$E$505,U218))</x:f>
      </x:c>
      <x:c r="W218" s="90" t="str">
        <x:f>IF(AND(ISNUMBER(V218),V218&gt;0),COUNTIFS($V$156:$V$255,"&gt;"&amp;V218)+COUNTIFS($V$156:V218,V218),"")</x:f>
      </x:c>
      <x:c r="X218" s="90"/>
      <x:c r="Y218" s="90"/>
      <x:c r="Z218" s="90"/>
      <x:c r="AA218" s="90"/>
      <x:c r="AB218" s="90"/>
      <x:c r="AC218" s="90"/>
      <x:c r="AD218" s="90"/>
      <x:c r="AE218" s="90"/>
      <x:c r="AF218" s="90"/>
    </x:row>
    <x:row r="219" ht="28" hidden="1" customHeight="1">
      <x:c r="A219" s="90"/>
      <x:c r="B219" s="90"/>
      <x:c r="C219" s="90"/>
      <x:c r="D219" s="90"/>
      <x:c r="E219" s="90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  <x:c r="R219" s="90"/>
      <x:c r="S219" s="90"/>
      <x:c r="T219" s="90"/>
      <x:c r="U219" s="90" t="str">
        <x:f>IF(Counters!A69="","",Counters!A69)</x:f>
      </x:c>
      <x:c r="V219" s="90" t="str">
        <x:f>IF(U219="","",SUMIFS(Collections!$G$6:$G$505,Collections!$E$6:$E$505,U219))</x:f>
      </x:c>
      <x:c r="W219" s="90" t="str">
        <x:f>IF(AND(ISNUMBER(V219),V219&gt;0),COUNTIFS($V$156:$V$255,"&gt;"&amp;V219)+COUNTIFS($V$156:V219,V219),"")</x:f>
      </x:c>
      <x:c r="X219" s="90"/>
      <x:c r="Y219" s="90"/>
      <x:c r="Z219" s="90"/>
      <x:c r="AA219" s="90"/>
      <x:c r="AB219" s="90"/>
      <x:c r="AC219" s="90"/>
      <x:c r="AD219" s="90"/>
      <x:c r="AE219" s="90"/>
      <x:c r="AF219" s="90"/>
    </x:row>
    <x:row r="220" ht="28" hidden="1" customHeight="1">
      <x:c r="A220" s="90"/>
      <x:c r="B220" s="90"/>
      <x:c r="C220" s="90"/>
      <x:c r="D220" s="90"/>
      <x:c r="E220" s="90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  <x:c r="R220" s="90"/>
      <x:c r="S220" s="90"/>
      <x:c r="T220" s="90"/>
      <x:c r="U220" s="90" t="str">
        <x:f>IF(Counters!A70="","",Counters!A70)</x:f>
      </x:c>
      <x:c r="V220" s="90" t="str">
        <x:f>IF(U220="","",SUMIFS(Collections!$G$6:$G$505,Collections!$E$6:$E$505,U220))</x:f>
      </x:c>
      <x:c r="W220" s="90" t="str">
        <x:f>IF(AND(ISNUMBER(V220),V220&gt;0),COUNTIFS($V$156:$V$255,"&gt;"&amp;V220)+COUNTIFS($V$156:V220,V220),"")</x:f>
      </x:c>
      <x:c r="X220" s="90"/>
      <x:c r="Y220" s="90"/>
      <x:c r="Z220" s="90"/>
      <x:c r="AA220" s="90"/>
      <x:c r="AB220" s="90"/>
      <x:c r="AC220" s="90"/>
      <x:c r="AD220" s="90"/>
      <x:c r="AE220" s="90"/>
      <x:c r="AF220" s="90"/>
    </x:row>
    <x:row r="221" ht="28" hidden="1" customHeight="1">
      <x:c r="A221" s="90"/>
      <x:c r="B221" s="90"/>
      <x:c r="C221" s="90"/>
      <x:c r="D221" s="90"/>
      <x:c r="E221" s="90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  <x:c r="R221" s="90"/>
      <x:c r="S221" s="90"/>
      <x:c r="T221" s="90"/>
      <x:c r="U221" s="90" t="str">
        <x:f>IF(Counters!A71="","",Counters!A71)</x:f>
      </x:c>
      <x:c r="V221" s="90" t="str">
        <x:f>IF(U221="","",SUMIFS(Collections!$G$6:$G$505,Collections!$E$6:$E$505,U221))</x:f>
      </x:c>
      <x:c r="W221" s="90" t="str">
        <x:f>IF(AND(ISNUMBER(V221),V221&gt;0),COUNTIFS($V$156:$V$255,"&gt;"&amp;V221)+COUNTIFS($V$156:V221,V221),"")</x:f>
      </x:c>
      <x:c r="X221" s="90"/>
      <x:c r="Y221" s="90"/>
      <x:c r="Z221" s="90"/>
      <x:c r="AA221" s="90"/>
      <x:c r="AB221" s="90"/>
      <x:c r="AC221" s="90"/>
      <x:c r="AD221" s="90"/>
      <x:c r="AE221" s="90"/>
      <x:c r="AF221" s="90"/>
    </x:row>
    <x:row r="222" ht="28" hidden="1" customHeight="1">
      <x:c r="A222" s="90"/>
      <x:c r="B222" s="90"/>
      <x:c r="C222" s="90"/>
      <x:c r="D222" s="90"/>
      <x:c r="E222" s="90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  <x:c r="R222" s="90"/>
      <x:c r="S222" s="90"/>
      <x:c r="T222" s="90"/>
      <x:c r="U222" s="90" t="str">
        <x:f>IF(Counters!A72="","",Counters!A72)</x:f>
      </x:c>
      <x:c r="V222" s="90" t="str">
        <x:f>IF(U222="","",SUMIFS(Collections!$G$6:$G$505,Collections!$E$6:$E$505,U222))</x:f>
      </x:c>
      <x:c r="W222" s="90" t="str">
        <x:f>IF(AND(ISNUMBER(V222),V222&gt;0),COUNTIFS($V$156:$V$255,"&gt;"&amp;V222)+COUNTIFS($V$156:V222,V222),"")</x:f>
      </x:c>
      <x:c r="X222" s="90"/>
      <x:c r="Y222" s="90"/>
      <x:c r="Z222" s="90"/>
      <x:c r="AA222" s="90"/>
      <x:c r="AB222" s="90"/>
      <x:c r="AC222" s="90"/>
      <x:c r="AD222" s="90"/>
      <x:c r="AE222" s="90"/>
      <x:c r="AF222" s="90"/>
    </x:row>
    <x:row r="223" ht="28" hidden="1" customHeight="1">
      <x:c r="A223" s="90"/>
      <x:c r="B223" s="90"/>
      <x:c r="C223" s="90"/>
      <x:c r="D223" s="90"/>
      <x:c r="E223" s="90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  <x:c r="R223" s="90"/>
      <x:c r="S223" s="90"/>
      <x:c r="T223" s="90"/>
      <x:c r="U223" s="90" t="str">
        <x:f>IF(Counters!A73="","",Counters!A73)</x:f>
      </x:c>
      <x:c r="V223" s="90" t="str">
        <x:f>IF(U223="","",SUMIFS(Collections!$G$6:$G$505,Collections!$E$6:$E$505,U223))</x:f>
      </x:c>
      <x:c r="W223" s="90" t="str">
        <x:f>IF(AND(ISNUMBER(V223),V223&gt;0),COUNTIFS($V$156:$V$255,"&gt;"&amp;V223)+COUNTIFS($V$156:V223,V223),"")</x:f>
      </x:c>
      <x:c r="X223" s="90"/>
      <x:c r="Y223" s="90"/>
      <x:c r="Z223" s="90"/>
      <x:c r="AA223" s="90"/>
      <x:c r="AB223" s="90"/>
      <x:c r="AC223" s="90"/>
      <x:c r="AD223" s="90"/>
      <x:c r="AE223" s="90"/>
      <x:c r="AF223" s="90"/>
    </x:row>
    <x:row r="224" ht="28" hidden="1" customHeight="1">
      <x:c r="A224" s="90"/>
      <x:c r="B224" s="90"/>
      <x:c r="C224" s="90"/>
      <x:c r="D224" s="90"/>
      <x:c r="E224" s="90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  <x:c r="R224" s="90"/>
      <x:c r="S224" s="90"/>
      <x:c r="T224" s="90"/>
      <x:c r="U224" s="90" t="str">
        <x:f>IF(Counters!A74="","",Counters!A74)</x:f>
      </x:c>
      <x:c r="V224" s="90" t="str">
        <x:f>IF(U224="","",SUMIFS(Collections!$G$6:$G$505,Collections!$E$6:$E$505,U224))</x:f>
      </x:c>
      <x:c r="W224" s="90" t="str">
        <x:f>IF(AND(ISNUMBER(V224),V224&gt;0),COUNTIFS($V$156:$V$255,"&gt;"&amp;V224)+COUNTIFS($V$156:V224,V224),"")</x:f>
      </x:c>
      <x:c r="X224" s="90"/>
      <x:c r="Y224" s="90"/>
      <x:c r="Z224" s="90"/>
      <x:c r="AA224" s="90"/>
      <x:c r="AB224" s="90"/>
      <x:c r="AC224" s="90"/>
      <x:c r="AD224" s="90"/>
      <x:c r="AE224" s="90"/>
      <x:c r="AF224" s="90"/>
    </x:row>
    <x:row r="225" ht="28" hidden="1" customHeight="1">
      <x:c r="A225" s="90"/>
      <x:c r="B225" s="90"/>
      <x:c r="C225" s="90"/>
      <x:c r="D225" s="90"/>
      <x:c r="E225" s="90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  <x:c r="R225" s="90"/>
      <x:c r="S225" s="90"/>
      <x:c r="T225" s="90"/>
      <x:c r="U225" s="90" t="str">
        <x:f>IF(Counters!A75="","",Counters!A75)</x:f>
      </x:c>
      <x:c r="V225" s="90" t="str">
        <x:f>IF(U225="","",SUMIFS(Collections!$G$6:$G$505,Collections!$E$6:$E$505,U225))</x:f>
      </x:c>
      <x:c r="W225" s="90" t="str">
        <x:f>IF(AND(ISNUMBER(V225),V225&gt;0),COUNTIFS($V$156:$V$255,"&gt;"&amp;V225)+COUNTIFS($V$156:V225,V225),"")</x:f>
      </x:c>
      <x:c r="X225" s="90"/>
      <x:c r="Y225" s="90"/>
      <x:c r="Z225" s="90"/>
      <x:c r="AA225" s="90"/>
      <x:c r="AB225" s="90"/>
      <x:c r="AC225" s="90"/>
      <x:c r="AD225" s="90"/>
      <x:c r="AE225" s="90"/>
      <x:c r="AF225" s="90"/>
    </x:row>
    <x:row r="226" ht="28" hidden="1" customHeight="1">
      <x:c r="A226" s="90"/>
      <x:c r="B226" s="90"/>
      <x:c r="C226" s="90"/>
      <x:c r="D226" s="90"/>
      <x:c r="E226" s="90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  <x:c r="R226" s="90"/>
      <x:c r="S226" s="90"/>
      <x:c r="T226" s="90"/>
      <x:c r="U226" s="90" t="str">
        <x:f>IF(Counters!A76="","",Counters!A76)</x:f>
      </x:c>
      <x:c r="V226" s="90" t="str">
        <x:f>IF(U226="","",SUMIFS(Collections!$G$6:$G$505,Collections!$E$6:$E$505,U226))</x:f>
      </x:c>
      <x:c r="W226" s="90" t="str">
        <x:f>IF(AND(ISNUMBER(V226),V226&gt;0),COUNTIFS($V$156:$V$255,"&gt;"&amp;V226)+COUNTIFS($V$156:V226,V226),"")</x:f>
      </x:c>
      <x:c r="X226" s="90"/>
      <x:c r="Y226" s="90"/>
      <x:c r="Z226" s="90"/>
      <x:c r="AA226" s="90"/>
      <x:c r="AB226" s="90"/>
      <x:c r="AC226" s="90"/>
      <x:c r="AD226" s="90"/>
      <x:c r="AE226" s="90"/>
      <x:c r="AF226" s="90"/>
    </x:row>
    <x:row r="227" ht="28" hidden="1" customHeight="1">
      <x:c r="A227" s="90"/>
      <x:c r="B227" s="90"/>
      <x:c r="C227" s="90"/>
      <x:c r="D227" s="90"/>
      <x:c r="E227" s="90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  <x:c r="R227" s="90"/>
      <x:c r="S227" s="90"/>
      <x:c r="T227" s="90"/>
      <x:c r="U227" s="90" t="str">
        <x:f>IF(Counters!A77="","",Counters!A77)</x:f>
      </x:c>
      <x:c r="V227" s="90" t="str">
        <x:f>IF(U227="","",SUMIFS(Collections!$G$6:$G$505,Collections!$E$6:$E$505,U227))</x:f>
      </x:c>
      <x:c r="W227" s="90" t="str">
        <x:f>IF(AND(ISNUMBER(V227),V227&gt;0),COUNTIFS($V$156:$V$255,"&gt;"&amp;V227)+COUNTIFS($V$156:V227,V227),"")</x:f>
      </x:c>
      <x:c r="X227" s="90"/>
      <x:c r="Y227" s="90"/>
      <x:c r="Z227" s="90"/>
      <x:c r="AA227" s="90"/>
      <x:c r="AB227" s="90"/>
      <x:c r="AC227" s="90"/>
      <x:c r="AD227" s="90"/>
      <x:c r="AE227" s="90"/>
      <x:c r="AF227" s="90"/>
    </x:row>
    <x:row r="228" ht="28" hidden="1" customHeight="1">
      <x:c r="A228" s="90"/>
      <x:c r="B228" s="90"/>
      <x:c r="C228" s="90"/>
      <x:c r="D228" s="90"/>
      <x:c r="E228" s="90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  <x:c r="R228" s="90"/>
      <x:c r="S228" s="90"/>
      <x:c r="T228" s="90"/>
      <x:c r="U228" s="90" t="str">
        <x:f>IF(Counters!A78="","",Counters!A78)</x:f>
      </x:c>
      <x:c r="V228" s="90" t="str">
        <x:f>IF(U228="","",SUMIFS(Collections!$G$6:$G$505,Collections!$E$6:$E$505,U228))</x:f>
      </x:c>
      <x:c r="W228" s="90" t="str">
        <x:f>IF(AND(ISNUMBER(V228),V228&gt;0),COUNTIFS($V$156:$V$255,"&gt;"&amp;V228)+COUNTIFS($V$156:V228,V228),"")</x:f>
      </x:c>
      <x:c r="X228" s="90"/>
      <x:c r="Y228" s="90"/>
      <x:c r="Z228" s="90"/>
      <x:c r="AA228" s="90"/>
      <x:c r="AB228" s="90"/>
      <x:c r="AC228" s="90"/>
      <x:c r="AD228" s="90"/>
      <x:c r="AE228" s="90"/>
      <x:c r="AF228" s="90"/>
    </x:row>
    <x:row r="229" ht="28" hidden="1" customHeight="1">
      <x:c r="A229" s="90"/>
      <x:c r="B229" s="90"/>
      <x:c r="C229" s="90"/>
      <x:c r="D229" s="90"/>
      <x:c r="E229" s="90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  <x:c r="R229" s="90"/>
      <x:c r="S229" s="90"/>
      <x:c r="T229" s="90"/>
      <x:c r="U229" s="90" t="str">
        <x:f>IF(Counters!A79="","",Counters!A79)</x:f>
      </x:c>
      <x:c r="V229" s="90" t="str">
        <x:f>IF(U229="","",SUMIFS(Collections!$G$6:$G$505,Collections!$E$6:$E$505,U229))</x:f>
      </x:c>
      <x:c r="W229" s="90" t="str">
        <x:f>IF(AND(ISNUMBER(V229),V229&gt;0),COUNTIFS($V$156:$V$255,"&gt;"&amp;V229)+COUNTIFS($V$156:V229,V229),"")</x:f>
      </x:c>
      <x:c r="X229" s="90"/>
      <x:c r="Y229" s="90"/>
      <x:c r="Z229" s="90"/>
      <x:c r="AA229" s="90"/>
      <x:c r="AB229" s="90"/>
      <x:c r="AC229" s="90"/>
      <x:c r="AD229" s="90"/>
      <x:c r="AE229" s="90"/>
      <x:c r="AF229" s="90"/>
    </x:row>
    <x:row r="230" ht="28" hidden="1" customHeight="1">
      <x:c r="A230" s="90"/>
      <x:c r="B230" s="90"/>
      <x:c r="C230" s="90"/>
      <x:c r="D230" s="90"/>
      <x:c r="E230" s="90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  <x:c r="R230" s="90"/>
      <x:c r="S230" s="90"/>
      <x:c r="T230" s="90"/>
      <x:c r="U230" s="90" t="str">
        <x:f>IF(Counters!A80="","",Counters!A80)</x:f>
      </x:c>
      <x:c r="V230" s="90" t="str">
        <x:f>IF(U230="","",SUMIFS(Collections!$G$6:$G$505,Collections!$E$6:$E$505,U230))</x:f>
      </x:c>
      <x:c r="W230" s="90" t="str">
        <x:f>IF(AND(ISNUMBER(V230),V230&gt;0),COUNTIFS($V$156:$V$255,"&gt;"&amp;V230)+COUNTIFS($V$156:V230,V230),"")</x:f>
      </x:c>
      <x:c r="X230" s="90"/>
      <x:c r="Y230" s="90"/>
      <x:c r="Z230" s="90"/>
      <x:c r="AA230" s="90"/>
      <x:c r="AB230" s="90"/>
      <x:c r="AC230" s="90"/>
      <x:c r="AD230" s="90"/>
      <x:c r="AE230" s="90"/>
      <x:c r="AF230" s="90"/>
    </x:row>
    <x:row r="231" ht="28" hidden="1" customHeight="1">
      <x:c r="A231" s="90"/>
      <x:c r="B231" s="90"/>
      <x:c r="C231" s="90"/>
      <x:c r="D231" s="90"/>
      <x:c r="E231" s="90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  <x:c r="R231" s="90"/>
      <x:c r="S231" s="90"/>
      <x:c r="T231" s="90"/>
      <x:c r="U231" s="90" t="str">
        <x:f>IF(Counters!A81="","",Counters!A81)</x:f>
      </x:c>
      <x:c r="V231" s="90" t="str">
        <x:f>IF(U231="","",SUMIFS(Collections!$G$6:$G$505,Collections!$E$6:$E$505,U231))</x:f>
      </x:c>
      <x:c r="W231" s="90" t="str">
        <x:f>IF(AND(ISNUMBER(V231),V231&gt;0),COUNTIFS($V$156:$V$255,"&gt;"&amp;V231)+COUNTIFS($V$156:V231,V231),"")</x:f>
      </x:c>
      <x:c r="X231" s="90"/>
      <x:c r="Y231" s="90"/>
      <x:c r="Z231" s="90"/>
      <x:c r="AA231" s="90"/>
      <x:c r="AB231" s="90"/>
      <x:c r="AC231" s="90"/>
      <x:c r="AD231" s="90"/>
      <x:c r="AE231" s="90"/>
      <x:c r="AF231" s="90"/>
    </x:row>
    <x:row r="232" ht="28" hidden="1" customHeight="1">
      <x:c r="A232" s="90"/>
      <x:c r="B232" s="90"/>
      <x:c r="C232" s="90"/>
      <x:c r="D232" s="90"/>
      <x:c r="E232" s="90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  <x:c r="R232" s="90"/>
      <x:c r="S232" s="90"/>
      <x:c r="T232" s="90"/>
      <x:c r="U232" s="90" t="str">
        <x:f>IF(Counters!A82="","",Counters!A82)</x:f>
      </x:c>
      <x:c r="V232" s="90" t="str">
        <x:f>IF(U232="","",SUMIFS(Collections!$G$6:$G$505,Collections!$E$6:$E$505,U232))</x:f>
      </x:c>
      <x:c r="W232" s="90" t="str">
        <x:f>IF(AND(ISNUMBER(V232),V232&gt;0),COUNTIFS($V$156:$V$255,"&gt;"&amp;V232)+COUNTIFS($V$156:V232,V232),"")</x:f>
      </x:c>
      <x:c r="X232" s="90"/>
      <x:c r="Y232" s="90"/>
      <x:c r="Z232" s="90"/>
      <x:c r="AA232" s="90"/>
      <x:c r="AB232" s="90"/>
      <x:c r="AC232" s="90"/>
      <x:c r="AD232" s="90"/>
      <x:c r="AE232" s="90"/>
      <x:c r="AF232" s="90"/>
    </x:row>
    <x:row r="233" ht="28" hidden="1" customHeight="1">
      <x:c r="A233" s="90"/>
      <x:c r="B233" s="90"/>
      <x:c r="C233" s="90"/>
      <x:c r="D233" s="90"/>
      <x:c r="E233" s="90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  <x:c r="R233" s="90"/>
      <x:c r="S233" s="90"/>
      <x:c r="T233" s="90"/>
      <x:c r="U233" s="90" t="str">
        <x:f>IF(Counters!A83="","",Counters!A83)</x:f>
      </x:c>
      <x:c r="V233" s="90" t="str">
        <x:f>IF(U233="","",SUMIFS(Collections!$G$6:$G$505,Collections!$E$6:$E$505,U233))</x:f>
      </x:c>
      <x:c r="W233" s="90" t="str">
        <x:f>IF(AND(ISNUMBER(V233),V233&gt;0),COUNTIFS($V$156:$V$255,"&gt;"&amp;V233)+COUNTIFS($V$156:V233,V233),"")</x:f>
      </x:c>
      <x:c r="X233" s="90"/>
      <x:c r="Y233" s="90"/>
      <x:c r="Z233" s="90"/>
      <x:c r="AA233" s="90"/>
      <x:c r="AB233" s="90"/>
      <x:c r="AC233" s="90"/>
      <x:c r="AD233" s="90"/>
      <x:c r="AE233" s="90"/>
      <x:c r="AF233" s="90"/>
    </x:row>
    <x:row r="234" ht="28" hidden="1" customHeight="1">
      <x:c r="A234" s="90"/>
      <x:c r="B234" s="90"/>
      <x:c r="C234" s="90"/>
      <x:c r="D234" s="90"/>
      <x:c r="E234" s="90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  <x:c r="R234" s="90"/>
      <x:c r="S234" s="90"/>
      <x:c r="T234" s="90"/>
      <x:c r="U234" s="90" t="str">
        <x:f>IF(Counters!A84="","",Counters!A84)</x:f>
      </x:c>
      <x:c r="V234" s="90" t="str">
        <x:f>IF(U234="","",SUMIFS(Collections!$G$6:$G$505,Collections!$E$6:$E$505,U234))</x:f>
      </x:c>
      <x:c r="W234" s="90" t="str">
        <x:f>IF(AND(ISNUMBER(V234),V234&gt;0),COUNTIFS($V$156:$V$255,"&gt;"&amp;V234)+COUNTIFS($V$156:V234,V234),"")</x:f>
      </x:c>
      <x:c r="X234" s="90"/>
      <x:c r="Y234" s="90"/>
      <x:c r="Z234" s="90"/>
      <x:c r="AA234" s="90"/>
      <x:c r="AB234" s="90"/>
      <x:c r="AC234" s="90"/>
      <x:c r="AD234" s="90"/>
      <x:c r="AE234" s="90"/>
      <x:c r="AF234" s="90"/>
    </x:row>
    <x:row r="235" ht="28" hidden="1" customHeight="1">
      <x:c r="A235" s="90"/>
      <x:c r="B235" s="90"/>
      <x:c r="C235" s="90"/>
      <x:c r="D235" s="90"/>
      <x:c r="E235" s="90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  <x:c r="R235" s="90"/>
      <x:c r="S235" s="90"/>
      <x:c r="T235" s="90"/>
      <x:c r="U235" s="90" t="str">
        <x:f>IF(Counters!A85="","",Counters!A85)</x:f>
      </x:c>
      <x:c r="V235" s="90" t="str">
        <x:f>IF(U235="","",SUMIFS(Collections!$G$6:$G$505,Collections!$E$6:$E$505,U235))</x:f>
      </x:c>
      <x:c r="W235" s="90" t="str">
        <x:f>IF(AND(ISNUMBER(V235),V235&gt;0),COUNTIFS($V$156:$V$255,"&gt;"&amp;V235)+COUNTIFS($V$156:V235,V235),"")</x:f>
      </x:c>
      <x:c r="X235" s="90"/>
      <x:c r="Y235" s="90"/>
      <x:c r="Z235" s="90"/>
      <x:c r="AA235" s="90"/>
      <x:c r="AB235" s="90"/>
      <x:c r="AC235" s="90"/>
      <x:c r="AD235" s="90"/>
      <x:c r="AE235" s="90"/>
      <x:c r="AF235" s="90"/>
    </x:row>
    <x:row r="236" ht="28" hidden="1" customHeight="1">
      <x:c r="A236" s="90"/>
      <x:c r="B236" s="90"/>
      <x:c r="C236" s="90"/>
      <x:c r="D236" s="90"/>
      <x:c r="E236" s="90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  <x:c r="R236" s="90"/>
      <x:c r="S236" s="90"/>
      <x:c r="T236" s="90"/>
      <x:c r="U236" s="90" t="str">
        <x:f>IF(Counters!A86="","",Counters!A86)</x:f>
      </x:c>
      <x:c r="V236" s="90" t="str">
        <x:f>IF(U236="","",SUMIFS(Collections!$G$6:$G$505,Collections!$E$6:$E$505,U236))</x:f>
      </x:c>
      <x:c r="W236" s="90" t="str">
        <x:f>IF(AND(ISNUMBER(V236),V236&gt;0),COUNTIFS($V$156:$V$255,"&gt;"&amp;V236)+COUNTIFS($V$156:V236,V236),"")</x:f>
      </x:c>
      <x:c r="X236" s="90"/>
      <x:c r="Y236" s="90"/>
      <x:c r="Z236" s="90"/>
      <x:c r="AA236" s="90"/>
      <x:c r="AB236" s="90"/>
      <x:c r="AC236" s="90"/>
      <x:c r="AD236" s="90"/>
      <x:c r="AE236" s="90"/>
      <x:c r="AF236" s="90"/>
    </x:row>
    <x:row r="237" ht="28" hidden="1" customHeight="1">
      <x:c r="A237" s="90"/>
      <x:c r="B237" s="90"/>
      <x:c r="C237" s="90"/>
      <x:c r="D237" s="90"/>
      <x:c r="E237" s="90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  <x:c r="R237" s="90"/>
      <x:c r="S237" s="90"/>
      <x:c r="T237" s="90"/>
      <x:c r="U237" s="90" t="str">
        <x:f>IF(Counters!A87="","",Counters!A87)</x:f>
      </x:c>
      <x:c r="V237" s="90" t="str">
        <x:f>IF(U237="","",SUMIFS(Collections!$G$6:$G$505,Collections!$E$6:$E$505,U237))</x:f>
      </x:c>
      <x:c r="W237" s="90" t="str">
        <x:f>IF(AND(ISNUMBER(V237),V237&gt;0),COUNTIFS($V$156:$V$255,"&gt;"&amp;V237)+COUNTIFS($V$156:V237,V237),"")</x:f>
      </x:c>
      <x:c r="X237" s="90"/>
      <x:c r="Y237" s="90"/>
      <x:c r="Z237" s="90"/>
      <x:c r="AA237" s="90"/>
      <x:c r="AB237" s="90"/>
      <x:c r="AC237" s="90"/>
      <x:c r="AD237" s="90"/>
      <x:c r="AE237" s="90"/>
      <x:c r="AF237" s="90"/>
    </x:row>
    <x:row r="238" ht="28" hidden="1" customHeight="1">
      <x:c r="A238" s="90"/>
      <x:c r="B238" s="90"/>
      <x:c r="C238" s="90"/>
      <x:c r="D238" s="90"/>
      <x:c r="E238" s="90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  <x:c r="R238" s="90"/>
      <x:c r="S238" s="90"/>
      <x:c r="T238" s="90"/>
      <x:c r="U238" s="90" t="str">
        <x:f>IF(Counters!A88="","",Counters!A88)</x:f>
      </x:c>
      <x:c r="V238" s="90" t="str">
        <x:f>IF(U238="","",SUMIFS(Collections!$G$6:$G$505,Collections!$E$6:$E$505,U238))</x:f>
      </x:c>
      <x:c r="W238" s="90" t="str">
        <x:f>IF(AND(ISNUMBER(V238),V238&gt;0),COUNTIFS($V$156:$V$255,"&gt;"&amp;V238)+COUNTIFS($V$156:V238,V238),"")</x:f>
      </x:c>
      <x:c r="X238" s="90"/>
      <x:c r="Y238" s="90"/>
      <x:c r="Z238" s="90"/>
      <x:c r="AA238" s="90"/>
      <x:c r="AB238" s="90"/>
      <x:c r="AC238" s="90"/>
      <x:c r="AD238" s="90"/>
      <x:c r="AE238" s="90"/>
      <x:c r="AF238" s="90"/>
    </x:row>
    <x:row r="239" ht="28" hidden="1" customHeight="1">
      <x:c r="A239" s="90"/>
      <x:c r="B239" s="90"/>
      <x:c r="C239" s="90"/>
      <x:c r="D239" s="90"/>
      <x:c r="E239" s="90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  <x:c r="R239" s="90"/>
      <x:c r="S239" s="90"/>
      <x:c r="T239" s="90"/>
      <x:c r="U239" s="90" t="str">
        <x:f>IF(Counters!A89="","",Counters!A89)</x:f>
      </x:c>
      <x:c r="V239" s="90" t="str">
        <x:f>IF(U239="","",SUMIFS(Collections!$G$6:$G$505,Collections!$E$6:$E$505,U239))</x:f>
      </x:c>
      <x:c r="W239" s="90" t="str">
        <x:f>IF(AND(ISNUMBER(V239),V239&gt;0),COUNTIFS($V$156:$V$255,"&gt;"&amp;V239)+COUNTIFS($V$156:V239,V239),"")</x:f>
      </x:c>
      <x:c r="X239" s="90"/>
      <x:c r="Y239" s="90"/>
      <x:c r="Z239" s="90"/>
      <x:c r="AA239" s="90"/>
      <x:c r="AB239" s="90"/>
      <x:c r="AC239" s="90"/>
      <x:c r="AD239" s="90"/>
      <x:c r="AE239" s="90"/>
      <x:c r="AF239" s="90"/>
    </x:row>
    <x:row r="240" ht="28" hidden="1" customHeight="1">
      <x:c r="A240" s="90"/>
      <x:c r="B240" s="90"/>
      <x:c r="C240" s="90"/>
      <x:c r="D240" s="90"/>
      <x:c r="E240" s="90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  <x:c r="R240" s="90"/>
      <x:c r="S240" s="90"/>
      <x:c r="T240" s="90"/>
      <x:c r="U240" s="90" t="str">
        <x:f>IF(Counters!A90="","",Counters!A90)</x:f>
      </x:c>
      <x:c r="V240" s="90" t="str">
        <x:f>IF(U240="","",SUMIFS(Collections!$G$6:$G$505,Collections!$E$6:$E$505,U240))</x:f>
      </x:c>
      <x:c r="W240" s="90" t="str">
        <x:f>IF(AND(ISNUMBER(V240),V240&gt;0),COUNTIFS($V$156:$V$255,"&gt;"&amp;V240)+COUNTIFS($V$156:V240,V240),"")</x:f>
      </x:c>
      <x:c r="X240" s="90"/>
      <x:c r="Y240" s="90"/>
      <x:c r="Z240" s="90"/>
      <x:c r="AA240" s="90"/>
      <x:c r="AB240" s="90"/>
      <x:c r="AC240" s="90"/>
      <x:c r="AD240" s="90"/>
      <x:c r="AE240" s="90"/>
      <x:c r="AF240" s="90"/>
    </x:row>
    <x:row r="241" ht="28" hidden="1" customHeight="1">
      <x:c r="A241" s="90"/>
      <x:c r="B241" s="90"/>
      <x:c r="C241" s="90"/>
      <x:c r="D241" s="90"/>
      <x:c r="E241" s="90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  <x:c r="R241" s="90"/>
      <x:c r="S241" s="90"/>
      <x:c r="T241" s="90"/>
      <x:c r="U241" s="90" t="str">
        <x:f>IF(Counters!A91="","",Counters!A91)</x:f>
      </x:c>
      <x:c r="V241" s="90" t="str">
        <x:f>IF(U241="","",SUMIFS(Collections!$G$6:$G$505,Collections!$E$6:$E$505,U241))</x:f>
      </x:c>
      <x:c r="W241" s="90" t="str">
        <x:f>IF(AND(ISNUMBER(V241),V241&gt;0),COUNTIFS($V$156:$V$255,"&gt;"&amp;V241)+COUNTIFS($V$156:V241,V241),"")</x:f>
      </x:c>
      <x:c r="X241" s="90"/>
      <x:c r="Y241" s="90"/>
      <x:c r="Z241" s="90"/>
      <x:c r="AA241" s="90"/>
      <x:c r="AB241" s="90"/>
      <x:c r="AC241" s="90"/>
      <x:c r="AD241" s="90"/>
      <x:c r="AE241" s="90"/>
      <x:c r="AF241" s="90"/>
    </x:row>
    <x:row r="242" ht="28" hidden="1" customHeight="1">
      <x:c r="A242" s="90"/>
      <x:c r="B242" s="90"/>
      <x:c r="C242" s="90"/>
      <x:c r="D242" s="90"/>
      <x:c r="E242" s="90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  <x:c r="R242" s="90"/>
      <x:c r="S242" s="90"/>
      <x:c r="T242" s="90"/>
      <x:c r="U242" s="90" t="str">
        <x:f>IF(Counters!A92="","",Counters!A92)</x:f>
      </x:c>
      <x:c r="V242" s="90" t="str">
        <x:f>IF(U242="","",SUMIFS(Collections!$G$6:$G$505,Collections!$E$6:$E$505,U242))</x:f>
      </x:c>
      <x:c r="W242" s="90" t="str">
        <x:f>IF(AND(ISNUMBER(V242),V242&gt;0),COUNTIFS($V$156:$V$255,"&gt;"&amp;V242)+COUNTIFS($V$156:V242,V242),"")</x:f>
      </x:c>
      <x:c r="X242" s="90"/>
      <x:c r="Y242" s="90"/>
      <x:c r="Z242" s="90"/>
      <x:c r="AA242" s="90"/>
      <x:c r="AB242" s="90"/>
      <x:c r="AC242" s="90"/>
      <x:c r="AD242" s="90"/>
      <x:c r="AE242" s="90"/>
      <x:c r="AF242" s="90"/>
    </x:row>
    <x:row r="243" ht="28" hidden="1" customHeight="1">
      <x:c r="A243" s="90"/>
      <x:c r="B243" s="90"/>
      <x:c r="C243" s="90"/>
      <x:c r="D243" s="90"/>
      <x:c r="E243" s="90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  <x:c r="R243" s="90"/>
      <x:c r="S243" s="90"/>
      <x:c r="T243" s="90"/>
      <x:c r="U243" s="90" t="str">
        <x:f>IF(Counters!A93="","",Counters!A93)</x:f>
      </x:c>
      <x:c r="V243" s="90" t="str">
        <x:f>IF(U243="","",SUMIFS(Collections!$G$6:$G$505,Collections!$E$6:$E$505,U243))</x:f>
      </x:c>
      <x:c r="W243" s="90" t="str">
        <x:f>IF(AND(ISNUMBER(V243),V243&gt;0),COUNTIFS($V$156:$V$255,"&gt;"&amp;V243)+COUNTIFS($V$156:V243,V243),"")</x:f>
      </x:c>
      <x:c r="X243" s="90"/>
      <x:c r="Y243" s="90"/>
      <x:c r="Z243" s="90"/>
      <x:c r="AA243" s="90"/>
      <x:c r="AB243" s="90"/>
      <x:c r="AC243" s="90"/>
      <x:c r="AD243" s="90"/>
      <x:c r="AE243" s="90"/>
      <x:c r="AF243" s="90"/>
    </x:row>
    <x:row r="244" ht="28" hidden="1" customHeight="1">
      <x:c r="A244" s="90"/>
      <x:c r="B244" s="90"/>
      <x:c r="C244" s="90"/>
      <x:c r="D244" s="90"/>
      <x:c r="E244" s="90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  <x:c r="R244" s="90"/>
      <x:c r="S244" s="90"/>
      <x:c r="T244" s="90"/>
      <x:c r="U244" s="90" t="str">
        <x:f>IF(Counters!A94="","",Counters!A94)</x:f>
      </x:c>
      <x:c r="V244" s="90" t="str">
        <x:f>IF(U244="","",SUMIFS(Collections!$G$6:$G$505,Collections!$E$6:$E$505,U244))</x:f>
      </x:c>
      <x:c r="W244" s="90" t="str">
        <x:f>IF(AND(ISNUMBER(V244),V244&gt;0),COUNTIFS($V$156:$V$255,"&gt;"&amp;V244)+COUNTIFS($V$156:V244,V244),"")</x:f>
      </x:c>
      <x:c r="X244" s="90"/>
      <x:c r="Y244" s="90"/>
      <x:c r="Z244" s="90"/>
      <x:c r="AA244" s="90"/>
      <x:c r="AB244" s="90"/>
      <x:c r="AC244" s="90"/>
      <x:c r="AD244" s="90"/>
      <x:c r="AE244" s="90"/>
      <x:c r="AF244" s="90"/>
    </x:row>
    <x:row r="245" ht="28" hidden="1" customHeight="1">
      <x:c r="A245" s="90"/>
      <x:c r="B245" s="90"/>
      <x:c r="C245" s="90"/>
      <x:c r="D245" s="90"/>
      <x:c r="E245" s="90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  <x:c r="R245" s="90"/>
      <x:c r="S245" s="90"/>
      <x:c r="T245" s="90"/>
      <x:c r="U245" s="90" t="str">
        <x:f>IF(Counters!A95="","",Counters!A95)</x:f>
      </x:c>
      <x:c r="V245" s="90" t="str">
        <x:f>IF(U245="","",SUMIFS(Collections!$G$6:$G$505,Collections!$E$6:$E$505,U245))</x:f>
      </x:c>
      <x:c r="W245" s="90" t="str">
        <x:f>IF(AND(ISNUMBER(V245),V245&gt;0),COUNTIFS($V$156:$V$255,"&gt;"&amp;V245)+COUNTIFS($V$156:V245,V245),"")</x:f>
      </x:c>
      <x:c r="X245" s="90"/>
      <x:c r="Y245" s="90"/>
      <x:c r="Z245" s="90"/>
      <x:c r="AA245" s="90"/>
      <x:c r="AB245" s="90"/>
      <x:c r="AC245" s="90"/>
      <x:c r="AD245" s="90"/>
      <x:c r="AE245" s="90"/>
      <x:c r="AF245" s="90"/>
    </x:row>
    <x:row r="246" ht="28" hidden="1" customHeight="1">
      <x:c r="A246" s="90"/>
      <x:c r="B246" s="90"/>
      <x:c r="C246" s="90"/>
      <x:c r="D246" s="90"/>
      <x:c r="E246" s="90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  <x:c r="R246" s="90"/>
      <x:c r="S246" s="90"/>
      <x:c r="T246" s="90"/>
      <x:c r="U246" s="90" t="str">
        <x:f>IF(Counters!A96="","",Counters!A96)</x:f>
      </x:c>
      <x:c r="V246" s="90" t="str">
        <x:f>IF(U246="","",SUMIFS(Collections!$G$6:$G$505,Collections!$E$6:$E$505,U246))</x:f>
      </x:c>
      <x:c r="W246" s="90" t="str">
        <x:f>IF(AND(ISNUMBER(V246),V246&gt;0),COUNTIFS($V$156:$V$255,"&gt;"&amp;V246)+COUNTIFS($V$156:V246,V246),"")</x:f>
      </x:c>
      <x:c r="X246" s="90"/>
      <x:c r="Y246" s="90"/>
      <x:c r="Z246" s="90"/>
      <x:c r="AA246" s="90"/>
      <x:c r="AB246" s="90"/>
      <x:c r="AC246" s="90"/>
      <x:c r="AD246" s="90"/>
      <x:c r="AE246" s="90"/>
      <x:c r="AF246" s="90"/>
    </x:row>
    <x:row r="247" ht="28" hidden="1" customHeight="1">
      <x:c r="A247" s="90"/>
      <x:c r="B247" s="90"/>
      <x:c r="C247" s="90"/>
      <x:c r="D247" s="90"/>
      <x:c r="E247" s="90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  <x:c r="R247" s="90"/>
      <x:c r="S247" s="90"/>
      <x:c r="T247" s="90"/>
      <x:c r="U247" s="90" t="str">
        <x:f>IF(Counters!A97="","",Counters!A97)</x:f>
      </x:c>
      <x:c r="V247" s="90" t="str">
        <x:f>IF(U247="","",SUMIFS(Collections!$G$6:$G$505,Collections!$E$6:$E$505,U247))</x:f>
      </x:c>
      <x:c r="W247" s="90" t="str">
        <x:f>IF(AND(ISNUMBER(V247),V247&gt;0),COUNTIFS($V$156:$V$255,"&gt;"&amp;V247)+COUNTIFS($V$156:V247,V247),"")</x:f>
      </x:c>
      <x:c r="X247" s="90"/>
      <x:c r="Y247" s="90"/>
      <x:c r="Z247" s="90"/>
      <x:c r="AA247" s="90"/>
      <x:c r="AB247" s="90"/>
      <x:c r="AC247" s="90"/>
      <x:c r="AD247" s="90"/>
      <x:c r="AE247" s="90"/>
      <x:c r="AF247" s="90"/>
    </x:row>
    <x:row r="248" ht="28" hidden="1" customHeight="1">
      <x:c r="A248" s="90"/>
      <x:c r="B248" s="90"/>
      <x:c r="C248" s="90"/>
      <x:c r="D248" s="90"/>
      <x:c r="E248" s="90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  <x:c r="R248" s="90"/>
      <x:c r="S248" s="90"/>
      <x:c r="T248" s="90"/>
      <x:c r="U248" s="90" t="str">
        <x:f>IF(Counters!A98="","",Counters!A98)</x:f>
      </x:c>
      <x:c r="V248" s="90" t="str">
        <x:f>IF(U248="","",SUMIFS(Collections!$G$6:$G$505,Collections!$E$6:$E$505,U248))</x:f>
      </x:c>
      <x:c r="W248" s="90" t="str">
        <x:f>IF(AND(ISNUMBER(V248),V248&gt;0),COUNTIFS($V$156:$V$255,"&gt;"&amp;V248)+COUNTIFS($V$156:V248,V248),"")</x:f>
      </x:c>
      <x:c r="X248" s="90"/>
      <x:c r="Y248" s="90"/>
      <x:c r="Z248" s="90"/>
      <x:c r="AA248" s="90"/>
      <x:c r="AB248" s="90"/>
      <x:c r="AC248" s="90"/>
      <x:c r="AD248" s="90"/>
      <x:c r="AE248" s="90"/>
      <x:c r="AF248" s="90"/>
    </x:row>
    <x:row r="249" ht="28" hidden="1" customHeight="1">
      <x:c r="A249" s="90"/>
      <x:c r="B249" s="90"/>
      <x:c r="C249" s="90"/>
      <x:c r="D249" s="90"/>
      <x:c r="E249" s="90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  <x:c r="R249" s="90"/>
      <x:c r="S249" s="90"/>
      <x:c r="T249" s="90"/>
      <x:c r="U249" s="90" t="str">
        <x:f>IF(Counters!A99="","",Counters!A99)</x:f>
      </x:c>
      <x:c r="V249" s="90" t="str">
        <x:f>IF(U249="","",SUMIFS(Collections!$G$6:$G$505,Collections!$E$6:$E$505,U249))</x:f>
      </x:c>
      <x:c r="W249" s="90" t="str">
        <x:f>IF(AND(ISNUMBER(V249),V249&gt;0),COUNTIFS($V$156:$V$255,"&gt;"&amp;V249)+COUNTIFS($V$156:V249,V249),"")</x:f>
      </x:c>
      <x:c r="X249" s="90"/>
      <x:c r="Y249" s="90"/>
      <x:c r="Z249" s="90"/>
      <x:c r="AA249" s="90"/>
      <x:c r="AB249" s="90"/>
      <x:c r="AC249" s="90"/>
      <x:c r="AD249" s="90"/>
      <x:c r="AE249" s="90"/>
      <x:c r="AF249" s="90"/>
    </x:row>
    <x:row r="250" ht="28" hidden="1" customHeight="1">
      <x:c r="A250" s="90"/>
      <x:c r="B250" s="90"/>
      <x:c r="C250" s="90"/>
      <x:c r="D250" s="90"/>
      <x:c r="E250" s="90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  <x:c r="R250" s="90"/>
      <x:c r="S250" s="90"/>
      <x:c r="T250" s="90"/>
      <x:c r="U250" s="90" t="str">
        <x:f>IF(Counters!A100="","",Counters!A100)</x:f>
      </x:c>
      <x:c r="V250" s="90" t="str">
        <x:f>IF(U250="","",SUMIFS(Collections!$G$6:$G$505,Collections!$E$6:$E$505,U250))</x:f>
      </x:c>
      <x:c r="W250" s="90" t="str">
        <x:f>IF(AND(ISNUMBER(V250),V250&gt;0),COUNTIFS($V$156:$V$255,"&gt;"&amp;V250)+COUNTIFS($V$156:V250,V250),"")</x:f>
      </x:c>
      <x:c r="X250" s="90"/>
      <x:c r="Y250" s="90"/>
      <x:c r="Z250" s="90"/>
      <x:c r="AA250" s="90"/>
      <x:c r="AB250" s="90"/>
      <x:c r="AC250" s="90"/>
      <x:c r="AD250" s="90"/>
      <x:c r="AE250" s="90"/>
      <x:c r="AF250" s="90"/>
    </x:row>
    <x:row r="251" ht="28" hidden="1" customHeight="1">
      <x:c r="A251" s="90"/>
      <x:c r="B251" s="90"/>
      <x:c r="C251" s="90"/>
      <x:c r="D251" s="90"/>
      <x:c r="E251" s="90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  <x:c r="R251" s="90"/>
      <x:c r="S251" s="90"/>
      <x:c r="T251" s="90"/>
      <x:c r="U251" s="90" t="str">
        <x:f>IF(Counters!A101="","",Counters!A101)</x:f>
      </x:c>
      <x:c r="V251" s="90" t="str">
        <x:f>IF(U251="","",SUMIFS(Collections!$G$6:$G$505,Collections!$E$6:$E$505,U251))</x:f>
      </x:c>
      <x:c r="W251" s="90" t="str">
        <x:f>IF(AND(ISNUMBER(V251),V251&gt;0),COUNTIFS($V$156:$V$255,"&gt;"&amp;V251)+COUNTIFS($V$156:V251,V251),"")</x:f>
      </x:c>
      <x:c r="X251" s="90"/>
      <x:c r="Y251" s="90"/>
      <x:c r="Z251" s="90"/>
      <x:c r="AA251" s="90"/>
      <x:c r="AB251" s="90"/>
      <x:c r="AC251" s="90"/>
      <x:c r="AD251" s="90"/>
      <x:c r="AE251" s="90"/>
      <x:c r="AF251" s="90"/>
    </x:row>
    <x:row r="252" ht="28" hidden="1" customHeight="1">
      <x:c r="A252" s="90"/>
      <x:c r="B252" s="90"/>
      <x:c r="C252" s="90"/>
      <x:c r="D252" s="90"/>
      <x:c r="E252" s="90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  <x:c r="R252" s="90"/>
      <x:c r="S252" s="90"/>
      <x:c r="T252" s="90"/>
      <x:c r="U252" s="90" t="str">
        <x:f>IF(Counters!A102="","",Counters!A102)</x:f>
      </x:c>
      <x:c r="V252" s="90" t="str">
        <x:f>IF(U252="","",SUMIFS(Collections!$G$6:$G$505,Collections!$E$6:$E$505,U252))</x:f>
      </x:c>
      <x:c r="W252" s="90" t="str">
        <x:f>IF(AND(ISNUMBER(V252),V252&gt;0),COUNTIFS($V$156:$V$255,"&gt;"&amp;V252)+COUNTIFS($V$156:V252,V252),"")</x:f>
      </x:c>
      <x:c r="X252" s="90"/>
      <x:c r="Y252" s="90"/>
      <x:c r="Z252" s="90"/>
      <x:c r="AA252" s="90"/>
      <x:c r="AB252" s="90"/>
      <x:c r="AC252" s="90"/>
      <x:c r="AD252" s="90"/>
      <x:c r="AE252" s="90"/>
      <x:c r="AF252" s="90"/>
    </x:row>
    <x:row r="253" ht="28" hidden="1" customHeight="1">
      <x:c r="A253" s="90"/>
      <x:c r="B253" s="90"/>
      <x:c r="C253" s="90"/>
      <x:c r="D253" s="90"/>
      <x:c r="E253" s="90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  <x:c r="R253" s="90"/>
      <x:c r="S253" s="90"/>
      <x:c r="T253" s="90"/>
      <x:c r="U253" s="90" t="str">
        <x:f>IF(Counters!A103="","",Counters!A103)</x:f>
      </x:c>
      <x:c r="V253" s="90" t="str">
        <x:f>IF(U253="","",SUMIFS(Collections!$G$6:$G$505,Collections!$E$6:$E$505,U253))</x:f>
      </x:c>
      <x:c r="W253" s="90" t="str">
        <x:f>IF(AND(ISNUMBER(V253),V253&gt;0),COUNTIFS($V$156:$V$255,"&gt;"&amp;V253)+COUNTIFS($V$156:V253,V253),"")</x:f>
      </x:c>
      <x:c r="X253" s="90"/>
      <x:c r="Y253" s="90"/>
      <x:c r="Z253" s="90"/>
      <x:c r="AA253" s="90"/>
      <x:c r="AB253" s="90"/>
      <x:c r="AC253" s="90"/>
      <x:c r="AD253" s="90"/>
      <x:c r="AE253" s="90"/>
      <x:c r="AF253" s="90"/>
    </x:row>
    <x:row r="254" ht="28" hidden="1" customHeight="1">
      <x:c r="A254" s="90"/>
      <x:c r="B254" s="90"/>
      <x:c r="C254" s="90"/>
      <x:c r="D254" s="90"/>
      <x:c r="E254" s="90"/>
      <x:c r="F254" s="90"/>
      <x:c r="G254" s="90"/>
      <x:c r="H254" s="90"/>
      <x:c r="I254" s="90"/>
      <x:c r="J254" s="90"/>
      <x:c r="K254" s="90"/>
      <x:c r="L254" s="90"/>
      <x:c r="M254" s="90"/>
      <x:c r="N254" s="90"/>
      <x:c r="O254" s="90"/>
      <x:c r="P254" s="90"/>
      <x:c r="Q254" s="90"/>
      <x:c r="R254" s="90"/>
      <x:c r="S254" s="90"/>
      <x:c r="T254" s="90"/>
      <x:c r="U254" s="90" t="str">
        <x:f>IF(Counters!A104="","",Counters!A104)</x:f>
      </x:c>
      <x:c r="V254" s="90" t="str">
        <x:f>IF(U254="","",SUMIFS(Collections!$G$6:$G$505,Collections!$E$6:$E$505,U254))</x:f>
      </x:c>
      <x:c r="W254" s="90" t="str">
        <x:f>IF(AND(ISNUMBER(V254),V254&gt;0),COUNTIFS($V$156:$V$255,"&gt;"&amp;V254)+COUNTIFS($V$156:V254,V254),"")</x:f>
      </x:c>
      <x:c r="X254" s="90"/>
      <x:c r="Y254" s="90"/>
      <x:c r="Z254" s="90"/>
      <x:c r="AA254" s="90"/>
      <x:c r="AB254" s="90"/>
      <x:c r="AC254" s="90"/>
      <x:c r="AD254" s="90"/>
      <x:c r="AE254" s="90"/>
      <x:c r="AF254" s="90"/>
    </x:row>
    <x:row r="255" ht="28" hidden="1" customHeight="1">
      <x:c r="A255" s="90"/>
      <x:c r="B255" s="90"/>
      <x:c r="C255" s="90"/>
      <x:c r="D255" s="90"/>
      <x:c r="E255" s="90"/>
      <x:c r="F255" s="90"/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  <x:c r="R255" s="90"/>
      <x:c r="S255" s="90"/>
      <x:c r="T255" s="90"/>
      <x:c r="U255" s="90" t="str">
        <x:f>IF(Counters!A105="","",Counters!A105)</x:f>
      </x:c>
      <x:c r="V255" s="90" t="str">
        <x:f>IF(U255="","",SUMIFS(Collections!$G$6:$G$505,Collections!$E$6:$E$505,U255))</x:f>
      </x:c>
      <x:c r="W255" s="90" t="str">
        <x:f>IF(AND(ISNUMBER(V255),V255&gt;0),COUNTIFS($V$156:$V$255,"&gt;"&amp;V255)+COUNTIFS($V$156:V255,V255),"")</x:f>
      </x:c>
      <x:c r="X255" s="90"/>
      <x:c r="Y255" s="90"/>
      <x:c r="Z255" s="90"/>
      <x:c r="AA255" s="90"/>
      <x:c r="AB255" s="90"/>
      <x:c r="AC255" s="90"/>
      <x:c r="AD255" s="90"/>
      <x:c r="AE255" s="90"/>
      <x:c r="AF255" s="90"/>
    </x:row>
    <x:row r="256" ht="28" hidden="1" customHeight="1">
      <x:c r="A256" s="90"/>
      <x:c r="B256" s="90"/>
      <x:c r="C256" s="90"/>
      <x:c r="D256" s="90"/>
      <x:c r="E256" s="90"/>
      <x:c r="F256" s="90"/>
      <x:c r="G256" s="90"/>
      <x:c r="H256" s="90"/>
      <x:c r="I256" s="90"/>
      <x:c r="J256" s="90"/>
      <x:c r="K256" s="90"/>
      <x:c r="L256" s="90"/>
      <x:c r="M256" s="90"/>
      <x:c r="N256" s="90"/>
      <x:c r="O256" s="90"/>
      <x:c r="P256" s="90"/>
      <x:c r="Q256" s="90"/>
      <x:c r="R256" s="90"/>
      <x:c r="S256" s="90"/>
      <x:c r="T256" s="90"/>
      <x:c r="U256" s="90"/>
      <x:c r="V256" s="90"/>
      <x:c r="W256" s="90"/>
      <x:c r="X256" s="90"/>
      <x:c r="Y256" s="90"/>
      <x:c r="Z256" s="90"/>
      <x:c r="AA256" s="90"/>
      <x:c r="AB256" s="90"/>
      <x:c r="AC256" s="90"/>
      <x:c r="AD256" s="90"/>
      <x:c r="AE256" s="90"/>
      <x:c r="AF256" s="90"/>
    </x:row>
    <x:row r="257" ht="28" hidden="1" customHeight="1">
      <x:c r="A257" s="90"/>
      <x:c r="B257" s="90"/>
      <x:c r="C257" s="90"/>
      <x:c r="D257" s="90"/>
      <x:c r="E257" s="90"/>
      <x:c r="F257" s="90"/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  <x:c r="R257" s="90"/>
      <x:c r="S257" s="90"/>
      <x:c r="T257" s="90"/>
      <x:c r="U257" s="90"/>
      <x:c r="V257" s="90"/>
      <x:c r="W257" s="90"/>
      <x:c r="X257" s="90"/>
      <x:c r="Y257" s="90"/>
      <x:c r="Z257" s="90"/>
      <x:c r="AA257" s="90"/>
      <x:c r="AB257" s="90"/>
      <x:c r="AC257" s="90"/>
      <x:c r="AD257" s="90"/>
      <x:c r="AE257" s="90"/>
      <x:c r="AF257" s="90"/>
    </x:row>
    <x:row r="258" ht="28" hidden="1" customHeight="1">
      <x:c r="A258" s="90"/>
      <x:c r="B258" s="90"/>
      <x:c r="C258" s="90"/>
      <x:c r="D258" s="90"/>
      <x:c r="E258" s="90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  <x:c r="R258" s="90"/>
      <x:c r="S258" s="90"/>
      <x:c r="T258" s="90"/>
      <x:c r="U258" s="90"/>
      <x:c r="V258" s="90"/>
      <x:c r="W258" s="90"/>
      <x:c r="X258" s="90"/>
      <x:c r="Y258" s="90"/>
      <x:c r="Z258" s="90"/>
      <x:c r="AA258" s="90"/>
      <x:c r="AB258" s="90"/>
      <x:c r="AC258" s="90"/>
      <x:c r="AD258" s="90"/>
      <x:c r="AE258" s="90"/>
      <x:c r="AF258" s="90"/>
    </x:row>
    <x:row r="259" ht="28" hidden="1" customHeight="1">
      <x:c r="A259" s="90"/>
      <x:c r="B259" s="90"/>
      <x:c r="C259" s="90"/>
      <x:c r="D259" s="90"/>
      <x:c r="E259" s="90"/>
      <x:c r="F259" s="90"/>
      <x:c r="G259" s="90"/>
      <x:c r="H259" s="90"/>
      <x:c r="I259" s="90"/>
      <x:c r="J259" s="90"/>
      <x:c r="K259" s="90"/>
      <x:c r="L259" s="90"/>
      <x:c r="M259" s="90"/>
      <x:c r="N259" s="90"/>
      <x:c r="O259" s="90"/>
      <x:c r="P259" s="90"/>
      <x:c r="Q259" s="90"/>
      <x:c r="R259" s="90"/>
      <x:c r="S259" s="90"/>
      <x:c r="T259" s="90"/>
      <x:c r="U259" s="90"/>
      <x:c r="V259" s="90"/>
      <x:c r="W259" s="90"/>
      <x:c r="X259" s="90"/>
      <x:c r="Y259" s="90"/>
      <x:c r="Z259" s="90"/>
      <x:c r="AA259" s="90"/>
      <x:c r="AB259" s="90"/>
      <x:c r="AC259" s="90"/>
      <x:c r="AD259" s="90"/>
      <x:c r="AE259" s="90"/>
      <x:c r="AF259" s="90"/>
    </x:row>
    <x:row r="260" ht="28" hidden="1" customHeight="1">
      <x:c r="A260" s="90"/>
      <x:c r="B260" s="90"/>
      <x:c r="C260" s="90"/>
      <x:c r="D260" s="90"/>
      <x:c r="E260" s="90"/>
      <x:c r="F260" s="90"/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  <x:c r="R260" s="90"/>
      <x:c r="S260" s="90"/>
      <x:c r="T260" s="90"/>
      <x:c r="U260" s="90"/>
      <x:c r="V260" s="90"/>
      <x:c r="W260" s="90"/>
      <x:c r="X260" s="90"/>
      <x:c r="Y260" s="90"/>
      <x:c r="Z260" s="90"/>
      <x:c r="AA260" s="90"/>
      <x:c r="AB260" s="90"/>
      <x:c r="AC260" s="90"/>
      <x:c r="AD260" s="90"/>
      <x:c r="AE260" s="90"/>
      <x:c r="AF260" s="90"/>
    </x:row>
  </x:sheetData>
  <x:mergeCells>
    <x:mergeCell ref="A1:I2"/>
    <x:mergeCell ref="K1:R2"/>
    <x:mergeCell ref="A3:R3"/>
    <x:mergeCell ref="A5:E6"/>
    <x:mergeCell ref="F5:H6"/>
    <x:mergeCell ref="K5:O6"/>
    <x:mergeCell ref="P5:R6"/>
    <x:mergeCell ref="A8:E9"/>
    <x:mergeCell ref="F8:H9"/>
    <x:mergeCell ref="K8:O9"/>
    <x:mergeCell ref="P8:R9"/>
    <x:mergeCell ref="A11:E12"/>
    <x:mergeCell ref="F11:H12"/>
    <x:mergeCell ref="K11:O12"/>
    <x:mergeCell ref="P11:R12"/>
    <x:mergeCell ref="A14:E15"/>
    <x:mergeCell ref="F14:H15"/>
    <x:mergeCell ref="A35:E35"/>
    <x:mergeCell ref="F35:G35"/>
    <x:mergeCell ref="H35:J35"/>
    <x:mergeCell ref="K35:M35"/>
    <x:mergeCell ref="N35:P35"/>
    <x:mergeCell ref="Q35:R35"/>
    <x:mergeCell ref="A36:E36"/>
    <x:mergeCell ref="F36:G36"/>
    <x:mergeCell ref="H36:J36"/>
    <x:mergeCell ref="K36:M36"/>
    <x:mergeCell ref="N36:P36"/>
    <x:mergeCell ref="Q36:R36"/>
    <x:mergeCell ref="A37:E37"/>
    <x:mergeCell ref="F37:G37"/>
    <x:mergeCell ref="H37:J37"/>
    <x:mergeCell ref="K37:M37"/>
    <x:mergeCell ref="N37:P37"/>
    <x:mergeCell ref="Q37:R37"/>
    <x:mergeCell ref="A38:E38"/>
    <x:mergeCell ref="F38:G38"/>
    <x:mergeCell ref="H38:J38"/>
    <x:mergeCell ref="K38:M38"/>
    <x:mergeCell ref="N38:P38"/>
    <x:mergeCell ref="Q38:R38"/>
    <x:mergeCell ref="A39:E39"/>
    <x:mergeCell ref="F39:G39"/>
    <x:mergeCell ref="H39:J39"/>
    <x:mergeCell ref="K39:M39"/>
    <x:mergeCell ref="N39:P39"/>
    <x:mergeCell ref="Q39:R39"/>
    <x:mergeCell ref="A40:E40"/>
    <x:mergeCell ref="F40:G40"/>
    <x:mergeCell ref="H40:J40"/>
    <x:mergeCell ref="K40:M40"/>
    <x:mergeCell ref="N40:P40"/>
    <x:mergeCell ref="Q40:R40"/>
    <x:mergeCell ref="A41:E41"/>
    <x:mergeCell ref="F41:G41"/>
    <x:mergeCell ref="H41:J41"/>
    <x:mergeCell ref="K41:M41"/>
    <x:mergeCell ref="N41:P41"/>
    <x:mergeCell ref="Q41:R41"/>
    <x:mergeCell ref="A44:R45"/>
    <x:mergeCell ref="A46:R47"/>
    <x:mergeCell ref="A48:R49"/>
    <x:mergeCell ref="A50:R51"/>
  </x:mergeCells>
  <x:pageMargins left="0.7" right="0.7" top="0.75" bottom="0.75" header="0.3" footer="0.3"/>
  <x:drawing xmlns:r="http://schemas.openxmlformats.org/officeDocument/2006/relationships" r:id="R64c1762fd51f4786"/>
</x:worksheet>
</file>

<file path=xl/worksheets/sheet2.xml><?xml version="1.0" encoding="utf-8"?>
<x:worksheet xmlns:x="http://schemas.openxmlformats.org/spreadsheetml/2006/main">
  <x:sheetPr>
    <x:tabColor rgb="FF40566D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30" hidden="0" customWidth="1"/>
    <x:col min="5" max="5" width="20" hidden="0" customWidth="1"/>
    <x:col min="6" max="6" width="20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28" customHeight="1">
      <x:c r="A1" s="90"/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  <x:c r="O1" s="90"/>
      <x:c r="P1" s="90"/>
      <x:c r="Q1" s="90"/>
      <x:c r="R1" s="90"/>
      <x:c r="S1" s="90"/>
      <x:c r="T1" s="90"/>
    </x:row>
    <x:row r="2" ht="28" customHeight="1">
      <x:c r="A2" s="103" t="str">
        <x:v>Trips</x:v>
      </x:c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  <x:c r="M2" s="90"/>
      <x:c r="N2" s="90"/>
      <x:c r="O2" s="90"/>
      <x:c r="P2" s="90"/>
      <x:c r="Q2" s="90"/>
      <x:c r="R2" s="90"/>
      <x:c r="S2" s="90"/>
      <x:c r="T2" s="90"/>
    </x:row>
    <x:row r="3" ht="28" customHeight="1">
      <x:c r="A3" s="90" t="str">
        <x:v>Enter records in yellow cells.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  <x:c r="M3" s="90"/>
      <x:c r="N3" s="90"/>
      <x:c r="O3" s="90"/>
      <x:c r="P3" s="90"/>
      <x:c r="Q3" s="90"/>
      <x:c r="R3" s="90"/>
      <x:c r="S3" s="90"/>
      <x:c r="T3" s="90"/>
    </x:row>
    <x:row r="4" ht="28" customHeight="1">
      <x:c r="A4" s="90"/>
      <x:c r="B4" s="90"/>
      <x:c r="C4" s="90"/>
      <x:c r="D4" s="90"/>
      <x:c r="E4" s="90"/>
      <x:c r="F4" s="90"/>
      <x:c r="G4" s="90"/>
      <x:c r="H4" s="90"/>
      <x:c r="I4" s="90"/>
      <x:c r="J4" s="90"/>
      <x:c r="K4" s="90"/>
      <x:c r="L4" s="90"/>
      <x:c r="M4" s="90"/>
      <x:c r="N4" s="90"/>
      <x:c r="O4" s="90"/>
      <x:c r="P4" s="90"/>
      <x:c r="Q4" s="90"/>
      <x:c r="R4" s="90"/>
      <x:c r="S4" s="90"/>
      <x:c r="T4" s="90"/>
    </x:row>
    <x:row r="5" ht="60" customHeight="1">
      <x:c r="A5" s="104" t="str">
        <x:v>Trip number</x:v>
      </x:c>
      <x:c r="B5" s="104" t="str">
        <x:v>Coach number</x:v>
      </x:c>
      <x:c r="C5" s="104" t="str">
        <x:v>Departure date / time</x:v>
      </x:c>
      <x:c r="D5" s="104" t="str">
        <x:v>Route</x:v>
      </x:c>
      <x:c r="E5" s="104" t="str">
        <x:v>Going / return</x:v>
      </x:c>
      <x:c r="F5" s="104" t="str">
        <x:v>Bus number</x:v>
      </x:c>
      <x:c r="G5" s="104" t="str">
        <x:v>Driver name</x:v>
      </x:c>
      <x:c r="H5" s="104" t="str">
        <x:v>Driver phone</x:v>
      </x:c>
      <x:c r="I5" s="104" t="str">
        <x:v>Guide name</x:v>
      </x:c>
      <x:c r="J5" s="104" t="str">
        <x:v>Guide phone</x:v>
      </x:c>
      <x:c r="K5" s="104" t="str">
        <x:v>Conductor name</x:v>
      </x:c>
      <x:c r="L5" s="104" t="str">
        <x:v>Conductor phone</x:v>
      </x:c>
      <x:c r="M5" s="104" t="str">
        <x:v>Total seats</x:v>
      </x:c>
      <x:c r="N5" s="104" t="str">
        <x:v>Sold seats</x:v>
      </x:c>
      <x:c r="O5" s="104" t="str">
        <x:v>Total fare</x:v>
      </x:c>
      <x:c r="P5" s="104" t="str">
        <x:v>Total commission</x:v>
      </x:c>
      <x:c r="Q5" s="104" t="str">
        <x:v>Total income</x:v>
      </x:c>
      <x:c r="R5" s="104" t="str">
        <x:v>Total deposits</x:v>
      </x:c>
      <x:c r="S5" s="104" t="str">
        <x:v>Outstanding</x:v>
      </x:c>
      <x:c r="T5" s="104" t="str">
        <x:v>Seat use</x:v>
      </x:c>
    </x:row>
    <x:row r="6" ht="28" customHeight="1">
      <x:c r="A6" s="97" t="str">
        <x:f>IF(B6="","",Settings!$B$17)</x:f>
      </x:c>
      <x:c r="B6" s="105"/>
      <x:c r="C6" s="106"/>
      <x:c r="D6" s="90" t="str">
        <x:f>IF(B6="","",IF(COUNTIFS('Route List'!$A$6:$A$305,B6)=1,IF(E6="Return",INDEX('Route List'!$C$6:$C$305,MATCH(B6,'Route List'!$A$6:$A$305,0)),INDEX('Route List'!$B$6:$B$305,MATCH(B6,'Route List'!$A$6:$A$305,0))),""))</x:f>
      </x:c>
      <x:c r="E6" s="107"/>
      <x:c r="F6" s="108"/>
      <x:c r="G6" s="109" t="str">
        <x:f>IF(F6="","",IF(COUNTIFS(Buses!$A$6:$A$105,F6)=1,INDEX(Buses!$B$6:$B$105,MATCH(F6,Buses!$A$6:$A$105,0)),""))</x:f>
      </x:c>
      <x:c r="H6" s="109" t="str">
        <x:f>IF(G6="","",IF(COUNTIFS(Crew!$A$6:$A$105,G6)&gt;0,INDEX(Crew!$C$6:$C$105,MATCH(G6,Crew!$A$6:$A$105,0)),""))</x:f>
      </x:c>
      <x:c r="I6" s="108"/>
      <x:c r="J6" s="109" t="str">
        <x:f>IF(I6="","",IF(COUNTIFS(Crew!$A$6:$A$105,I6)&gt;0,INDEX(Crew!$C$6:$C$105,MATCH(I6,Crew!$A$6:$A$105,0)),""))</x:f>
      </x:c>
      <x:c r="K6" s="108"/>
      <x:c r="L6" s="109" t="str">
        <x:f>IF(K6="","",IF(COUNTIFS(Crew!$A$6:$A$105,K6)&gt;0,INDEX(Crew!$C$6:$C$105,MATCH(K6,Crew!$A$6:$A$105,0)),""))</x:f>
      </x:c>
      <x:c r="M6" s="90" t="str">
        <x:f>IF(B6="","",62)</x:f>
      </x:c>
      <x:c r="N6" s="107" t="str">
        <x:f>IF(B6="","",SUMIFS(Collections!$G$6:$G$505,Collections!$D$6:$D$505,A6))</x:f>
      </x:c>
      <x:c r="O6" s="98" t="str">
        <x:f>IF(B6="","",SUMIFS(Collections!$J$6:$J$505,Collections!$D$6:$D$505,A6))</x:f>
      </x:c>
      <x:c r="P6" s="98" t="str">
        <x:f>IF(B6="","",SUMIFS(Collections!$K$6:$K$505,Collections!$D$6:$D$505,A6))</x:f>
      </x:c>
      <x:c r="Q6" s="98" t="str">
        <x:f>IF(B6="","",SUMIFS(Collections!$L$6:$L$505,Collections!$D$6:$D$505,A6))</x:f>
      </x:c>
      <x:c r="R6" s="98" t="str">
        <x:f>IF(B6="","",SUMIFS(Collections!$M$6:$M$505,Collections!$D$6:$D$505,A6))</x:f>
      </x:c>
      <x:c r="S6" s="98" t="str">
        <x:f>IF(B6="","",SUMIFS(Collections!$N$6:$N$505,Collections!$D$6:$D$505,A6))</x:f>
      </x:c>
      <x:c r="T6" s="110" t="str">
        <x:f>IF(A6="","",IF(M6&gt;0,N6/M6,""))</x:f>
      </x:c>
    </x:row>
    <x:row r="7" ht="28" customHeight="1">
      <x:c r="A7" s="97" t="str">
        <x:f>IF(B7="","",MAX(Settings!$B$17-1,$A$6:A6)+1)</x:f>
      </x:c>
      <x:c r="B7" s="105"/>
      <x:c r="C7" s="106"/>
      <x:c r="D7" s="90" t="str">
        <x:f>IF(B7="","",IF(COUNTIFS('Route List'!$A$6:$A$305,B7)=1,IF(E7="Return",INDEX('Route List'!$C$6:$C$305,MATCH(B7,'Route List'!$A$6:$A$305,0)),INDEX('Route List'!$B$6:$B$305,MATCH(B7,'Route List'!$A$6:$A$305,0))),""))</x:f>
      </x:c>
      <x:c r="E7" s="107"/>
      <x:c r="F7" s="108"/>
      <x:c r="G7" s="109" t="str">
        <x:f>IF(F7="","",IF(COUNTIFS(Buses!$A$6:$A$105,F7)=1,INDEX(Buses!$B$6:$B$105,MATCH(F7,Buses!$A$6:$A$105,0)),""))</x:f>
      </x:c>
      <x:c r="H7" s="109" t="str">
        <x:f>IF(G7="","",IF(COUNTIFS(Crew!$A$6:$A$105,G7)&gt;0,INDEX(Crew!$C$6:$C$105,MATCH(G7,Crew!$A$6:$A$105,0)),""))</x:f>
      </x:c>
      <x:c r="I7" s="108"/>
      <x:c r="J7" s="109" t="str">
        <x:f>IF(I7="","",IF(COUNTIFS(Crew!$A$6:$A$105,I7)&gt;0,INDEX(Crew!$C$6:$C$105,MATCH(I7,Crew!$A$6:$A$105,0)),""))</x:f>
      </x:c>
      <x:c r="K7" s="108"/>
      <x:c r="L7" s="109" t="str">
        <x:f>IF(K7="","",IF(COUNTIFS(Crew!$A$6:$A$105,K7)&gt;0,INDEX(Crew!$C$6:$C$105,MATCH(K7,Crew!$A$6:$A$105,0)),""))</x:f>
      </x:c>
      <x:c r="M7" s="90" t="str">
        <x:f>IF(B7="","",62)</x:f>
      </x:c>
      <x:c r="N7" s="107" t="str">
        <x:f>IF(B7="","",SUMIFS(Collections!$G$6:$G$505,Collections!$D$6:$D$505,A7))</x:f>
      </x:c>
      <x:c r="O7" s="98" t="str">
        <x:f>IF(B7="","",SUMIFS(Collections!$J$6:$J$505,Collections!$D$6:$D$505,A7))</x:f>
      </x:c>
      <x:c r="P7" s="98" t="str">
        <x:f>IF(B7="","",SUMIFS(Collections!$K$6:$K$505,Collections!$D$6:$D$505,A7))</x:f>
      </x:c>
      <x:c r="Q7" s="98" t="str">
        <x:f>IF(B7="","",SUMIFS(Collections!$L$6:$L$505,Collections!$D$6:$D$505,A7))</x:f>
      </x:c>
      <x:c r="R7" s="98" t="str">
        <x:f>IF(B7="","",SUMIFS(Collections!$M$6:$M$505,Collections!$D$6:$D$505,A7))</x:f>
      </x:c>
      <x:c r="S7" s="98" t="str">
        <x:f>IF(B7="","",SUMIFS(Collections!$N$6:$N$505,Collections!$D$6:$D$505,A7))</x:f>
      </x:c>
      <x:c r="T7" s="110" t="str">
        <x:f>IF(A7="","",IF(M7&gt;0,N7/M7,""))</x:f>
      </x:c>
    </x:row>
    <x:row r="8" ht="28" customHeight="1">
      <x:c r="A8" s="97" t="str">
        <x:f>IF(B8="","",MAX(Settings!$B$17-1,$A$6:A7)+1)</x:f>
      </x:c>
      <x:c r="B8" s="105"/>
      <x:c r="C8" s="106"/>
      <x:c r="D8" s="90" t="str">
        <x:f>IF(B8="","",IF(COUNTIFS('Route List'!$A$6:$A$305,B8)=1,IF(E8="Return",INDEX('Route List'!$C$6:$C$305,MATCH(B8,'Route List'!$A$6:$A$305,0)),INDEX('Route List'!$B$6:$B$305,MATCH(B8,'Route List'!$A$6:$A$305,0))),""))</x:f>
      </x:c>
      <x:c r="E8" s="107"/>
      <x:c r="F8" s="108"/>
      <x:c r="G8" s="109" t="str">
        <x:f>IF(F8="","",IF(COUNTIFS(Buses!$A$6:$A$105,F8)=1,INDEX(Buses!$B$6:$B$105,MATCH(F8,Buses!$A$6:$A$105,0)),""))</x:f>
      </x:c>
      <x:c r="H8" s="109" t="str">
        <x:f>IF(G8="","",IF(COUNTIFS(Crew!$A$6:$A$105,G8)&gt;0,INDEX(Crew!$C$6:$C$105,MATCH(G8,Crew!$A$6:$A$105,0)),""))</x:f>
      </x:c>
      <x:c r="I8" s="108"/>
      <x:c r="J8" s="109" t="str">
        <x:f>IF(I8="","",IF(COUNTIFS(Crew!$A$6:$A$105,I8)&gt;0,INDEX(Crew!$C$6:$C$105,MATCH(I8,Crew!$A$6:$A$105,0)),""))</x:f>
      </x:c>
      <x:c r="K8" s="108"/>
      <x:c r="L8" s="109" t="str">
        <x:f>IF(K8="","",IF(COUNTIFS(Crew!$A$6:$A$105,K8)&gt;0,INDEX(Crew!$C$6:$C$105,MATCH(K8,Crew!$A$6:$A$105,0)),""))</x:f>
      </x:c>
      <x:c r="M8" s="90" t="str">
        <x:f>IF(B8="","",62)</x:f>
      </x:c>
      <x:c r="N8" s="107" t="str">
        <x:f>IF(B8="","",SUMIFS(Collections!$G$6:$G$505,Collections!$D$6:$D$505,A8))</x:f>
      </x:c>
      <x:c r="O8" s="98" t="str">
        <x:f>IF(B8="","",SUMIFS(Collections!$J$6:$J$505,Collections!$D$6:$D$505,A8))</x:f>
      </x:c>
      <x:c r="P8" s="98" t="str">
        <x:f>IF(B8="","",SUMIFS(Collections!$K$6:$K$505,Collections!$D$6:$D$505,A8))</x:f>
      </x:c>
      <x:c r="Q8" s="98" t="str">
        <x:f>IF(B8="","",SUMIFS(Collections!$L$6:$L$505,Collections!$D$6:$D$505,A8))</x:f>
      </x:c>
      <x:c r="R8" s="98" t="str">
        <x:f>IF(B8="","",SUMIFS(Collections!$M$6:$M$505,Collections!$D$6:$D$505,A8))</x:f>
      </x:c>
      <x:c r="S8" s="98" t="str">
        <x:f>IF(B8="","",SUMIFS(Collections!$N$6:$N$505,Collections!$D$6:$D$505,A8))</x:f>
      </x:c>
      <x:c r="T8" s="110" t="str">
        <x:f>IF(A8="","",IF(M8&gt;0,N8/M8,""))</x:f>
      </x:c>
    </x:row>
    <x:row r="9" ht="28" customHeight="1">
      <x:c r="A9" s="97" t="str">
        <x:f>IF(B9="","",MAX(Settings!$B$17-1,$A$6:A8)+1)</x:f>
      </x:c>
      <x:c r="B9" s="105"/>
      <x:c r="C9" s="106"/>
      <x:c r="D9" s="90" t="str">
        <x:f>IF(B9="","",IF(COUNTIFS('Route List'!$A$6:$A$305,B9)=1,IF(E9="Return",INDEX('Route List'!$C$6:$C$305,MATCH(B9,'Route List'!$A$6:$A$305,0)),INDEX('Route List'!$B$6:$B$305,MATCH(B9,'Route List'!$A$6:$A$305,0))),""))</x:f>
      </x:c>
      <x:c r="E9" s="107"/>
      <x:c r="F9" s="108"/>
      <x:c r="G9" s="109" t="str">
        <x:f>IF(F9="","",IF(COUNTIFS(Buses!$A$6:$A$105,F9)=1,INDEX(Buses!$B$6:$B$105,MATCH(F9,Buses!$A$6:$A$105,0)),""))</x:f>
      </x:c>
      <x:c r="H9" s="109" t="str">
        <x:f>IF(G9="","",IF(COUNTIFS(Crew!$A$6:$A$105,G9)&gt;0,INDEX(Crew!$C$6:$C$105,MATCH(G9,Crew!$A$6:$A$105,0)),""))</x:f>
      </x:c>
      <x:c r="I9" s="108"/>
      <x:c r="J9" s="109" t="str">
        <x:f>IF(I9="","",IF(COUNTIFS(Crew!$A$6:$A$105,I9)&gt;0,INDEX(Crew!$C$6:$C$105,MATCH(I9,Crew!$A$6:$A$105,0)),""))</x:f>
      </x:c>
      <x:c r="K9" s="108"/>
      <x:c r="L9" s="109" t="str">
        <x:f>IF(K9="","",IF(COUNTIFS(Crew!$A$6:$A$105,K9)&gt;0,INDEX(Crew!$C$6:$C$105,MATCH(K9,Crew!$A$6:$A$105,0)),""))</x:f>
      </x:c>
      <x:c r="M9" s="90" t="str">
        <x:f>IF(B9="","",62)</x:f>
      </x:c>
      <x:c r="N9" s="107" t="str">
        <x:f>IF(B9="","",SUMIFS(Collections!$G$6:$G$505,Collections!$D$6:$D$505,A9))</x:f>
      </x:c>
      <x:c r="O9" s="98" t="str">
        <x:f>IF(B9="","",SUMIFS(Collections!$J$6:$J$505,Collections!$D$6:$D$505,A9))</x:f>
      </x:c>
      <x:c r="P9" s="98" t="str">
        <x:f>IF(B9="","",SUMIFS(Collections!$K$6:$K$505,Collections!$D$6:$D$505,A9))</x:f>
      </x:c>
      <x:c r="Q9" s="98" t="str">
        <x:f>IF(B9="","",SUMIFS(Collections!$L$6:$L$505,Collections!$D$6:$D$505,A9))</x:f>
      </x:c>
      <x:c r="R9" s="98" t="str">
        <x:f>IF(B9="","",SUMIFS(Collections!$M$6:$M$505,Collections!$D$6:$D$505,A9))</x:f>
      </x:c>
      <x:c r="S9" s="98" t="str">
        <x:f>IF(B9="","",SUMIFS(Collections!$N$6:$N$505,Collections!$D$6:$D$505,A9))</x:f>
      </x:c>
      <x:c r="T9" s="110" t="str">
        <x:f>IF(A9="","",IF(M9&gt;0,N9/M9,""))</x:f>
      </x:c>
    </x:row>
    <x:row r="10" ht="28" customHeight="1">
      <x:c r="A10" s="97" t="str">
        <x:f>IF(B10="","",MAX(Settings!$B$17-1,$A$6:A9)+1)</x:f>
      </x:c>
      <x:c r="B10" s="105"/>
      <x:c r="C10" s="106"/>
      <x:c r="D10" s="90" t="str">
        <x:f>IF(B10="","",IF(COUNTIFS('Route List'!$A$6:$A$305,B10)=1,IF(E10="Return",INDEX('Route List'!$C$6:$C$305,MATCH(B10,'Route List'!$A$6:$A$305,0)),INDEX('Route List'!$B$6:$B$305,MATCH(B10,'Route List'!$A$6:$A$305,0))),""))</x:f>
      </x:c>
      <x:c r="E10" s="107"/>
      <x:c r="F10" s="108"/>
      <x:c r="G10" s="109" t="str">
        <x:f>IF(F10="","",IF(COUNTIFS(Buses!$A$6:$A$105,F10)=1,INDEX(Buses!$B$6:$B$105,MATCH(F10,Buses!$A$6:$A$105,0)),""))</x:f>
      </x:c>
      <x:c r="H10" s="109" t="str">
        <x:f>IF(G10="","",IF(COUNTIFS(Crew!$A$6:$A$105,G10)&gt;0,INDEX(Crew!$C$6:$C$105,MATCH(G10,Crew!$A$6:$A$105,0)),""))</x:f>
      </x:c>
      <x:c r="I10" s="108"/>
      <x:c r="J10" s="109" t="str">
        <x:f>IF(I10="","",IF(COUNTIFS(Crew!$A$6:$A$105,I10)&gt;0,INDEX(Crew!$C$6:$C$105,MATCH(I10,Crew!$A$6:$A$105,0)),""))</x:f>
      </x:c>
      <x:c r="K10" s="108"/>
      <x:c r="L10" s="109" t="str">
        <x:f>IF(K10="","",IF(COUNTIFS(Crew!$A$6:$A$105,K10)&gt;0,INDEX(Crew!$C$6:$C$105,MATCH(K10,Crew!$A$6:$A$105,0)),""))</x:f>
      </x:c>
      <x:c r="M10" s="90" t="str">
        <x:f>IF(B10="","",62)</x:f>
      </x:c>
      <x:c r="N10" s="107" t="str">
        <x:f>IF(B10="","",SUMIFS(Collections!$G$6:$G$505,Collections!$D$6:$D$505,A10))</x:f>
      </x:c>
      <x:c r="O10" s="98" t="str">
        <x:f>IF(B10="","",SUMIFS(Collections!$J$6:$J$505,Collections!$D$6:$D$505,A10))</x:f>
      </x:c>
      <x:c r="P10" s="98" t="str">
        <x:f>IF(B10="","",SUMIFS(Collections!$K$6:$K$505,Collections!$D$6:$D$505,A10))</x:f>
      </x:c>
      <x:c r="Q10" s="98" t="str">
        <x:f>IF(B10="","",SUMIFS(Collections!$L$6:$L$505,Collections!$D$6:$D$505,A10))</x:f>
      </x:c>
      <x:c r="R10" s="98" t="str">
        <x:f>IF(B10="","",SUMIFS(Collections!$M$6:$M$505,Collections!$D$6:$D$505,A10))</x:f>
      </x:c>
      <x:c r="S10" s="98" t="str">
        <x:f>IF(B10="","",SUMIFS(Collections!$N$6:$N$505,Collections!$D$6:$D$505,A10))</x:f>
      </x:c>
      <x:c r="T10" s="110" t="str">
        <x:f>IF(A10="","",IF(M10&gt;0,N10/M10,""))</x:f>
      </x:c>
    </x:row>
    <x:row r="11" ht="28" customHeight="1">
      <x:c r="A11" s="97" t="str">
        <x:f>IF(B11="","",MAX(Settings!$B$17-1,$A$6:A10)+1)</x:f>
      </x:c>
      <x:c r="B11" s="105"/>
      <x:c r="C11" s="106"/>
      <x:c r="D11" s="90" t="str">
        <x:f>IF(B11="","",IF(COUNTIFS('Route List'!$A$6:$A$305,B11)=1,IF(E11="Return",INDEX('Route List'!$C$6:$C$305,MATCH(B11,'Route List'!$A$6:$A$305,0)),INDEX('Route List'!$B$6:$B$305,MATCH(B11,'Route List'!$A$6:$A$305,0))),""))</x:f>
      </x:c>
      <x:c r="E11" s="107"/>
      <x:c r="F11" s="108"/>
      <x:c r="G11" s="109" t="str">
        <x:f>IF(F11="","",IF(COUNTIFS(Buses!$A$6:$A$105,F11)=1,INDEX(Buses!$B$6:$B$105,MATCH(F11,Buses!$A$6:$A$105,0)),""))</x:f>
      </x:c>
      <x:c r="H11" s="109" t="str">
        <x:f>IF(G11="","",IF(COUNTIFS(Crew!$A$6:$A$105,G11)&gt;0,INDEX(Crew!$C$6:$C$105,MATCH(G11,Crew!$A$6:$A$105,0)),""))</x:f>
      </x:c>
      <x:c r="I11" s="108"/>
      <x:c r="J11" s="109" t="str">
        <x:f>IF(I11="","",IF(COUNTIFS(Crew!$A$6:$A$105,I11)&gt;0,INDEX(Crew!$C$6:$C$105,MATCH(I11,Crew!$A$6:$A$105,0)),""))</x:f>
      </x:c>
      <x:c r="K11" s="108"/>
      <x:c r="L11" s="109" t="str">
        <x:f>IF(K11="","",IF(COUNTIFS(Crew!$A$6:$A$105,K11)&gt;0,INDEX(Crew!$C$6:$C$105,MATCH(K11,Crew!$A$6:$A$105,0)),""))</x:f>
      </x:c>
      <x:c r="M11" s="90" t="str">
        <x:f>IF(B11="","",62)</x:f>
      </x:c>
      <x:c r="N11" s="107" t="str">
        <x:f>IF(B11="","",SUMIFS(Collections!$G$6:$G$505,Collections!$D$6:$D$505,A11))</x:f>
      </x:c>
      <x:c r="O11" s="98" t="str">
        <x:f>IF(B11="","",SUMIFS(Collections!$J$6:$J$505,Collections!$D$6:$D$505,A11))</x:f>
      </x:c>
      <x:c r="P11" s="98" t="str">
        <x:f>IF(B11="","",SUMIFS(Collections!$K$6:$K$505,Collections!$D$6:$D$505,A11))</x:f>
      </x:c>
      <x:c r="Q11" s="98" t="str">
        <x:f>IF(B11="","",SUMIFS(Collections!$L$6:$L$505,Collections!$D$6:$D$505,A11))</x:f>
      </x:c>
      <x:c r="R11" s="98" t="str">
        <x:f>IF(B11="","",SUMIFS(Collections!$M$6:$M$505,Collections!$D$6:$D$505,A11))</x:f>
      </x:c>
      <x:c r="S11" s="98" t="str">
        <x:f>IF(B11="","",SUMIFS(Collections!$N$6:$N$505,Collections!$D$6:$D$505,A11))</x:f>
      </x:c>
      <x:c r="T11" s="110" t="str">
        <x:f>IF(A11="","",IF(M11&gt;0,N11/M11,""))</x:f>
      </x:c>
    </x:row>
    <x:row r="12" ht="28" customHeight="1">
      <x:c r="A12" s="97" t="str">
        <x:f>IF(B12="","",MAX(Settings!$B$17-1,$A$6:A11)+1)</x:f>
      </x:c>
      <x:c r="B12" s="105"/>
      <x:c r="C12" s="106"/>
      <x:c r="D12" s="90" t="str">
        <x:f>IF(B12="","",IF(COUNTIFS('Route List'!$A$6:$A$305,B12)=1,IF(E12="Return",INDEX('Route List'!$C$6:$C$305,MATCH(B12,'Route List'!$A$6:$A$305,0)),INDEX('Route List'!$B$6:$B$305,MATCH(B12,'Route List'!$A$6:$A$305,0))),""))</x:f>
      </x:c>
      <x:c r="E12" s="107"/>
      <x:c r="F12" s="108"/>
      <x:c r="G12" s="109" t="str">
        <x:f>IF(F12="","",IF(COUNTIFS(Buses!$A$6:$A$105,F12)=1,INDEX(Buses!$B$6:$B$105,MATCH(F12,Buses!$A$6:$A$105,0)),""))</x:f>
      </x:c>
      <x:c r="H12" s="109" t="str">
        <x:f>IF(G12="","",IF(COUNTIFS(Crew!$A$6:$A$105,G12)&gt;0,INDEX(Crew!$C$6:$C$105,MATCH(G12,Crew!$A$6:$A$105,0)),""))</x:f>
      </x:c>
      <x:c r="I12" s="108"/>
      <x:c r="J12" s="109" t="str">
        <x:f>IF(I12="","",IF(COUNTIFS(Crew!$A$6:$A$105,I12)&gt;0,INDEX(Crew!$C$6:$C$105,MATCH(I12,Crew!$A$6:$A$105,0)),""))</x:f>
      </x:c>
      <x:c r="K12" s="108"/>
      <x:c r="L12" s="109" t="str">
        <x:f>IF(K12="","",IF(COUNTIFS(Crew!$A$6:$A$105,K12)&gt;0,INDEX(Crew!$C$6:$C$105,MATCH(K12,Crew!$A$6:$A$105,0)),""))</x:f>
      </x:c>
      <x:c r="M12" s="90" t="str">
        <x:f>IF(B12="","",62)</x:f>
      </x:c>
      <x:c r="N12" s="107" t="str">
        <x:f>IF(B12="","",SUMIFS(Collections!$G$6:$G$505,Collections!$D$6:$D$505,A12))</x:f>
      </x:c>
      <x:c r="O12" s="98" t="str">
        <x:f>IF(B12="","",SUMIFS(Collections!$J$6:$J$505,Collections!$D$6:$D$505,A12))</x:f>
      </x:c>
      <x:c r="P12" s="98" t="str">
        <x:f>IF(B12="","",SUMIFS(Collections!$K$6:$K$505,Collections!$D$6:$D$505,A12))</x:f>
      </x:c>
      <x:c r="Q12" s="98" t="str">
        <x:f>IF(B12="","",SUMIFS(Collections!$L$6:$L$505,Collections!$D$6:$D$505,A12))</x:f>
      </x:c>
      <x:c r="R12" s="98" t="str">
        <x:f>IF(B12="","",SUMIFS(Collections!$M$6:$M$505,Collections!$D$6:$D$505,A12))</x:f>
      </x:c>
      <x:c r="S12" s="98" t="str">
        <x:f>IF(B12="","",SUMIFS(Collections!$N$6:$N$505,Collections!$D$6:$D$505,A12))</x:f>
      </x:c>
      <x:c r="T12" s="110" t="str">
        <x:f>IF(A12="","",IF(M12&gt;0,N12/M12,""))</x:f>
      </x:c>
    </x:row>
    <x:row r="13" ht="28" customHeight="1">
      <x:c r="A13" s="97" t="str">
        <x:f>IF(B13="","",MAX(Settings!$B$17-1,$A$6:A12)+1)</x:f>
      </x:c>
      <x:c r="B13" s="105"/>
      <x:c r="C13" s="106"/>
      <x:c r="D13" s="90" t="str">
        <x:f>IF(B13="","",IF(COUNTIFS('Route List'!$A$6:$A$305,B13)=1,IF(E13="Return",INDEX('Route List'!$C$6:$C$305,MATCH(B13,'Route List'!$A$6:$A$305,0)),INDEX('Route List'!$B$6:$B$305,MATCH(B13,'Route List'!$A$6:$A$305,0))),""))</x:f>
      </x:c>
      <x:c r="E13" s="107"/>
      <x:c r="F13" s="108"/>
      <x:c r="G13" s="109" t="str">
        <x:f>IF(F13="","",IF(COUNTIFS(Buses!$A$6:$A$105,F13)=1,INDEX(Buses!$B$6:$B$105,MATCH(F13,Buses!$A$6:$A$105,0)),""))</x:f>
      </x:c>
      <x:c r="H13" s="109" t="str">
        <x:f>IF(G13="","",IF(COUNTIFS(Crew!$A$6:$A$105,G13)&gt;0,INDEX(Crew!$C$6:$C$105,MATCH(G13,Crew!$A$6:$A$105,0)),""))</x:f>
      </x:c>
      <x:c r="I13" s="108"/>
      <x:c r="J13" s="109" t="str">
        <x:f>IF(I13="","",IF(COUNTIFS(Crew!$A$6:$A$105,I13)&gt;0,INDEX(Crew!$C$6:$C$105,MATCH(I13,Crew!$A$6:$A$105,0)),""))</x:f>
      </x:c>
      <x:c r="K13" s="108"/>
      <x:c r="L13" s="109" t="str">
        <x:f>IF(K13="","",IF(COUNTIFS(Crew!$A$6:$A$105,K13)&gt;0,INDEX(Crew!$C$6:$C$105,MATCH(K13,Crew!$A$6:$A$105,0)),""))</x:f>
      </x:c>
      <x:c r="M13" s="90" t="str">
        <x:f>IF(B13="","",62)</x:f>
      </x:c>
      <x:c r="N13" s="107" t="str">
        <x:f>IF(B13="","",SUMIFS(Collections!$G$6:$G$505,Collections!$D$6:$D$505,A13))</x:f>
      </x:c>
      <x:c r="O13" s="98" t="str">
        <x:f>IF(B13="","",SUMIFS(Collections!$J$6:$J$505,Collections!$D$6:$D$505,A13))</x:f>
      </x:c>
      <x:c r="P13" s="98" t="str">
        <x:f>IF(B13="","",SUMIFS(Collections!$K$6:$K$505,Collections!$D$6:$D$505,A13))</x:f>
      </x:c>
      <x:c r="Q13" s="98" t="str">
        <x:f>IF(B13="","",SUMIFS(Collections!$L$6:$L$505,Collections!$D$6:$D$505,A13))</x:f>
      </x:c>
      <x:c r="R13" s="98" t="str">
        <x:f>IF(B13="","",SUMIFS(Collections!$M$6:$M$505,Collections!$D$6:$D$505,A13))</x:f>
      </x:c>
      <x:c r="S13" s="98" t="str">
        <x:f>IF(B13="","",SUMIFS(Collections!$N$6:$N$505,Collections!$D$6:$D$505,A13))</x:f>
      </x:c>
      <x:c r="T13" s="110" t="str">
        <x:f>IF(A13="","",IF(M13&gt;0,N13/M13,""))</x:f>
      </x:c>
    </x:row>
    <x:row r="14" ht="28" customHeight="1">
      <x:c r="A14" s="97" t="str">
        <x:f>IF(B14="","",MAX(Settings!$B$17-1,$A$6:A13)+1)</x:f>
      </x:c>
      <x:c r="B14" s="105"/>
      <x:c r="C14" s="106"/>
      <x:c r="D14" s="90" t="str">
        <x:f>IF(B14="","",IF(COUNTIFS('Route List'!$A$6:$A$305,B14)=1,IF(E14="Return",INDEX('Route List'!$C$6:$C$305,MATCH(B14,'Route List'!$A$6:$A$305,0)),INDEX('Route List'!$B$6:$B$305,MATCH(B14,'Route List'!$A$6:$A$305,0))),""))</x:f>
      </x:c>
      <x:c r="E14" s="107"/>
      <x:c r="F14" s="108"/>
      <x:c r="G14" s="109" t="str">
        <x:f>IF(F14="","",IF(COUNTIFS(Buses!$A$6:$A$105,F14)=1,INDEX(Buses!$B$6:$B$105,MATCH(F14,Buses!$A$6:$A$105,0)),""))</x:f>
      </x:c>
      <x:c r="H14" s="109" t="str">
        <x:f>IF(G14="","",IF(COUNTIFS(Crew!$A$6:$A$105,G14)&gt;0,INDEX(Crew!$C$6:$C$105,MATCH(G14,Crew!$A$6:$A$105,0)),""))</x:f>
      </x:c>
      <x:c r="I14" s="108"/>
      <x:c r="J14" s="109" t="str">
        <x:f>IF(I14="","",IF(COUNTIFS(Crew!$A$6:$A$105,I14)&gt;0,INDEX(Crew!$C$6:$C$105,MATCH(I14,Crew!$A$6:$A$105,0)),""))</x:f>
      </x:c>
      <x:c r="K14" s="108"/>
      <x:c r="L14" s="109" t="str">
        <x:f>IF(K14="","",IF(COUNTIFS(Crew!$A$6:$A$105,K14)&gt;0,INDEX(Crew!$C$6:$C$105,MATCH(K14,Crew!$A$6:$A$105,0)),""))</x:f>
      </x:c>
      <x:c r="M14" s="90" t="str">
        <x:f>IF(B14="","",62)</x:f>
      </x:c>
      <x:c r="N14" s="107" t="str">
        <x:f>IF(B14="","",SUMIFS(Collections!$G$6:$G$505,Collections!$D$6:$D$505,A14))</x:f>
      </x:c>
      <x:c r="O14" s="98" t="str">
        <x:f>IF(B14="","",SUMIFS(Collections!$J$6:$J$505,Collections!$D$6:$D$505,A14))</x:f>
      </x:c>
      <x:c r="P14" s="98" t="str">
        <x:f>IF(B14="","",SUMIFS(Collections!$K$6:$K$505,Collections!$D$6:$D$505,A14))</x:f>
      </x:c>
      <x:c r="Q14" s="98" t="str">
        <x:f>IF(B14="","",SUMIFS(Collections!$L$6:$L$505,Collections!$D$6:$D$505,A14))</x:f>
      </x:c>
      <x:c r="R14" s="98" t="str">
        <x:f>IF(B14="","",SUMIFS(Collections!$M$6:$M$505,Collections!$D$6:$D$505,A14))</x:f>
      </x:c>
      <x:c r="S14" s="98" t="str">
        <x:f>IF(B14="","",SUMIFS(Collections!$N$6:$N$505,Collections!$D$6:$D$505,A14))</x:f>
      </x:c>
      <x:c r="T14" s="110" t="str">
        <x:f>IF(A14="","",IF(M14&gt;0,N14/M14,""))</x:f>
      </x:c>
    </x:row>
    <x:row r="15" ht="28" customHeight="1">
      <x:c r="A15" s="97" t="str">
        <x:f>IF(B15="","",MAX(Settings!$B$17-1,$A$6:A14)+1)</x:f>
      </x:c>
      <x:c r="B15" s="105"/>
      <x:c r="C15" s="106"/>
      <x:c r="D15" s="90" t="str">
        <x:f>IF(B15="","",IF(COUNTIFS('Route List'!$A$6:$A$305,B15)=1,IF(E15="Return",INDEX('Route List'!$C$6:$C$305,MATCH(B15,'Route List'!$A$6:$A$305,0)),INDEX('Route List'!$B$6:$B$305,MATCH(B15,'Route List'!$A$6:$A$305,0))),""))</x:f>
      </x:c>
      <x:c r="E15" s="107"/>
      <x:c r="F15" s="108"/>
      <x:c r="G15" s="109" t="str">
        <x:f>IF(F15="","",IF(COUNTIFS(Buses!$A$6:$A$105,F15)=1,INDEX(Buses!$B$6:$B$105,MATCH(F15,Buses!$A$6:$A$105,0)),""))</x:f>
      </x:c>
      <x:c r="H15" s="109" t="str">
        <x:f>IF(G15="","",IF(COUNTIFS(Crew!$A$6:$A$105,G15)&gt;0,INDEX(Crew!$C$6:$C$105,MATCH(G15,Crew!$A$6:$A$105,0)),""))</x:f>
      </x:c>
      <x:c r="I15" s="108"/>
      <x:c r="J15" s="109" t="str">
        <x:f>IF(I15="","",IF(COUNTIFS(Crew!$A$6:$A$105,I15)&gt;0,INDEX(Crew!$C$6:$C$105,MATCH(I15,Crew!$A$6:$A$105,0)),""))</x:f>
      </x:c>
      <x:c r="K15" s="108"/>
      <x:c r="L15" s="109" t="str">
        <x:f>IF(K15="","",IF(COUNTIFS(Crew!$A$6:$A$105,K15)&gt;0,INDEX(Crew!$C$6:$C$105,MATCH(K15,Crew!$A$6:$A$105,0)),""))</x:f>
      </x:c>
      <x:c r="M15" s="90" t="str">
        <x:f>IF(B15="","",62)</x:f>
      </x:c>
      <x:c r="N15" s="107" t="str">
        <x:f>IF(B15="","",SUMIFS(Collections!$G$6:$G$505,Collections!$D$6:$D$505,A15))</x:f>
      </x:c>
      <x:c r="O15" s="98" t="str">
        <x:f>IF(B15="","",SUMIFS(Collections!$J$6:$J$505,Collections!$D$6:$D$505,A15))</x:f>
      </x:c>
      <x:c r="P15" s="98" t="str">
        <x:f>IF(B15="","",SUMIFS(Collections!$K$6:$K$505,Collections!$D$6:$D$505,A15))</x:f>
      </x:c>
      <x:c r="Q15" s="98" t="str">
        <x:f>IF(B15="","",SUMIFS(Collections!$L$6:$L$505,Collections!$D$6:$D$505,A15))</x:f>
      </x:c>
      <x:c r="R15" s="98" t="str">
        <x:f>IF(B15="","",SUMIFS(Collections!$M$6:$M$505,Collections!$D$6:$D$505,A15))</x:f>
      </x:c>
      <x:c r="S15" s="98" t="str">
        <x:f>IF(B15="","",SUMIFS(Collections!$N$6:$N$505,Collections!$D$6:$D$505,A15))</x:f>
      </x:c>
      <x:c r="T15" s="110" t="str">
        <x:f>IF(A15="","",IF(M15&gt;0,N15/M15,""))</x:f>
      </x:c>
    </x:row>
    <x:row r="16" ht="28" customHeight="1">
      <x:c r="A16" s="97" t="str">
        <x:f>IF(B16="","",MAX(Settings!$B$17-1,$A$6:A15)+1)</x:f>
      </x:c>
      <x:c r="B16" s="105"/>
      <x:c r="C16" s="106"/>
      <x:c r="D16" s="90" t="str">
        <x:f>IF(B16="","",IF(COUNTIFS('Route List'!$A$6:$A$305,B16)=1,IF(E16="Return",INDEX('Route List'!$C$6:$C$305,MATCH(B16,'Route List'!$A$6:$A$305,0)),INDEX('Route List'!$B$6:$B$305,MATCH(B16,'Route List'!$A$6:$A$305,0))),""))</x:f>
      </x:c>
      <x:c r="E16" s="107"/>
      <x:c r="F16" s="108"/>
      <x:c r="G16" s="109" t="str">
        <x:f>IF(F16="","",IF(COUNTIFS(Buses!$A$6:$A$105,F16)=1,INDEX(Buses!$B$6:$B$105,MATCH(F16,Buses!$A$6:$A$105,0)),""))</x:f>
      </x:c>
      <x:c r="H16" s="109" t="str">
        <x:f>IF(G16="","",IF(COUNTIFS(Crew!$A$6:$A$105,G16)&gt;0,INDEX(Crew!$C$6:$C$105,MATCH(G16,Crew!$A$6:$A$105,0)),""))</x:f>
      </x:c>
      <x:c r="I16" s="108"/>
      <x:c r="J16" s="109" t="str">
        <x:f>IF(I16="","",IF(COUNTIFS(Crew!$A$6:$A$105,I16)&gt;0,INDEX(Crew!$C$6:$C$105,MATCH(I16,Crew!$A$6:$A$105,0)),""))</x:f>
      </x:c>
      <x:c r="K16" s="108"/>
      <x:c r="L16" s="109" t="str">
        <x:f>IF(K16="","",IF(COUNTIFS(Crew!$A$6:$A$105,K16)&gt;0,INDEX(Crew!$C$6:$C$105,MATCH(K16,Crew!$A$6:$A$105,0)),""))</x:f>
      </x:c>
      <x:c r="M16" s="90" t="str">
        <x:f>IF(B16="","",62)</x:f>
      </x:c>
      <x:c r="N16" s="107" t="str">
        <x:f>IF(B16="","",SUMIFS(Collections!$G$6:$G$505,Collections!$D$6:$D$505,A16))</x:f>
      </x:c>
      <x:c r="O16" s="98" t="str">
        <x:f>IF(B16="","",SUMIFS(Collections!$J$6:$J$505,Collections!$D$6:$D$505,A16))</x:f>
      </x:c>
      <x:c r="P16" s="98" t="str">
        <x:f>IF(B16="","",SUMIFS(Collections!$K$6:$K$505,Collections!$D$6:$D$505,A16))</x:f>
      </x:c>
      <x:c r="Q16" s="98" t="str">
        <x:f>IF(B16="","",SUMIFS(Collections!$L$6:$L$505,Collections!$D$6:$D$505,A16))</x:f>
      </x:c>
      <x:c r="R16" s="98" t="str">
        <x:f>IF(B16="","",SUMIFS(Collections!$M$6:$M$505,Collections!$D$6:$D$505,A16))</x:f>
      </x:c>
      <x:c r="S16" s="98" t="str">
        <x:f>IF(B16="","",SUMIFS(Collections!$N$6:$N$505,Collections!$D$6:$D$505,A16))</x:f>
      </x:c>
      <x:c r="T16" s="110" t="str">
        <x:f>IF(A16="","",IF(M16&gt;0,N16/M16,""))</x:f>
      </x:c>
    </x:row>
    <x:row r="17" ht="28" customHeight="1">
      <x:c r="A17" s="97" t="str">
        <x:f>IF(B17="","",MAX(Settings!$B$17-1,$A$6:A16)+1)</x:f>
      </x:c>
      <x:c r="B17" s="105"/>
      <x:c r="C17" s="106"/>
      <x:c r="D17" s="90" t="str">
        <x:f>IF(B17="","",IF(COUNTIFS('Route List'!$A$6:$A$305,B17)=1,IF(E17="Return",INDEX('Route List'!$C$6:$C$305,MATCH(B17,'Route List'!$A$6:$A$305,0)),INDEX('Route List'!$B$6:$B$305,MATCH(B17,'Route List'!$A$6:$A$305,0))),""))</x:f>
      </x:c>
      <x:c r="E17" s="107"/>
      <x:c r="F17" s="108"/>
      <x:c r="G17" s="109" t="str">
        <x:f>IF(F17="","",IF(COUNTIFS(Buses!$A$6:$A$105,F17)=1,INDEX(Buses!$B$6:$B$105,MATCH(F17,Buses!$A$6:$A$105,0)),""))</x:f>
      </x:c>
      <x:c r="H17" s="109" t="str">
        <x:f>IF(G17="","",IF(COUNTIFS(Crew!$A$6:$A$105,G17)&gt;0,INDEX(Crew!$C$6:$C$105,MATCH(G17,Crew!$A$6:$A$105,0)),""))</x:f>
      </x:c>
      <x:c r="I17" s="108"/>
      <x:c r="J17" s="109" t="str">
        <x:f>IF(I17="","",IF(COUNTIFS(Crew!$A$6:$A$105,I17)&gt;0,INDEX(Crew!$C$6:$C$105,MATCH(I17,Crew!$A$6:$A$105,0)),""))</x:f>
      </x:c>
      <x:c r="K17" s="108"/>
      <x:c r="L17" s="109" t="str">
        <x:f>IF(K17="","",IF(COUNTIFS(Crew!$A$6:$A$105,K17)&gt;0,INDEX(Crew!$C$6:$C$105,MATCH(K17,Crew!$A$6:$A$105,0)),""))</x:f>
      </x:c>
      <x:c r="M17" s="90" t="str">
        <x:f>IF(B17="","",62)</x:f>
      </x:c>
      <x:c r="N17" s="107" t="str">
        <x:f>IF(B17="","",SUMIFS(Collections!$G$6:$G$505,Collections!$D$6:$D$505,A17))</x:f>
      </x:c>
      <x:c r="O17" s="98" t="str">
        <x:f>IF(B17="","",SUMIFS(Collections!$J$6:$J$505,Collections!$D$6:$D$505,A17))</x:f>
      </x:c>
      <x:c r="P17" s="98" t="str">
        <x:f>IF(B17="","",SUMIFS(Collections!$K$6:$K$505,Collections!$D$6:$D$505,A17))</x:f>
      </x:c>
      <x:c r="Q17" s="98" t="str">
        <x:f>IF(B17="","",SUMIFS(Collections!$L$6:$L$505,Collections!$D$6:$D$505,A17))</x:f>
      </x:c>
      <x:c r="R17" s="98" t="str">
        <x:f>IF(B17="","",SUMIFS(Collections!$M$6:$M$505,Collections!$D$6:$D$505,A17))</x:f>
      </x:c>
      <x:c r="S17" s="98" t="str">
        <x:f>IF(B17="","",SUMIFS(Collections!$N$6:$N$505,Collections!$D$6:$D$505,A17))</x:f>
      </x:c>
      <x:c r="T17" s="110" t="str">
        <x:f>IF(A17="","",IF(M17&gt;0,N17/M17,""))</x:f>
      </x:c>
    </x:row>
    <x:row r="18" ht="28" customHeight="1">
      <x:c r="A18" s="97" t="str">
        <x:f>IF(B18="","",MAX(Settings!$B$17-1,$A$6:A17)+1)</x:f>
      </x:c>
      <x:c r="B18" s="105"/>
      <x:c r="C18" s="106"/>
      <x:c r="D18" s="90" t="str">
        <x:f>IF(B18="","",IF(COUNTIFS('Route List'!$A$6:$A$305,B18)=1,IF(E18="Return",INDEX('Route List'!$C$6:$C$305,MATCH(B18,'Route List'!$A$6:$A$305,0)),INDEX('Route List'!$B$6:$B$305,MATCH(B18,'Route List'!$A$6:$A$305,0))),""))</x:f>
      </x:c>
      <x:c r="E18" s="107"/>
      <x:c r="F18" s="108"/>
      <x:c r="G18" s="109" t="str">
        <x:f>IF(F18="","",IF(COUNTIFS(Buses!$A$6:$A$105,F18)=1,INDEX(Buses!$B$6:$B$105,MATCH(F18,Buses!$A$6:$A$105,0)),""))</x:f>
      </x:c>
      <x:c r="H18" s="109" t="str">
        <x:f>IF(G18="","",IF(COUNTIFS(Crew!$A$6:$A$105,G18)&gt;0,INDEX(Crew!$C$6:$C$105,MATCH(G18,Crew!$A$6:$A$105,0)),""))</x:f>
      </x:c>
      <x:c r="I18" s="108"/>
      <x:c r="J18" s="109" t="str">
        <x:f>IF(I18="","",IF(COUNTIFS(Crew!$A$6:$A$105,I18)&gt;0,INDEX(Crew!$C$6:$C$105,MATCH(I18,Crew!$A$6:$A$105,0)),""))</x:f>
      </x:c>
      <x:c r="K18" s="108"/>
      <x:c r="L18" s="109" t="str">
        <x:f>IF(K18="","",IF(COUNTIFS(Crew!$A$6:$A$105,K18)&gt;0,INDEX(Crew!$C$6:$C$105,MATCH(K18,Crew!$A$6:$A$105,0)),""))</x:f>
      </x:c>
      <x:c r="M18" s="90" t="str">
        <x:f>IF(B18="","",62)</x:f>
      </x:c>
      <x:c r="N18" s="107" t="str">
        <x:f>IF(B18="","",SUMIFS(Collections!$G$6:$G$505,Collections!$D$6:$D$505,A18))</x:f>
      </x:c>
      <x:c r="O18" s="98" t="str">
        <x:f>IF(B18="","",SUMIFS(Collections!$J$6:$J$505,Collections!$D$6:$D$505,A18))</x:f>
      </x:c>
      <x:c r="P18" s="98" t="str">
        <x:f>IF(B18="","",SUMIFS(Collections!$K$6:$K$505,Collections!$D$6:$D$505,A18))</x:f>
      </x:c>
      <x:c r="Q18" s="98" t="str">
        <x:f>IF(B18="","",SUMIFS(Collections!$L$6:$L$505,Collections!$D$6:$D$505,A18))</x:f>
      </x:c>
      <x:c r="R18" s="98" t="str">
        <x:f>IF(B18="","",SUMIFS(Collections!$M$6:$M$505,Collections!$D$6:$D$505,A18))</x:f>
      </x:c>
      <x:c r="S18" s="98" t="str">
        <x:f>IF(B18="","",SUMIFS(Collections!$N$6:$N$505,Collections!$D$6:$D$505,A18))</x:f>
      </x:c>
      <x:c r="T18" s="110" t="str">
        <x:f>IF(A18="","",IF(M18&gt;0,N18/M18,""))</x:f>
      </x:c>
    </x:row>
    <x:row r="19" ht="28" customHeight="1">
      <x:c r="A19" s="97" t="str">
        <x:f>IF(B19="","",MAX(Settings!$B$17-1,$A$6:A18)+1)</x:f>
      </x:c>
      <x:c r="B19" s="105"/>
      <x:c r="C19" s="106"/>
      <x:c r="D19" s="90" t="str">
        <x:f>IF(B19="","",IF(COUNTIFS('Route List'!$A$6:$A$305,B19)=1,IF(E19="Return",INDEX('Route List'!$C$6:$C$305,MATCH(B19,'Route List'!$A$6:$A$305,0)),INDEX('Route List'!$B$6:$B$305,MATCH(B19,'Route List'!$A$6:$A$305,0))),""))</x:f>
      </x:c>
      <x:c r="E19" s="107"/>
      <x:c r="F19" s="108"/>
      <x:c r="G19" s="109" t="str">
        <x:f>IF(F19="","",IF(COUNTIFS(Buses!$A$6:$A$105,F19)=1,INDEX(Buses!$B$6:$B$105,MATCH(F19,Buses!$A$6:$A$105,0)),""))</x:f>
      </x:c>
      <x:c r="H19" s="109" t="str">
        <x:f>IF(G19="","",IF(COUNTIFS(Crew!$A$6:$A$105,G19)&gt;0,INDEX(Crew!$C$6:$C$105,MATCH(G19,Crew!$A$6:$A$105,0)),""))</x:f>
      </x:c>
      <x:c r="I19" s="108"/>
      <x:c r="J19" s="109" t="str">
        <x:f>IF(I19="","",IF(COUNTIFS(Crew!$A$6:$A$105,I19)&gt;0,INDEX(Crew!$C$6:$C$105,MATCH(I19,Crew!$A$6:$A$105,0)),""))</x:f>
      </x:c>
      <x:c r="K19" s="108"/>
      <x:c r="L19" s="109" t="str">
        <x:f>IF(K19="","",IF(COUNTIFS(Crew!$A$6:$A$105,K19)&gt;0,INDEX(Crew!$C$6:$C$105,MATCH(K19,Crew!$A$6:$A$105,0)),""))</x:f>
      </x:c>
      <x:c r="M19" s="90" t="str">
        <x:f>IF(B19="","",62)</x:f>
      </x:c>
      <x:c r="N19" s="107" t="str">
        <x:f>IF(B19="","",SUMIFS(Collections!$G$6:$G$505,Collections!$D$6:$D$505,A19))</x:f>
      </x:c>
      <x:c r="O19" s="98" t="str">
        <x:f>IF(B19="","",SUMIFS(Collections!$J$6:$J$505,Collections!$D$6:$D$505,A19))</x:f>
      </x:c>
      <x:c r="P19" s="98" t="str">
        <x:f>IF(B19="","",SUMIFS(Collections!$K$6:$K$505,Collections!$D$6:$D$505,A19))</x:f>
      </x:c>
      <x:c r="Q19" s="98" t="str">
        <x:f>IF(B19="","",SUMIFS(Collections!$L$6:$L$505,Collections!$D$6:$D$505,A19))</x:f>
      </x:c>
      <x:c r="R19" s="98" t="str">
        <x:f>IF(B19="","",SUMIFS(Collections!$M$6:$M$505,Collections!$D$6:$D$505,A19))</x:f>
      </x:c>
      <x:c r="S19" s="98" t="str">
        <x:f>IF(B19="","",SUMIFS(Collections!$N$6:$N$505,Collections!$D$6:$D$505,A19))</x:f>
      </x:c>
      <x:c r="T19" s="110" t="str">
        <x:f>IF(A19="","",IF(M19&gt;0,N19/M19,""))</x:f>
      </x:c>
    </x:row>
    <x:row r="20" ht="28" customHeight="1">
      <x:c r="A20" s="97" t="str">
        <x:f>IF(B20="","",MAX(Settings!$B$17-1,$A$6:A19)+1)</x:f>
      </x:c>
      <x:c r="B20" s="105"/>
      <x:c r="C20" s="106"/>
      <x:c r="D20" s="90" t="str">
        <x:f>IF(B20="","",IF(COUNTIFS('Route List'!$A$6:$A$305,B20)=1,IF(E20="Return",INDEX('Route List'!$C$6:$C$305,MATCH(B20,'Route List'!$A$6:$A$305,0)),INDEX('Route List'!$B$6:$B$305,MATCH(B20,'Route List'!$A$6:$A$305,0))),""))</x:f>
      </x:c>
      <x:c r="E20" s="107"/>
      <x:c r="F20" s="108"/>
      <x:c r="G20" s="109" t="str">
        <x:f>IF(F20="","",IF(COUNTIFS(Buses!$A$6:$A$105,F20)=1,INDEX(Buses!$B$6:$B$105,MATCH(F20,Buses!$A$6:$A$105,0)),""))</x:f>
      </x:c>
      <x:c r="H20" s="109" t="str">
        <x:f>IF(G20="","",IF(COUNTIFS(Crew!$A$6:$A$105,G20)&gt;0,INDEX(Crew!$C$6:$C$105,MATCH(G20,Crew!$A$6:$A$105,0)),""))</x:f>
      </x:c>
      <x:c r="I20" s="108"/>
      <x:c r="J20" s="109" t="str">
        <x:f>IF(I20="","",IF(COUNTIFS(Crew!$A$6:$A$105,I20)&gt;0,INDEX(Crew!$C$6:$C$105,MATCH(I20,Crew!$A$6:$A$105,0)),""))</x:f>
      </x:c>
      <x:c r="K20" s="108"/>
      <x:c r="L20" s="109" t="str">
        <x:f>IF(K20="","",IF(COUNTIFS(Crew!$A$6:$A$105,K20)&gt;0,INDEX(Crew!$C$6:$C$105,MATCH(K20,Crew!$A$6:$A$105,0)),""))</x:f>
      </x:c>
      <x:c r="M20" s="90" t="str">
        <x:f>IF(B20="","",62)</x:f>
      </x:c>
      <x:c r="N20" s="107" t="str">
        <x:f>IF(B20="","",SUMIFS(Collections!$G$6:$G$505,Collections!$D$6:$D$505,A20))</x:f>
      </x:c>
      <x:c r="O20" s="98" t="str">
        <x:f>IF(B20="","",SUMIFS(Collections!$J$6:$J$505,Collections!$D$6:$D$505,A20))</x:f>
      </x:c>
      <x:c r="P20" s="98" t="str">
        <x:f>IF(B20="","",SUMIFS(Collections!$K$6:$K$505,Collections!$D$6:$D$505,A20))</x:f>
      </x:c>
      <x:c r="Q20" s="98" t="str">
        <x:f>IF(B20="","",SUMIFS(Collections!$L$6:$L$505,Collections!$D$6:$D$505,A20))</x:f>
      </x:c>
      <x:c r="R20" s="98" t="str">
        <x:f>IF(B20="","",SUMIFS(Collections!$M$6:$M$505,Collections!$D$6:$D$505,A20))</x:f>
      </x:c>
      <x:c r="S20" s="98" t="str">
        <x:f>IF(B20="","",SUMIFS(Collections!$N$6:$N$505,Collections!$D$6:$D$505,A20))</x:f>
      </x:c>
      <x:c r="T20" s="110" t="str">
        <x:f>IF(A20="","",IF(M20&gt;0,N20/M20,""))</x:f>
      </x:c>
    </x:row>
    <x:row r="21" ht="28" customHeight="1">
      <x:c r="A21" s="97" t="str">
        <x:f>IF(B21="","",MAX(Settings!$B$17-1,$A$6:A20)+1)</x:f>
      </x:c>
      <x:c r="B21" s="105"/>
      <x:c r="C21" s="106"/>
      <x:c r="D21" s="90" t="str">
        <x:f>IF(B21="","",IF(COUNTIFS('Route List'!$A$6:$A$305,B21)=1,IF(E21="Return",INDEX('Route List'!$C$6:$C$305,MATCH(B21,'Route List'!$A$6:$A$305,0)),INDEX('Route List'!$B$6:$B$305,MATCH(B21,'Route List'!$A$6:$A$305,0))),""))</x:f>
      </x:c>
      <x:c r="E21" s="107"/>
      <x:c r="F21" s="108"/>
      <x:c r="G21" s="109" t="str">
        <x:f>IF(F21="","",IF(COUNTIFS(Buses!$A$6:$A$105,F21)=1,INDEX(Buses!$B$6:$B$105,MATCH(F21,Buses!$A$6:$A$105,0)),""))</x:f>
      </x:c>
      <x:c r="H21" s="109" t="str">
        <x:f>IF(G21="","",IF(COUNTIFS(Crew!$A$6:$A$105,G21)&gt;0,INDEX(Crew!$C$6:$C$105,MATCH(G21,Crew!$A$6:$A$105,0)),""))</x:f>
      </x:c>
      <x:c r="I21" s="108"/>
      <x:c r="J21" s="109" t="str">
        <x:f>IF(I21="","",IF(COUNTIFS(Crew!$A$6:$A$105,I21)&gt;0,INDEX(Crew!$C$6:$C$105,MATCH(I21,Crew!$A$6:$A$105,0)),""))</x:f>
      </x:c>
      <x:c r="K21" s="108"/>
      <x:c r="L21" s="109" t="str">
        <x:f>IF(K21="","",IF(COUNTIFS(Crew!$A$6:$A$105,K21)&gt;0,INDEX(Crew!$C$6:$C$105,MATCH(K21,Crew!$A$6:$A$105,0)),""))</x:f>
      </x:c>
      <x:c r="M21" s="90" t="str">
        <x:f>IF(B21="","",62)</x:f>
      </x:c>
      <x:c r="N21" s="107" t="str">
        <x:f>IF(B21="","",SUMIFS(Collections!$G$6:$G$505,Collections!$D$6:$D$505,A21))</x:f>
      </x:c>
      <x:c r="O21" s="98" t="str">
        <x:f>IF(B21="","",SUMIFS(Collections!$J$6:$J$505,Collections!$D$6:$D$505,A21))</x:f>
      </x:c>
      <x:c r="P21" s="98" t="str">
        <x:f>IF(B21="","",SUMIFS(Collections!$K$6:$K$505,Collections!$D$6:$D$505,A21))</x:f>
      </x:c>
      <x:c r="Q21" s="98" t="str">
        <x:f>IF(B21="","",SUMIFS(Collections!$L$6:$L$505,Collections!$D$6:$D$505,A21))</x:f>
      </x:c>
      <x:c r="R21" s="98" t="str">
        <x:f>IF(B21="","",SUMIFS(Collections!$M$6:$M$505,Collections!$D$6:$D$505,A21))</x:f>
      </x:c>
      <x:c r="S21" s="98" t="str">
        <x:f>IF(B21="","",SUMIFS(Collections!$N$6:$N$505,Collections!$D$6:$D$505,A21))</x:f>
      </x:c>
      <x:c r="T21" s="110" t="str">
        <x:f>IF(A21="","",IF(M21&gt;0,N21/M21,""))</x:f>
      </x:c>
    </x:row>
    <x:row r="22" ht="28" customHeight="1">
      <x:c r="A22" s="97" t="str">
        <x:f>IF(B22="","",MAX(Settings!$B$17-1,$A$6:A21)+1)</x:f>
      </x:c>
      <x:c r="B22" s="105"/>
      <x:c r="C22" s="106"/>
      <x:c r="D22" s="90" t="str">
        <x:f>IF(B22="","",IF(COUNTIFS('Route List'!$A$6:$A$305,B22)=1,IF(E22="Return",INDEX('Route List'!$C$6:$C$305,MATCH(B22,'Route List'!$A$6:$A$305,0)),INDEX('Route List'!$B$6:$B$305,MATCH(B22,'Route List'!$A$6:$A$305,0))),""))</x:f>
      </x:c>
      <x:c r="E22" s="107"/>
      <x:c r="F22" s="108"/>
      <x:c r="G22" s="109" t="str">
        <x:f>IF(F22="","",IF(COUNTIFS(Buses!$A$6:$A$105,F22)=1,INDEX(Buses!$B$6:$B$105,MATCH(F22,Buses!$A$6:$A$105,0)),""))</x:f>
      </x:c>
      <x:c r="H22" s="109" t="str">
        <x:f>IF(G22="","",IF(COUNTIFS(Crew!$A$6:$A$105,G22)&gt;0,INDEX(Crew!$C$6:$C$105,MATCH(G22,Crew!$A$6:$A$105,0)),""))</x:f>
      </x:c>
      <x:c r="I22" s="108"/>
      <x:c r="J22" s="109" t="str">
        <x:f>IF(I22="","",IF(COUNTIFS(Crew!$A$6:$A$105,I22)&gt;0,INDEX(Crew!$C$6:$C$105,MATCH(I22,Crew!$A$6:$A$105,0)),""))</x:f>
      </x:c>
      <x:c r="K22" s="108"/>
      <x:c r="L22" s="109" t="str">
        <x:f>IF(K22="","",IF(COUNTIFS(Crew!$A$6:$A$105,K22)&gt;0,INDEX(Crew!$C$6:$C$105,MATCH(K22,Crew!$A$6:$A$105,0)),""))</x:f>
      </x:c>
      <x:c r="M22" s="90" t="str">
        <x:f>IF(B22="","",62)</x:f>
      </x:c>
      <x:c r="N22" s="107" t="str">
        <x:f>IF(B22="","",SUMIFS(Collections!$G$6:$G$505,Collections!$D$6:$D$505,A22))</x:f>
      </x:c>
      <x:c r="O22" s="98" t="str">
        <x:f>IF(B22="","",SUMIFS(Collections!$J$6:$J$505,Collections!$D$6:$D$505,A22))</x:f>
      </x:c>
      <x:c r="P22" s="98" t="str">
        <x:f>IF(B22="","",SUMIFS(Collections!$K$6:$K$505,Collections!$D$6:$D$505,A22))</x:f>
      </x:c>
      <x:c r="Q22" s="98" t="str">
        <x:f>IF(B22="","",SUMIFS(Collections!$L$6:$L$505,Collections!$D$6:$D$505,A22))</x:f>
      </x:c>
      <x:c r="R22" s="98" t="str">
        <x:f>IF(B22="","",SUMIFS(Collections!$M$6:$M$505,Collections!$D$6:$D$505,A22))</x:f>
      </x:c>
      <x:c r="S22" s="98" t="str">
        <x:f>IF(B22="","",SUMIFS(Collections!$N$6:$N$505,Collections!$D$6:$D$505,A22))</x:f>
      </x:c>
      <x:c r="T22" s="110" t="str">
        <x:f>IF(A22="","",IF(M22&gt;0,N22/M22,""))</x:f>
      </x:c>
    </x:row>
    <x:row r="23" ht="28" customHeight="1">
      <x:c r="A23" s="97" t="str">
        <x:f>IF(B23="","",MAX(Settings!$B$17-1,$A$6:A22)+1)</x:f>
      </x:c>
      <x:c r="B23" s="105"/>
      <x:c r="C23" s="106"/>
      <x:c r="D23" s="90" t="str">
        <x:f>IF(B23="","",IF(COUNTIFS('Route List'!$A$6:$A$305,B23)=1,IF(E23="Return",INDEX('Route List'!$C$6:$C$305,MATCH(B23,'Route List'!$A$6:$A$305,0)),INDEX('Route List'!$B$6:$B$305,MATCH(B23,'Route List'!$A$6:$A$305,0))),""))</x:f>
      </x:c>
      <x:c r="E23" s="107"/>
      <x:c r="F23" s="108"/>
      <x:c r="G23" s="109" t="str">
        <x:f>IF(F23="","",IF(COUNTIFS(Buses!$A$6:$A$105,F23)=1,INDEX(Buses!$B$6:$B$105,MATCH(F23,Buses!$A$6:$A$105,0)),""))</x:f>
      </x:c>
      <x:c r="H23" s="109" t="str">
        <x:f>IF(G23="","",IF(COUNTIFS(Crew!$A$6:$A$105,G23)&gt;0,INDEX(Crew!$C$6:$C$105,MATCH(G23,Crew!$A$6:$A$105,0)),""))</x:f>
      </x:c>
      <x:c r="I23" s="108"/>
      <x:c r="J23" s="109" t="str">
        <x:f>IF(I23="","",IF(COUNTIFS(Crew!$A$6:$A$105,I23)&gt;0,INDEX(Crew!$C$6:$C$105,MATCH(I23,Crew!$A$6:$A$105,0)),""))</x:f>
      </x:c>
      <x:c r="K23" s="108"/>
      <x:c r="L23" s="109" t="str">
        <x:f>IF(K23="","",IF(COUNTIFS(Crew!$A$6:$A$105,K23)&gt;0,INDEX(Crew!$C$6:$C$105,MATCH(K23,Crew!$A$6:$A$105,0)),""))</x:f>
      </x:c>
      <x:c r="M23" s="90" t="str">
        <x:f>IF(B23="","",62)</x:f>
      </x:c>
      <x:c r="N23" s="107" t="str">
        <x:f>IF(B23="","",SUMIFS(Collections!$G$6:$G$505,Collections!$D$6:$D$505,A23))</x:f>
      </x:c>
      <x:c r="O23" s="98" t="str">
        <x:f>IF(B23="","",SUMIFS(Collections!$J$6:$J$505,Collections!$D$6:$D$505,A23))</x:f>
      </x:c>
      <x:c r="P23" s="98" t="str">
        <x:f>IF(B23="","",SUMIFS(Collections!$K$6:$K$505,Collections!$D$6:$D$505,A23))</x:f>
      </x:c>
      <x:c r="Q23" s="98" t="str">
        <x:f>IF(B23="","",SUMIFS(Collections!$L$6:$L$505,Collections!$D$6:$D$505,A23))</x:f>
      </x:c>
      <x:c r="R23" s="98" t="str">
        <x:f>IF(B23="","",SUMIFS(Collections!$M$6:$M$505,Collections!$D$6:$D$505,A23))</x:f>
      </x:c>
      <x:c r="S23" s="98" t="str">
        <x:f>IF(B23="","",SUMIFS(Collections!$N$6:$N$505,Collections!$D$6:$D$505,A23))</x:f>
      </x:c>
      <x:c r="T23" s="110" t="str">
        <x:f>IF(A23="","",IF(M23&gt;0,N23/M23,""))</x:f>
      </x:c>
    </x:row>
    <x:row r="24" ht="28" customHeight="1">
      <x:c r="A24" s="97" t="str">
        <x:f>IF(B24="","",MAX(Settings!$B$17-1,$A$6:A23)+1)</x:f>
      </x:c>
      <x:c r="B24" s="105"/>
      <x:c r="C24" s="106"/>
      <x:c r="D24" s="90" t="str">
        <x:f>IF(B24="","",IF(COUNTIFS('Route List'!$A$6:$A$305,B24)=1,IF(E24="Return",INDEX('Route List'!$C$6:$C$305,MATCH(B24,'Route List'!$A$6:$A$305,0)),INDEX('Route List'!$B$6:$B$305,MATCH(B24,'Route List'!$A$6:$A$305,0))),""))</x:f>
      </x:c>
      <x:c r="E24" s="107"/>
      <x:c r="F24" s="108"/>
      <x:c r="G24" s="109" t="str">
        <x:f>IF(F24="","",IF(COUNTIFS(Buses!$A$6:$A$105,F24)=1,INDEX(Buses!$B$6:$B$105,MATCH(F24,Buses!$A$6:$A$105,0)),""))</x:f>
      </x:c>
      <x:c r="H24" s="109" t="str">
        <x:f>IF(G24="","",IF(COUNTIFS(Crew!$A$6:$A$105,G24)&gt;0,INDEX(Crew!$C$6:$C$105,MATCH(G24,Crew!$A$6:$A$105,0)),""))</x:f>
      </x:c>
      <x:c r="I24" s="108"/>
      <x:c r="J24" s="109" t="str">
        <x:f>IF(I24="","",IF(COUNTIFS(Crew!$A$6:$A$105,I24)&gt;0,INDEX(Crew!$C$6:$C$105,MATCH(I24,Crew!$A$6:$A$105,0)),""))</x:f>
      </x:c>
      <x:c r="K24" s="108"/>
      <x:c r="L24" s="109" t="str">
        <x:f>IF(K24="","",IF(COUNTIFS(Crew!$A$6:$A$105,K24)&gt;0,INDEX(Crew!$C$6:$C$105,MATCH(K24,Crew!$A$6:$A$105,0)),""))</x:f>
      </x:c>
      <x:c r="M24" s="90" t="str">
        <x:f>IF(B24="","",62)</x:f>
      </x:c>
      <x:c r="N24" s="107" t="str">
        <x:f>IF(B24="","",SUMIFS(Collections!$G$6:$G$505,Collections!$D$6:$D$505,A24))</x:f>
      </x:c>
      <x:c r="O24" s="98" t="str">
        <x:f>IF(B24="","",SUMIFS(Collections!$J$6:$J$505,Collections!$D$6:$D$505,A24))</x:f>
      </x:c>
      <x:c r="P24" s="98" t="str">
        <x:f>IF(B24="","",SUMIFS(Collections!$K$6:$K$505,Collections!$D$6:$D$505,A24))</x:f>
      </x:c>
      <x:c r="Q24" s="98" t="str">
        <x:f>IF(B24="","",SUMIFS(Collections!$L$6:$L$505,Collections!$D$6:$D$505,A24))</x:f>
      </x:c>
      <x:c r="R24" s="98" t="str">
        <x:f>IF(B24="","",SUMIFS(Collections!$M$6:$M$505,Collections!$D$6:$D$505,A24))</x:f>
      </x:c>
      <x:c r="S24" s="98" t="str">
        <x:f>IF(B24="","",SUMIFS(Collections!$N$6:$N$505,Collections!$D$6:$D$505,A24))</x:f>
      </x:c>
      <x:c r="T24" s="110" t="str">
        <x:f>IF(A24="","",IF(M24&gt;0,N24/M24,""))</x:f>
      </x:c>
    </x:row>
    <x:row r="25" ht="28" customHeight="1">
      <x:c r="A25" s="97" t="str">
        <x:f>IF(B25="","",MAX(Settings!$B$17-1,$A$6:A24)+1)</x:f>
      </x:c>
      <x:c r="B25" s="105"/>
      <x:c r="C25" s="106"/>
      <x:c r="D25" s="90" t="str">
        <x:f>IF(B25="","",IF(COUNTIFS('Route List'!$A$6:$A$305,B25)=1,IF(E25="Return",INDEX('Route List'!$C$6:$C$305,MATCH(B25,'Route List'!$A$6:$A$305,0)),INDEX('Route List'!$B$6:$B$305,MATCH(B25,'Route List'!$A$6:$A$305,0))),""))</x:f>
      </x:c>
      <x:c r="E25" s="107"/>
      <x:c r="F25" s="108"/>
      <x:c r="G25" s="109" t="str">
        <x:f>IF(F25="","",IF(COUNTIFS(Buses!$A$6:$A$105,F25)=1,INDEX(Buses!$B$6:$B$105,MATCH(F25,Buses!$A$6:$A$105,0)),""))</x:f>
      </x:c>
      <x:c r="H25" s="109" t="str">
        <x:f>IF(G25="","",IF(COUNTIFS(Crew!$A$6:$A$105,G25)&gt;0,INDEX(Crew!$C$6:$C$105,MATCH(G25,Crew!$A$6:$A$105,0)),""))</x:f>
      </x:c>
      <x:c r="I25" s="108"/>
      <x:c r="J25" s="109" t="str">
        <x:f>IF(I25="","",IF(COUNTIFS(Crew!$A$6:$A$105,I25)&gt;0,INDEX(Crew!$C$6:$C$105,MATCH(I25,Crew!$A$6:$A$105,0)),""))</x:f>
      </x:c>
      <x:c r="K25" s="108"/>
      <x:c r="L25" s="109" t="str">
        <x:f>IF(K25="","",IF(COUNTIFS(Crew!$A$6:$A$105,K25)&gt;0,INDEX(Crew!$C$6:$C$105,MATCH(K25,Crew!$A$6:$A$105,0)),""))</x:f>
      </x:c>
      <x:c r="M25" s="90" t="str">
        <x:f>IF(B25="","",62)</x:f>
      </x:c>
      <x:c r="N25" s="107" t="str">
        <x:f>IF(B25="","",SUMIFS(Collections!$G$6:$G$505,Collections!$D$6:$D$505,A25))</x:f>
      </x:c>
      <x:c r="O25" s="98" t="str">
        <x:f>IF(B25="","",SUMIFS(Collections!$J$6:$J$505,Collections!$D$6:$D$505,A25))</x:f>
      </x:c>
      <x:c r="P25" s="98" t="str">
        <x:f>IF(B25="","",SUMIFS(Collections!$K$6:$K$505,Collections!$D$6:$D$505,A25))</x:f>
      </x:c>
      <x:c r="Q25" s="98" t="str">
        <x:f>IF(B25="","",SUMIFS(Collections!$L$6:$L$505,Collections!$D$6:$D$505,A25))</x:f>
      </x:c>
      <x:c r="R25" s="98" t="str">
        <x:f>IF(B25="","",SUMIFS(Collections!$M$6:$M$505,Collections!$D$6:$D$505,A25))</x:f>
      </x:c>
      <x:c r="S25" s="98" t="str">
        <x:f>IF(B25="","",SUMIFS(Collections!$N$6:$N$505,Collections!$D$6:$D$505,A25))</x:f>
      </x:c>
      <x:c r="T25" s="110" t="str">
        <x:f>IF(A25="","",IF(M25&gt;0,N25/M25,""))</x:f>
      </x:c>
    </x:row>
    <x:row r="26" ht="28" customHeight="1">
      <x:c r="A26" s="97" t="str">
        <x:f>IF(B26="","",MAX(Settings!$B$17-1,$A$6:A25)+1)</x:f>
      </x:c>
      <x:c r="B26" s="105"/>
      <x:c r="C26" s="106"/>
      <x:c r="D26" s="90" t="str">
        <x:f>IF(B26="","",IF(COUNTIFS('Route List'!$A$6:$A$305,B26)=1,IF(E26="Return",INDEX('Route List'!$C$6:$C$305,MATCH(B26,'Route List'!$A$6:$A$305,0)),INDEX('Route List'!$B$6:$B$305,MATCH(B26,'Route List'!$A$6:$A$305,0))),""))</x:f>
      </x:c>
      <x:c r="E26" s="107"/>
      <x:c r="F26" s="108"/>
      <x:c r="G26" s="109" t="str">
        <x:f>IF(F26="","",IF(COUNTIFS(Buses!$A$6:$A$105,F26)=1,INDEX(Buses!$B$6:$B$105,MATCH(F26,Buses!$A$6:$A$105,0)),""))</x:f>
      </x:c>
      <x:c r="H26" s="109" t="str">
        <x:f>IF(G26="","",IF(COUNTIFS(Crew!$A$6:$A$105,G26)&gt;0,INDEX(Crew!$C$6:$C$105,MATCH(G26,Crew!$A$6:$A$105,0)),""))</x:f>
      </x:c>
      <x:c r="I26" s="108"/>
      <x:c r="J26" s="109" t="str">
        <x:f>IF(I26="","",IF(COUNTIFS(Crew!$A$6:$A$105,I26)&gt;0,INDEX(Crew!$C$6:$C$105,MATCH(I26,Crew!$A$6:$A$105,0)),""))</x:f>
      </x:c>
      <x:c r="K26" s="108"/>
      <x:c r="L26" s="109" t="str">
        <x:f>IF(K26="","",IF(COUNTIFS(Crew!$A$6:$A$105,K26)&gt;0,INDEX(Crew!$C$6:$C$105,MATCH(K26,Crew!$A$6:$A$105,0)),""))</x:f>
      </x:c>
      <x:c r="M26" s="90" t="str">
        <x:f>IF(B26="","",62)</x:f>
      </x:c>
      <x:c r="N26" s="107" t="str">
        <x:f>IF(B26="","",SUMIFS(Collections!$G$6:$G$505,Collections!$D$6:$D$505,A26))</x:f>
      </x:c>
      <x:c r="O26" s="98" t="str">
        <x:f>IF(B26="","",SUMIFS(Collections!$J$6:$J$505,Collections!$D$6:$D$505,A26))</x:f>
      </x:c>
      <x:c r="P26" s="98" t="str">
        <x:f>IF(B26="","",SUMIFS(Collections!$K$6:$K$505,Collections!$D$6:$D$505,A26))</x:f>
      </x:c>
      <x:c r="Q26" s="98" t="str">
        <x:f>IF(B26="","",SUMIFS(Collections!$L$6:$L$505,Collections!$D$6:$D$505,A26))</x:f>
      </x:c>
      <x:c r="R26" s="98" t="str">
        <x:f>IF(B26="","",SUMIFS(Collections!$M$6:$M$505,Collections!$D$6:$D$505,A26))</x:f>
      </x:c>
      <x:c r="S26" s="98" t="str">
        <x:f>IF(B26="","",SUMIFS(Collections!$N$6:$N$505,Collections!$D$6:$D$505,A26))</x:f>
      </x:c>
      <x:c r="T26" s="110" t="str">
        <x:f>IF(A26="","",IF(M26&gt;0,N26/M26,""))</x:f>
      </x:c>
    </x:row>
    <x:row r="27" ht="28" customHeight="1">
      <x:c r="A27" s="97" t="str">
        <x:f>IF(B27="","",MAX(Settings!$B$17-1,$A$6:A26)+1)</x:f>
      </x:c>
      <x:c r="B27" s="105"/>
      <x:c r="C27" s="106"/>
      <x:c r="D27" s="90" t="str">
        <x:f>IF(B27="","",IF(COUNTIFS('Route List'!$A$6:$A$305,B27)=1,IF(E27="Return",INDEX('Route List'!$C$6:$C$305,MATCH(B27,'Route List'!$A$6:$A$305,0)),INDEX('Route List'!$B$6:$B$305,MATCH(B27,'Route List'!$A$6:$A$305,0))),""))</x:f>
      </x:c>
      <x:c r="E27" s="107"/>
      <x:c r="F27" s="108"/>
      <x:c r="G27" s="109" t="str">
        <x:f>IF(F27="","",IF(COUNTIFS(Buses!$A$6:$A$105,F27)=1,INDEX(Buses!$B$6:$B$105,MATCH(F27,Buses!$A$6:$A$105,0)),""))</x:f>
      </x:c>
      <x:c r="H27" s="109" t="str">
        <x:f>IF(G27="","",IF(COUNTIFS(Crew!$A$6:$A$105,G27)&gt;0,INDEX(Crew!$C$6:$C$105,MATCH(G27,Crew!$A$6:$A$105,0)),""))</x:f>
      </x:c>
      <x:c r="I27" s="108"/>
      <x:c r="J27" s="109" t="str">
        <x:f>IF(I27="","",IF(COUNTIFS(Crew!$A$6:$A$105,I27)&gt;0,INDEX(Crew!$C$6:$C$105,MATCH(I27,Crew!$A$6:$A$105,0)),""))</x:f>
      </x:c>
      <x:c r="K27" s="108"/>
      <x:c r="L27" s="109" t="str">
        <x:f>IF(K27="","",IF(COUNTIFS(Crew!$A$6:$A$105,K27)&gt;0,INDEX(Crew!$C$6:$C$105,MATCH(K27,Crew!$A$6:$A$105,0)),""))</x:f>
      </x:c>
      <x:c r="M27" s="90" t="str">
        <x:f>IF(B27="","",62)</x:f>
      </x:c>
      <x:c r="N27" s="107" t="str">
        <x:f>IF(B27="","",SUMIFS(Collections!$G$6:$G$505,Collections!$D$6:$D$505,A27))</x:f>
      </x:c>
      <x:c r="O27" s="98" t="str">
        <x:f>IF(B27="","",SUMIFS(Collections!$J$6:$J$505,Collections!$D$6:$D$505,A27))</x:f>
      </x:c>
      <x:c r="P27" s="98" t="str">
        <x:f>IF(B27="","",SUMIFS(Collections!$K$6:$K$505,Collections!$D$6:$D$505,A27))</x:f>
      </x:c>
      <x:c r="Q27" s="98" t="str">
        <x:f>IF(B27="","",SUMIFS(Collections!$L$6:$L$505,Collections!$D$6:$D$505,A27))</x:f>
      </x:c>
      <x:c r="R27" s="98" t="str">
        <x:f>IF(B27="","",SUMIFS(Collections!$M$6:$M$505,Collections!$D$6:$D$505,A27))</x:f>
      </x:c>
      <x:c r="S27" s="98" t="str">
        <x:f>IF(B27="","",SUMIFS(Collections!$N$6:$N$505,Collections!$D$6:$D$505,A27))</x:f>
      </x:c>
      <x:c r="T27" s="110" t="str">
        <x:f>IF(A27="","",IF(M27&gt;0,N27/M27,""))</x:f>
      </x:c>
    </x:row>
    <x:row r="28" ht="28" customHeight="1">
      <x:c r="A28" s="97" t="str">
        <x:f>IF(B28="","",MAX(Settings!$B$17-1,$A$6:A27)+1)</x:f>
      </x:c>
      <x:c r="B28" s="105"/>
      <x:c r="C28" s="106"/>
      <x:c r="D28" s="90" t="str">
        <x:f>IF(B28="","",IF(COUNTIFS('Route List'!$A$6:$A$305,B28)=1,IF(E28="Return",INDEX('Route List'!$C$6:$C$305,MATCH(B28,'Route List'!$A$6:$A$305,0)),INDEX('Route List'!$B$6:$B$305,MATCH(B28,'Route List'!$A$6:$A$305,0))),""))</x:f>
      </x:c>
      <x:c r="E28" s="107"/>
      <x:c r="F28" s="108"/>
      <x:c r="G28" s="109" t="str">
        <x:f>IF(F28="","",IF(COUNTIFS(Buses!$A$6:$A$105,F28)=1,INDEX(Buses!$B$6:$B$105,MATCH(F28,Buses!$A$6:$A$105,0)),""))</x:f>
      </x:c>
      <x:c r="H28" s="109" t="str">
        <x:f>IF(G28="","",IF(COUNTIFS(Crew!$A$6:$A$105,G28)&gt;0,INDEX(Crew!$C$6:$C$105,MATCH(G28,Crew!$A$6:$A$105,0)),""))</x:f>
      </x:c>
      <x:c r="I28" s="108"/>
      <x:c r="J28" s="109" t="str">
        <x:f>IF(I28="","",IF(COUNTIFS(Crew!$A$6:$A$105,I28)&gt;0,INDEX(Crew!$C$6:$C$105,MATCH(I28,Crew!$A$6:$A$105,0)),""))</x:f>
      </x:c>
      <x:c r="K28" s="108"/>
      <x:c r="L28" s="109" t="str">
        <x:f>IF(K28="","",IF(COUNTIFS(Crew!$A$6:$A$105,K28)&gt;0,INDEX(Crew!$C$6:$C$105,MATCH(K28,Crew!$A$6:$A$105,0)),""))</x:f>
      </x:c>
      <x:c r="M28" s="90" t="str">
        <x:f>IF(B28="","",62)</x:f>
      </x:c>
      <x:c r="N28" s="107" t="str">
        <x:f>IF(B28="","",SUMIFS(Collections!$G$6:$G$505,Collections!$D$6:$D$505,A28))</x:f>
      </x:c>
      <x:c r="O28" s="98" t="str">
        <x:f>IF(B28="","",SUMIFS(Collections!$J$6:$J$505,Collections!$D$6:$D$505,A28))</x:f>
      </x:c>
      <x:c r="P28" s="98" t="str">
        <x:f>IF(B28="","",SUMIFS(Collections!$K$6:$K$505,Collections!$D$6:$D$505,A28))</x:f>
      </x:c>
      <x:c r="Q28" s="98" t="str">
        <x:f>IF(B28="","",SUMIFS(Collections!$L$6:$L$505,Collections!$D$6:$D$505,A28))</x:f>
      </x:c>
      <x:c r="R28" s="98" t="str">
        <x:f>IF(B28="","",SUMIFS(Collections!$M$6:$M$505,Collections!$D$6:$D$505,A28))</x:f>
      </x:c>
      <x:c r="S28" s="98" t="str">
        <x:f>IF(B28="","",SUMIFS(Collections!$N$6:$N$505,Collections!$D$6:$D$505,A28))</x:f>
      </x:c>
      <x:c r="T28" s="110" t="str">
        <x:f>IF(A28="","",IF(M28&gt;0,N28/M28,""))</x:f>
      </x:c>
    </x:row>
    <x:row r="29" ht="28" customHeight="1">
      <x:c r="A29" s="97" t="str">
        <x:f>IF(B29="","",MAX(Settings!$B$17-1,$A$6:A28)+1)</x:f>
      </x:c>
      <x:c r="B29" s="105"/>
      <x:c r="C29" s="106"/>
      <x:c r="D29" s="90" t="str">
        <x:f>IF(B29="","",IF(COUNTIFS('Route List'!$A$6:$A$305,B29)=1,IF(E29="Return",INDEX('Route List'!$C$6:$C$305,MATCH(B29,'Route List'!$A$6:$A$305,0)),INDEX('Route List'!$B$6:$B$305,MATCH(B29,'Route List'!$A$6:$A$305,0))),""))</x:f>
      </x:c>
      <x:c r="E29" s="107"/>
      <x:c r="F29" s="108"/>
      <x:c r="G29" s="109" t="str">
        <x:f>IF(F29="","",IF(COUNTIFS(Buses!$A$6:$A$105,F29)=1,INDEX(Buses!$B$6:$B$105,MATCH(F29,Buses!$A$6:$A$105,0)),""))</x:f>
      </x:c>
      <x:c r="H29" s="109" t="str">
        <x:f>IF(G29="","",IF(COUNTIFS(Crew!$A$6:$A$105,G29)&gt;0,INDEX(Crew!$C$6:$C$105,MATCH(G29,Crew!$A$6:$A$105,0)),""))</x:f>
      </x:c>
      <x:c r="I29" s="108"/>
      <x:c r="J29" s="109" t="str">
        <x:f>IF(I29="","",IF(COUNTIFS(Crew!$A$6:$A$105,I29)&gt;0,INDEX(Crew!$C$6:$C$105,MATCH(I29,Crew!$A$6:$A$105,0)),""))</x:f>
      </x:c>
      <x:c r="K29" s="108"/>
      <x:c r="L29" s="109" t="str">
        <x:f>IF(K29="","",IF(COUNTIFS(Crew!$A$6:$A$105,K29)&gt;0,INDEX(Crew!$C$6:$C$105,MATCH(K29,Crew!$A$6:$A$105,0)),""))</x:f>
      </x:c>
      <x:c r="M29" s="90" t="str">
        <x:f>IF(B29="","",62)</x:f>
      </x:c>
      <x:c r="N29" s="107" t="str">
        <x:f>IF(B29="","",SUMIFS(Collections!$G$6:$G$505,Collections!$D$6:$D$505,A29))</x:f>
      </x:c>
      <x:c r="O29" s="98" t="str">
        <x:f>IF(B29="","",SUMIFS(Collections!$J$6:$J$505,Collections!$D$6:$D$505,A29))</x:f>
      </x:c>
      <x:c r="P29" s="98" t="str">
        <x:f>IF(B29="","",SUMIFS(Collections!$K$6:$K$505,Collections!$D$6:$D$505,A29))</x:f>
      </x:c>
      <x:c r="Q29" s="98" t="str">
        <x:f>IF(B29="","",SUMIFS(Collections!$L$6:$L$505,Collections!$D$6:$D$505,A29))</x:f>
      </x:c>
      <x:c r="R29" s="98" t="str">
        <x:f>IF(B29="","",SUMIFS(Collections!$M$6:$M$505,Collections!$D$6:$D$505,A29))</x:f>
      </x:c>
      <x:c r="S29" s="98" t="str">
        <x:f>IF(B29="","",SUMIFS(Collections!$N$6:$N$505,Collections!$D$6:$D$505,A29))</x:f>
      </x:c>
      <x:c r="T29" s="110" t="str">
        <x:f>IF(A29="","",IF(M29&gt;0,N29/M29,""))</x:f>
      </x:c>
    </x:row>
    <x:row r="30" ht="28" customHeight="1">
      <x:c r="A30" s="97" t="str">
        <x:f>IF(B30="","",MAX(Settings!$B$17-1,$A$6:A29)+1)</x:f>
      </x:c>
      <x:c r="B30" s="105"/>
      <x:c r="C30" s="106"/>
      <x:c r="D30" s="90" t="str">
        <x:f>IF(B30="","",IF(COUNTIFS('Route List'!$A$6:$A$305,B30)=1,IF(E30="Return",INDEX('Route List'!$C$6:$C$305,MATCH(B30,'Route List'!$A$6:$A$305,0)),INDEX('Route List'!$B$6:$B$305,MATCH(B30,'Route List'!$A$6:$A$305,0))),""))</x:f>
      </x:c>
      <x:c r="E30" s="107"/>
      <x:c r="F30" s="108"/>
      <x:c r="G30" s="109" t="str">
        <x:f>IF(F30="","",IF(COUNTIFS(Buses!$A$6:$A$105,F30)=1,INDEX(Buses!$B$6:$B$105,MATCH(F30,Buses!$A$6:$A$105,0)),""))</x:f>
      </x:c>
      <x:c r="H30" s="109" t="str">
        <x:f>IF(G30="","",IF(COUNTIFS(Crew!$A$6:$A$105,G30)&gt;0,INDEX(Crew!$C$6:$C$105,MATCH(G30,Crew!$A$6:$A$105,0)),""))</x:f>
      </x:c>
      <x:c r="I30" s="108"/>
      <x:c r="J30" s="109" t="str">
        <x:f>IF(I30="","",IF(COUNTIFS(Crew!$A$6:$A$105,I30)&gt;0,INDEX(Crew!$C$6:$C$105,MATCH(I30,Crew!$A$6:$A$105,0)),""))</x:f>
      </x:c>
      <x:c r="K30" s="108"/>
      <x:c r="L30" s="109" t="str">
        <x:f>IF(K30="","",IF(COUNTIFS(Crew!$A$6:$A$105,K30)&gt;0,INDEX(Crew!$C$6:$C$105,MATCH(K30,Crew!$A$6:$A$105,0)),""))</x:f>
      </x:c>
      <x:c r="M30" s="90" t="str">
        <x:f>IF(B30="","",62)</x:f>
      </x:c>
      <x:c r="N30" s="107" t="str">
        <x:f>IF(B30="","",SUMIFS(Collections!$G$6:$G$505,Collections!$D$6:$D$505,A30))</x:f>
      </x:c>
      <x:c r="O30" s="98" t="str">
        <x:f>IF(B30="","",SUMIFS(Collections!$J$6:$J$505,Collections!$D$6:$D$505,A30))</x:f>
      </x:c>
      <x:c r="P30" s="98" t="str">
        <x:f>IF(B30="","",SUMIFS(Collections!$K$6:$K$505,Collections!$D$6:$D$505,A30))</x:f>
      </x:c>
      <x:c r="Q30" s="98" t="str">
        <x:f>IF(B30="","",SUMIFS(Collections!$L$6:$L$505,Collections!$D$6:$D$505,A30))</x:f>
      </x:c>
      <x:c r="R30" s="98" t="str">
        <x:f>IF(B30="","",SUMIFS(Collections!$M$6:$M$505,Collections!$D$6:$D$505,A30))</x:f>
      </x:c>
      <x:c r="S30" s="98" t="str">
        <x:f>IF(B30="","",SUMIFS(Collections!$N$6:$N$505,Collections!$D$6:$D$505,A30))</x:f>
      </x:c>
      <x:c r="T30" s="110" t="str">
        <x:f>IF(A30="","",IF(M30&gt;0,N30/M30,""))</x:f>
      </x:c>
    </x:row>
    <x:row r="31" ht="28" customHeight="1">
      <x:c r="A31" s="97" t="str">
        <x:f>IF(B31="","",MAX(Settings!$B$17-1,$A$6:A30)+1)</x:f>
      </x:c>
      <x:c r="B31" s="105"/>
      <x:c r="C31" s="106"/>
      <x:c r="D31" s="90" t="str">
        <x:f>IF(B31="","",IF(COUNTIFS('Route List'!$A$6:$A$305,B31)=1,IF(E31="Return",INDEX('Route List'!$C$6:$C$305,MATCH(B31,'Route List'!$A$6:$A$305,0)),INDEX('Route List'!$B$6:$B$305,MATCH(B31,'Route List'!$A$6:$A$305,0))),""))</x:f>
      </x:c>
      <x:c r="E31" s="107"/>
      <x:c r="F31" s="108"/>
      <x:c r="G31" s="109" t="str">
        <x:f>IF(F31="","",IF(COUNTIFS(Buses!$A$6:$A$105,F31)=1,INDEX(Buses!$B$6:$B$105,MATCH(F31,Buses!$A$6:$A$105,0)),""))</x:f>
      </x:c>
      <x:c r="H31" s="109" t="str">
        <x:f>IF(G31="","",IF(COUNTIFS(Crew!$A$6:$A$105,G31)&gt;0,INDEX(Crew!$C$6:$C$105,MATCH(G31,Crew!$A$6:$A$105,0)),""))</x:f>
      </x:c>
      <x:c r="I31" s="108"/>
      <x:c r="J31" s="109" t="str">
        <x:f>IF(I31="","",IF(COUNTIFS(Crew!$A$6:$A$105,I31)&gt;0,INDEX(Crew!$C$6:$C$105,MATCH(I31,Crew!$A$6:$A$105,0)),""))</x:f>
      </x:c>
      <x:c r="K31" s="108"/>
      <x:c r="L31" s="109" t="str">
        <x:f>IF(K31="","",IF(COUNTIFS(Crew!$A$6:$A$105,K31)&gt;0,INDEX(Crew!$C$6:$C$105,MATCH(K31,Crew!$A$6:$A$105,0)),""))</x:f>
      </x:c>
      <x:c r="M31" s="90" t="str">
        <x:f>IF(B31="","",62)</x:f>
      </x:c>
      <x:c r="N31" s="107" t="str">
        <x:f>IF(B31="","",SUMIFS(Collections!$G$6:$G$505,Collections!$D$6:$D$505,A31))</x:f>
      </x:c>
      <x:c r="O31" s="98" t="str">
        <x:f>IF(B31="","",SUMIFS(Collections!$J$6:$J$505,Collections!$D$6:$D$505,A31))</x:f>
      </x:c>
      <x:c r="P31" s="98" t="str">
        <x:f>IF(B31="","",SUMIFS(Collections!$K$6:$K$505,Collections!$D$6:$D$505,A31))</x:f>
      </x:c>
      <x:c r="Q31" s="98" t="str">
        <x:f>IF(B31="","",SUMIFS(Collections!$L$6:$L$505,Collections!$D$6:$D$505,A31))</x:f>
      </x:c>
      <x:c r="R31" s="98" t="str">
        <x:f>IF(B31="","",SUMIFS(Collections!$M$6:$M$505,Collections!$D$6:$D$505,A31))</x:f>
      </x:c>
      <x:c r="S31" s="98" t="str">
        <x:f>IF(B31="","",SUMIFS(Collections!$N$6:$N$505,Collections!$D$6:$D$505,A31))</x:f>
      </x:c>
      <x:c r="T31" s="110" t="str">
        <x:f>IF(A31="","",IF(M31&gt;0,N31/M31,""))</x:f>
      </x:c>
    </x:row>
    <x:row r="32" ht="28" customHeight="1">
      <x:c r="A32" s="97" t="str">
        <x:f>IF(B32="","",MAX(Settings!$B$17-1,$A$6:A31)+1)</x:f>
      </x:c>
      <x:c r="B32" s="105"/>
      <x:c r="C32" s="106"/>
      <x:c r="D32" s="90" t="str">
        <x:f>IF(B32="","",IF(COUNTIFS('Route List'!$A$6:$A$305,B32)=1,IF(E32="Return",INDEX('Route List'!$C$6:$C$305,MATCH(B32,'Route List'!$A$6:$A$305,0)),INDEX('Route List'!$B$6:$B$305,MATCH(B32,'Route List'!$A$6:$A$305,0))),""))</x:f>
      </x:c>
      <x:c r="E32" s="107"/>
      <x:c r="F32" s="108"/>
      <x:c r="G32" s="109" t="str">
        <x:f>IF(F32="","",IF(COUNTIFS(Buses!$A$6:$A$105,F32)=1,INDEX(Buses!$B$6:$B$105,MATCH(F32,Buses!$A$6:$A$105,0)),""))</x:f>
      </x:c>
      <x:c r="H32" s="109" t="str">
        <x:f>IF(G32="","",IF(COUNTIFS(Crew!$A$6:$A$105,G32)&gt;0,INDEX(Crew!$C$6:$C$105,MATCH(G32,Crew!$A$6:$A$105,0)),""))</x:f>
      </x:c>
      <x:c r="I32" s="108"/>
      <x:c r="J32" s="109" t="str">
        <x:f>IF(I32="","",IF(COUNTIFS(Crew!$A$6:$A$105,I32)&gt;0,INDEX(Crew!$C$6:$C$105,MATCH(I32,Crew!$A$6:$A$105,0)),""))</x:f>
      </x:c>
      <x:c r="K32" s="108"/>
      <x:c r="L32" s="109" t="str">
        <x:f>IF(K32="","",IF(COUNTIFS(Crew!$A$6:$A$105,K32)&gt;0,INDEX(Crew!$C$6:$C$105,MATCH(K32,Crew!$A$6:$A$105,0)),""))</x:f>
      </x:c>
      <x:c r="M32" s="90" t="str">
        <x:f>IF(B32="","",62)</x:f>
      </x:c>
      <x:c r="N32" s="107" t="str">
        <x:f>IF(B32="","",SUMIFS(Collections!$G$6:$G$505,Collections!$D$6:$D$505,A32))</x:f>
      </x:c>
      <x:c r="O32" s="98" t="str">
        <x:f>IF(B32="","",SUMIFS(Collections!$J$6:$J$505,Collections!$D$6:$D$505,A32))</x:f>
      </x:c>
      <x:c r="P32" s="98" t="str">
        <x:f>IF(B32="","",SUMIFS(Collections!$K$6:$K$505,Collections!$D$6:$D$505,A32))</x:f>
      </x:c>
      <x:c r="Q32" s="98" t="str">
        <x:f>IF(B32="","",SUMIFS(Collections!$L$6:$L$505,Collections!$D$6:$D$505,A32))</x:f>
      </x:c>
      <x:c r="R32" s="98" t="str">
        <x:f>IF(B32="","",SUMIFS(Collections!$M$6:$M$505,Collections!$D$6:$D$505,A32))</x:f>
      </x:c>
      <x:c r="S32" s="98" t="str">
        <x:f>IF(B32="","",SUMIFS(Collections!$N$6:$N$505,Collections!$D$6:$D$505,A32))</x:f>
      </x:c>
      <x:c r="T32" s="110" t="str">
        <x:f>IF(A32="","",IF(M32&gt;0,N32/M32,""))</x:f>
      </x:c>
    </x:row>
    <x:row r="33" ht="28" customHeight="1">
      <x:c r="A33" s="97" t="str">
        <x:f>IF(B33="","",MAX(Settings!$B$17-1,$A$6:A32)+1)</x:f>
      </x:c>
      <x:c r="B33" s="105"/>
      <x:c r="C33" s="106"/>
      <x:c r="D33" s="90" t="str">
        <x:f>IF(B33="","",IF(COUNTIFS('Route List'!$A$6:$A$305,B33)=1,IF(E33="Return",INDEX('Route List'!$C$6:$C$305,MATCH(B33,'Route List'!$A$6:$A$305,0)),INDEX('Route List'!$B$6:$B$305,MATCH(B33,'Route List'!$A$6:$A$305,0))),""))</x:f>
      </x:c>
      <x:c r="E33" s="107"/>
      <x:c r="F33" s="108"/>
      <x:c r="G33" s="109" t="str">
        <x:f>IF(F33="","",IF(COUNTIFS(Buses!$A$6:$A$105,F33)=1,INDEX(Buses!$B$6:$B$105,MATCH(F33,Buses!$A$6:$A$105,0)),""))</x:f>
      </x:c>
      <x:c r="H33" s="109" t="str">
        <x:f>IF(G33="","",IF(COUNTIFS(Crew!$A$6:$A$105,G33)&gt;0,INDEX(Crew!$C$6:$C$105,MATCH(G33,Crew!$A$6:$A$105,0)),""))</x:f>
      </x:c>
      <x:c r="I33" s="108"/>
      <x:c r="J33" s="109" t="str">
        <x:f>IF(I33="","",IF(COUNTIFS(Crew!$A$6:$A$105,I33)&gt;0,INDEX(Crew!$C$6:$C$105,MATCH(I33,Crew!$A$6:$A$105,0)),""))</x:f>
      </x:c>
      <x:c r="K33" s="108"/>
      <x:c r="L33" s="109" t="str">
        <x:f>IF(K33="","",IF(COUNTIFS(Crew!$A$6:$A$105,K33)&gt;0,INDEX(Crew!$C$6:$C$105,MATCH(K33,Crew!$A$6:$A$105,0)),""))</x:f>
      </x:c>
      <x:c r="M33" s="90" t="str">
        <x:f>IF(B33="","",62)</x:f>
      </x:c>
      <x:c r="N33" s="107" t="str">
        <x:f>IF(B33="","",SUMIFS(Collections!$G$6:$G$505,Collections!$D$6:$D$505,A33))</x:f>
      </x:c>
      <x:c r="O33" s="98" t="str">
        <x:f>IF(B33="","",SUMIFS(Collections!$J$6:$J$505,Collections!$D$6:$D$505,A33))</x:f>
      </x:c>
      <x:c r="P33" s="98" t="str">
        <x:f>IF(B33="","",SUMIFS(Collections!$K$6:$K$505,Collections!$D$6:$D$505,A33))</x:f>
      </x:c>
      <x:c r="Q33" s="98" t="str">
        <x:f>IF(B33="","",SUMIFS(Collections!$L$6:$L$505,Collections!$D$6:$D$505,A33))</x:f>
      </x:c>
      <x:c r="R33" s="98" t="str">
        <x:f>IF(B33="","",SUMIFS(Collections!$M$6:$M$505,Collections!$D$6:$D$505,A33))</x:f>
      </x:c>
      <x:c r="S33" s="98" t="str">
        <x:f>IF(B33="","",SUMIFS(Collections!$N$6:$N$505,Collections!$D$6:$D$505,A33))</x:f>
      </x:c>
      <x:c r="T33" s="110" t="str">
        <x:f>IF(A33="","",IF(M33&gt;0,N33/M33,""))</x:f>
      </x:c>
    </x:row>
    <x:row r="34" ht="28" customHeight="1">
      <x:c r="A34" s="97" t="str">
        <x:f>IF(B34="","",MAX(Settings!$B$17-1,$A$6:A33)+1)</x:f>
      </x:c>
      <x:c r="B34" s="105"/>
      <x:c r="C34" s="106"/>
      <x:c r="D34" s="90" t="str">
        <x:f>IF(B34="","",IF(COUNTIFS('Route List'!$A$6:$A$305,B34)=1,IF(E34="Return",INDEX('Route List'!$C$6:$C$305,MATCH(B34,'Route List'!$A$6:$A$305,0)),INDEX('Route List'!$B$6:$B$305,MATCH(B34,'Route List'!$A$6:$A$305,0))),""))</x:f>
      </x:c>
      <x:c r="E34" s="107"/>
      <x:c r="F34" s="108"/>
      <x:c r="G34" s="109" t="str">
        <x:f>IF(F34="","",IF(COUNTIFS(Buses!$A$6:$A$105,F34)=1,INDEX(Buses!$B$6:$B$105,MATCH(F34,Buses!$A$6:$A$105,0)),""))</x:f>
      </x:c>
      <x:c r="H34" s="109" t="str">
        <x:f>IF(G34="","",IF(COUNTIFS(Crew!$A$6:$A$105,G34)&gt;0,INDEX(Crew!$C$6:$C$105,MATCH(G34,Crew!$A$6:$A$105,0)),""))</x:f>
      </x:c>
      <x:c r="I34" s="108"/>
      <x:c r="J34" s="109" t="str">
        <x:f>IF(I34="","",IF(COUNTIFS(Crew!$A$6:$A$105,I34)&gt;0,INDEX(Crew!$C$6:$C$105,MATCH(I34,Crew!$A$6:$A$105,0)),""))</x:f>
      </x:c>
      <x:c r="K34" s="108"/>
      <x:c r="L34" s="109" t="str">
        <x:f>IF(K34="","",IF(COUNTIFS(Crew!$A$6:$A$105,K34)&gt;0,INDEX(Crew!$C$6:$C$105,MATCH(K34,Crew!$A$6:$A$105,0)),""))</x:f>
      </x:c>
      <x:c r="M34" s="90" t="str">
        <x:f>IF(B34="","",62)</x:f>
      </x:c>
      <x:c r="N34" s="107" t="str">
        <x:f>IF(B34="","",SUMIFS(Collections!$G$6:$G$505,Collections!$D$6:$D$505,A34))</x:f>
      </x:c>
      <x:c r="O34" s="98" t="str">
        <x:f>IF(B34="","",SUMIFS(Collections!$J$6:$J$505,Collections!$D$6:$D$505,A34))</x:f>
      </x:c>
      <x:c r="P34" s="98" t="str">
        <x:f>IF(B34="","",SUMIFS(Collections!$K$6:$K$505,Collections!$D$6:$D$505,A34))</x:f>
      </x:c>
      <x:c r="Q34" s="98" t="str">
        <x:f>IF(B34="","",SUMIFS(Collections!$L$6:$L$505,Collections!$D$6:$D$505,A34))</x:f>
      </x:c>
      <x:c r="R34" s="98" t="str">
        <x:f>IF(B34="","",SUMIFS(Collections!$M$6:$M$505,Collections!$D$6:$D$505,A34))</x:f>
      </x:c>
      <x:c r="S34" s="98" t="str">
        <x:f>IF(B34="","",SUMIFS(Collections!$N$6:$N$505,Collections!$D$6:$D$505,A34))</x:f>
      </x:c>
      <x:c r="T34" s="110" t="str">
        <x:f>IF(A34="","",IF(M34&gt;0,N34/M34,""))</x:f>
      </x:c>
    </x:row>
    <x:row r="35" ht="28" customHeight="1">
      <x:c r="A35" s="97" t="str">
        <x:f>IF(B35="","",MAX(Settings!$B$17-1,$A$6:A34)+1)</x:f>
      </x:c>
      <x:c r="B35" s="105"/>
      <x:c r="C35" s="106"/>
      <x:c r="D35" s="90" t="str">
        <x:f>IF(B35="","",IF(COUNTIFS('Route List'!$A$6:$A$305,B35)=1,IF(E35="Return",INDEX('Route List'!$C$6:$C$305,MATCH(B35,'Route List'!$A$6:$A$305,0)),INDEX('Route List'!$B$6:$B$305,MATCH(B35,'Route List'!$A$6:$A$305,0))),""))</x:f>
      </x:c>
      <x:c r="E35" s="107"/>
      <x:c r="F35" s="108"/>
      <x:c r="G35" s="109" t="str">
        <x:f>IF(F35="","",IF(COUNTIFS(Buses!$A$6:$A$105,F35)=1,INDEX(Buses!$B$6:$B$105,MATCH(F35,Buses!$A$6:$A$105,0)),""))</x:f>
      </x:c>
      <x:c r="H35" s="109" t="str">
        <x:f>IF(G35="","",IF(COUNTIFS(Crew!$A$6:$A$105,G35)&gt;0,INDEX(Crew!$C$6:$C$105,MATCH(G35,Crew!$A$6:$A$105,0)),""))</x:f>
      </x:c>
      <x:c r="I35" s="108"/>
      <x:c r="J35" s="109" t="str">
        <x:f>IF(I35="","",IF(COUNTIFS(Crew!$A$6:$A$105,I35)&gt;0,INDEX(Crew!$C$6:$C$105,MATCH(I35,Crew!$A$6:$A$105,0)),""))</x:f>
      </x:c>
      <x:c r="K35" s="108"/>
      <x:c r="L35" s="109" t="str">
        <x:f>IF(K35="","",IF(COUNTIFS(Crew!$A$6:$A$105,K35)&gt;0,INDEX(Crew!$C$6:$C$105,MATCH(K35,Crew!$A$6:$A$105,0)),""))</x:f>
      </x:c>
      <x:c r="M35" s="90" t="str">
        <x:f>IF(B35="","",62)</x:f>
      </x:c>
      <x:c r="N35" s="107" t="str">
        <x:f>IF(B35="","",SUMIFS(Collections!$G$6:$G$505,Collections!$D$6:$D$505,A35))</x:f>
      </x:c>
      <x:c r="O35" s="98" t="str">
        <x:f>IF(B35="","",SUMIFS(Collections!$J$6:$J$505,Collections!$D$6:$D$505,A35))</x:f>
      </x:c>
      <x:c r="P35" s="98" t="str">
        <x:f>IF(B35="","",SUMIFS(Collections!$K$6:$K$505,Collections!$D$6:$D$505,A35))</x:f>
      </x:c>
      <x:c r="Q35" s="98" t="str">
        <x:f>IF(B35="","",SUMIFS(Collections!$L$6:$L$505,Collections!$D$6:$D$505,A35))</x:f>
      </x:c>
      <x:c r="R35" s="98" t="str">
        <x:f>IF(B35="","",SUMIFS(Collections!$M$6:$M$505,Collections!$D$6:$D$505,A35))</x:f>
      </x:c>
      <x:c r="S35" s="98" t="str">
        <x:f>IF(B35="","",SUMIFS(Collections!$N$6:$N$505,Collections!$D$6:$D$505,A35))</x:f>
      </x:c>
      <x:c r="T35" s="110" t="str">
        <x:f>IF(A35="","",IF(M35&gt;0,N35/M35,""))</x:f>
      </x:c>
    </x:row>
    <x:row r="36" ht="28" customHeight="1">
      <x:c r="A36" s="97" t="str">
        <x:f>IF(B36="","",MAX(Settings!$B$17-1,$A$6:A35)+1)</x:f>
      </x:c>
      <x:c r="B36" s="105"/>
      <x:c r="C36" s="106"/>
      <x:c r="D36" s="90" t="str">
        <x:f>IF(B36="","",IF(COUNTIFS('Route List'!$A$6:$A$305,B36)=1,IF(E36="Return",INDEX('Route List'!$C$6:$C$305,MATCH(B36,'Route List'!$A$6:$A$305,0)),INDEX('Route List'!$B$6:$B$305,MATCH(B36,'Route List'!$A$6:$A$305,0))),""))</x:f>
      </x:c>
      <x:c r="E36" s="107"/>
      <x:c r="F36" s="108"/>
      <x:c r="G36" s="109" t="str">
        <x:f>IF(F36="","",IF(COUNTIFS(Buses!$A$6:$A$105,F36)=1,INDEX(Buses!$B$6:$B$105,MATCH(F36,Buses!$A$6:$A$105,0)),""))</x:f>
      </x:c>
      <x:c r="H36" s="109" t="str">
        <x:f>IF(G36="","",IF(COUNTIFS(Crew!$A$6:$A$105,G36)&gt;0,INDEX(Crew!$C$6:$C$105,MATCH(G36,Crew!$A$6:$A$105,0)),""))</x:f>
      </x:c>
      <x:c r="I36" s="108"/>
      <x:c r="J36" s="109" t="str">
        <x:f>IF(I36="","",IF(COUNTIFS(Crew!$A$6:$A$105,I36)&gt;0,INDEX(Crew!$C$6:$C$105,MATCH(I36,Crew!$A$6:$A$105,0)),""))</x:f>
      </x:c>
      <x:c r="K36" s="108"/>
      <x:c r="L36" s="109" t="str">
        <x:f>IF(K36="","",IF(COUNTIFS(Crew!$A$6:$A$105,K36)&gt;0,INDEX(Crew!$C$6:$C$105,MATCH(K36,Crew!$A$6:$A$105,0)),""))</x:f>
      </x:c>
      <x:c r="M36" s="90" t="str">
        <x:f>IF(B36="","",62)</x:f>
      </x:c>
      <x:c r="N36" s="107" t="str">
        <x:f>IF(B36="","",SUMIFS(Collections!$G$6:$G$505,Collections!$D$6:$D$505,A36))</x:f>
      </x:c>
      <x:c r="O36" s="98" t="str">
        <x:f>IF(B36="","",SUMIFS(Collections!$J$6:$J$505,Collections!$D$6:$D$505,A36))</x:f>
      </x:c>
      <x:c r="P36" s="98" t="str">
        <x:f>IF(B36="","",SUMIFS(Collections!$K$6:$K$505,Collections!$D$6:$D$505,A36))</x:f>
      </x:c>
      <x:c r="Q36" s="98" t="str">
        <x:f>IF(B36="","",SUMIFS(Collections!$L$6:$L$505,Collections!$D$6:$D$505,A36))</x:f>
      </x:c>
      <x:c r="R36" s="98" t="str">
        <x:f>IF(B36="","",SUMIFS(Collections!$M$6:$M$505,Collections!$D$6:$D$505,A36))</x:f>
      </x:c>
      <x:c r="S36" s="98" t="str">
        <x:f>IF(B36="","",SUMIFS(Collections!$N$6:$N$505,Collections!$D$6:$D$505,A36))</x:f>
      </x:c>
      <x:c r="T36" s="110" t="str">
        <x:f>IF(A36="","",IF(M36&gt;0,N36/M36,""))</x:f>
      </x:c>
    </x:row>
    <x:row r="37" ht="28" customHeight="1">
      <x:c r="A37" s="97" t="str">
        <x:f>IF(B37="","",MAX(Settings!$B$17-1,$A$6:A36)+1)</x:f>
      </x:c>
      <x:c r="B37" s="105"/>
      <x:c r="C37" s="106"/>
      <x:c r="D37" s="90" t="str">
        <x:f>IF(B37="","",IF(COUNTIFS('Route List'!$A$6:$A$305,B37)=1,IF(E37="Return",INDEX('Route List'!$C$6:$C$305,MATCH(B37,'Route List'!$A$6:$A$305,0)),INDEX('Route List'!$B$6:$B$305,MATCH(B37,'Route List'!$A$6:$A$305,0))),""))</x:f>
      </x:c>
      <x:c r="E37" s="107"/>
      <x:c r="F37" s="108"/>
      <x:c r="G37" s="109" t="str">
        <x:f>IF(F37="","",IF(COUNTIFS(Buses!$A$6:$A$105,F37)=1,INDEX(Buses!$B$6:$B$105,MATCH(F37,Buses!$A$6:$A$105,0)),""))</x:f>
      </x:c>
      <x:c r="H37" s="109" t="str">
        <x:f>IF(G37="","",IF(COUNTIFS(Crew!$A$6:$A$105,G37)&gt;0,INDEX(Crew!$C$6:$C$105,MATCH(G37,Crew!$A$6:$A$105,0)),""))</x:f>
      </x:c>
      <x:c r="I37" s="108"/>
      <x:c r="J37" s="109" t="str">
        <x:f>IF(I37="","",IF(COUNTIFS(Crew!$A$6:$A$105,I37)&gt;0,INDEX(Crew!$C$6:$C$105,MATCH(I37,Crew!$A$6:$A$105,0)),""))</x:f>
      </x:c>
      <x:c r="K37" s="108"/>
      <x:c r="L37" s="109" t="str">
        <x:f>IF(K37="","",IF(COUNTIFS(Crew!$A$6:$A$105,K37)&gt;0,INDEX(Crew!$C$6:$C$105,MATCH(K37,Crew!$A$6:$A$105,0)),""))</x:f>
      </x:c>
      <x:c r="M37" s="90" t="str">
        <x:f>IF(B37="","",62)</x:f>
      </x:c>
      <x:c r="N37" s="107" t="str">
        <x:f>IF(B37="","",SUMIFS(Collections!$G$6:$G$505,Collections!$D$6:$D$505,A37))</x:f>
      </x:c>
      <x:c r="O37" s="98" t="str">
        <x:f>IF(B37="","",SUMIFS(Collections!$J$6:$J$505,Collections!$D$6:$D$505,A37))</x:f>
      </x:c>
      <x:c r="P37" s="98" t="str">
        <x:f>IF(B37="","",SUMIFS(Collections!$K$6:$K$505,Collections!$D$6:$D$505,A37))</x:f>
      </x:c>
      <x:c r="Q37" s="98" t="str">
        <x:f>IF(B37="","",SUMIFS(Collections!$L$6:$L$505,Collections!$D$6:$D$505,A37))</x:f>
      </x:c>
      <x:c r="R37" s="98" t="str">
        <x:f>IF(B37="","",SUMIFS(Collections!$M$6:$M$505,Collections!$D$6:$D$505,A37))</x:f>
      </x:c>
      <x:c r="S37" s="98" t="str">
        <x:f>IF(B37="","",SUMIFS(Collections!$N$6:$N$505,Collections!$D$6:$D$505,A37))</x:f>
      </x:c>
      <x:c r="T37" s="110" t="str">
        <x:f>IF(A37="","",IF(M37&gt;0,N37/M37,""))</x:f>
      </x:c>
    </x:row>
    <x:row r="38" ht="28" customHeight="1">
      <x:c r="A38" s="97" t="str">
        <x:f>IF(B38="","",MAX(Settings!$B$17-1,$A$6:A37)+1)</x:f>
      </x:c>
      <x:c r="B38" s="105"/>
      <x:c r="C38" s="106"/>
      <x:c r="D38" s="90" t="str">
        <x:f>IF(B38="","",IF(COUNTIFS('Route List'!$A$6:$A$305,B38)=1,IF(E38="Return",INDEX('Route List'!$C$6:$C$305,MATCH(B38,'Route List'!$A$6:$A$305,0)),INDEX('Route List'!$B$6:$B$305,MATCH(B38,'Route List'!$A$6:$A$305,0))),""))</x:f>
      </x:c>
      <x:c r="E38" s="107"/>
      <x:c r="F38" s="108"/>
      <x:c r="G38" s="109" t="str">
        <x:f>IF(F38="","",IF(COUNTIFS(Buses!$A$6:$A$105,F38)=1,INDEX(Buses!$B$6:$B$105,MATCH(F38,Buses!$A$6:$A$105,0)),""))</x:f>
      </x:c>
      <x:c r="H38" s="109" t="str">
        <x:f>IF(G38="","",IF(COUNTIFS(Crew!$A$6:$A$105,G38)&gt;0,INDEX(Crew!$C$6:$C$105,MATCH(G38,Crew!$A$6:$A$105,0)),""))</x:f>
      </x:c>
      <x:c r="I38" s="108"/>
      <x:c r="J38" s="109" t="str">
        <x:f>IF(I38="","",IF(COUNTIFS(Crew!$A$6:$A$105,I38)&gt;0,INDEX(Crew!$C$6:$C$105,MATCH(I38,Crew!$A$6:$A$105,0)),""))</x:f>
      </x:c>
      <x:c r="K38" s="108"/>
      <x:c r="L38" s="109" t="str">
        <x:f>IF(K38="","",IF(COUNTIFS(Crew!$A$6:$A$105,K38)&gt;0,INDEX(Crew!$C$6:$C$105,MATCH(K38,Crew!$A$6:$A$105,0)),""))</x:f>
      </x:c>
      <x:c r="M38" s="90" t="str">
        <x:f>IF(B38="","",62)</x:f>
      </x:c>
      <x:c r="N38" s="107" t="str">
        <x:f>IF(B38="","",SUMIFS(Collections!$G$6:$G$505,Collections!$D$6:$D$505,A38))</x:f>
      </x:c>
      <x:c r="O38" s="98" t="str">
        <x:f>IF(B38="","",SUMIFS(Collections!$J$6:$J$505,Collections!$D$6:$D$505,A38))</x:f>
      </x:c>
      <x:c r="P38" s="98" t="str">
        <x:f>IF(B38="","",SUMIFS(Collections!$K$6:$K$505,Collections!$D$6:$D$505,A38))</x:f>
      </x:c>
      <x:c r="Q38" s="98" t="str">
        <x:f>IF(B38="","",SUMIFS(Collections!$L$6:$L$505,Collections!$D$6:$D$505,A38))</x:f>
      </x:c>
      <x:c r="R38" s="98" t="str">
        <x:f>IF(B38="","",SUMIFS(Collections!$M$6:$M$505,Collections!$D$6:$D$505,A38))</x:f>
      </x:c>
      <x:c r="S38" s="98" t="str">
        <x:f>IF(B38="","",SUMIFS(Collections!$N$6:$N$505,Collections!$D$6:$D$505,A38))</x:f>
      </x:c>
      <x:c r="T38" s="110" t="str">
        <x:f>IF(A38="","",IF(M38&gt;0,N38/M38,""))</x:f>
      </x:c>
    </x:row>
    <x:row r="39" ht="28" customHeight="1">
      <x:c r="A39" s="97" t="str">
        <x:f>IF(B39="","",MAX(Settings!$B$17-1,$A$6:A38)+1)</x:f>
      </x:c>
      <x:c r="B39" s="105"/>
      <x:c r="C39" s="106"/>
      <x:c r="D39" s="90" t="str">
        <x:f>IF(B39="","",IF(COUNTIFS('Route List'!$A$6:$A$305,B39)=1,IF(E39="Return",INDEX('Route List'!$C$6:$C$305,MATCH(B39,'Route List'!$A$6:$A$305,0)),INDEX('Route List'!$B$6:$B$305,MATCH(B39,'Route List'!$A$6:$A$305,0))),""))</x:f>
      </x:c>
      <x:c r="E39" s="107"/>
      <x:c r="F39" s="108"/>
      <x:c r="G39" s="109" t="str">
        <x:f>IF(F39="","",IF(COUNTIFS(Buses!$A$6:$A$105,F39)=1,INDEX(Buses!$B$6:$B$105,MATCH(F39,Buses!$A$6:$A$105,0)),""))</x:f>
      </x:c>
      <x:c r="H39" s="109" t="str">
        <x:f>IF(G39="","",IF(COUNTIFS(Crew!$A$6:$A$105,G39)&gt;0,INDEX(Crew!$C$6:$C$105,MATCH(G39,Crew!$A$6:$A$105,0)),""))</x:f>
      </x:c>
      <x:c r="I39" s="108"/>
      <x:c r="J39" s="109" t="str">
        <x:f>IF(I39="","",IF(COUNTIFS(Crew!$A$6:$A$105,I39)&gt;0,INDEX(Crew!$C$6:$C$105,MATCH(I39,Crew!$A$6:$A$105,0)),""))</x:f>
      </x:c>
      <x:c r="K39" s="108"/>
      <x:c r="L39" s="109" t="str">
        <x:f>IF(K39="","",IF(COUNTIFS(Crew!$A$6:$A$105,K39)&gt;0,INDEX(Crew!$C$6:$C$105,MATCH(K39,Crew!$A$6:$A$105,0)),""))</x:f>
      </x:c>
      <x:c r="M39" s="90" t="str">
        <x:f>IF(B39="","",62)</x:f>
      </x:c>
      <x:c r="N39" s="107" t="str">
        <x:f>IF(B39="","",SUMIFS(Collections!$G$6:$G$505,Collections!$D$6:$D$505,A39))</x:f>
      </x:c>
      <x:c r="O39" s="98" t="str">
        <x:f>IF(B39="","",SUMIFS(Collections!$J$6:$J$505,Collections!$D$6:$D$505,A39))</x:f>
      </x:c>
      <x:c r="P39" s="98" t="str">
        <x:f>IF(B39="","",SUMIFS(Collections!$K$6:$K$505,Collections!$D$6:$D$505,A39))</x:f>
      </x:c>
      <x:c r="Q39" s="98" t="str">
        <x:f>IF(B39="","",SUMIFS(Collections!$L$6:$L$505,Collections!$D$6:$D$505,A39))</x:f>
      </x:c>
      <x:c r="R39" s="98" t="str">
        <x:f>IF(B39="","",SUMIFS(Collections!$M$6:$M$505,Collections!$D$6:$D$505,A39))</x:f>
      </x:c>
      <x:c r="S39" s="98" t="str">
        <x:f>IF(B39="","",SUMIFS(Collections!$N$6:$N$505,Collections!$D$6:$D$505,A39))</x:f>
      </x:c>
      <x:c r="T39" s="110" t="str">
        <x:f>IF(A39="","",IF(M39&gt;0,N39/M39,""))</x:f>
      </x:c>
    </x:row>
    <x:row r="40" ht="28" customHeight="1">
      <x:c r="A40" s="97" t="str">
        <x:f>IF(B40="","",MAX(Settings!$B$17-1,$A$6:A39)+1)</x:f>
      </x:c>
      <x:c r="B40" s="105"/>
      <x:c r="C40" s="106"/>
      <x:c r="D40" s="90" t="str">
        <x:f>IF(B40="","",IF(COUNTIFS('Route List'!$A$6:$A$305,B40)=1,IF(E40="Return",INDEX('Route List'!$C$6:$C$305,MATCH(B40,'Route List'!$A$6:$A$305,0)),INDEX('Route List'!$B$6:$B$305,MATCH(B40,'Route List'!$A$6:$A$305,0))),""))</x:f>
      </x:c>
      <x:c r="E40" s="107"/>
      <x:c r="F40" s="108"/>
      <x:c r="G40" s="109" t="str">
        <x:f>IF(F40="","",IF(COUNTIFS(Buses!$A$6:$A$105,F40)=1,INDEX(Buses!$B$6:$B$105,MATCH(F40,Buses!$A$6:$A$105,0)),""))</x:f>
      </x:c>
      <x:c r="H40" s="109" t="str">
        <x:f>IF(G40="","",IF(COUNTIFS(Crew!$A$6:$A$105,G40)&gt;0,INDEX(Crew!$C$6:$C$105,MATCH(G40,Crew!$A$6:$A$105,0)),""))</x:f>
      </x:c>
      <x:c r="I40" s="108"/>
      <x:c r="J40" s="109" t="str">
        <x:f>IF(I40="","",IF(COUNTIFS(Crew!$A$6:$A$105,I40)&gt;0,INDEX(Crew!$C$6:$C$105,MATCH(I40,Crew!$A$6:$A$105,0)),""))</x:f>
      </x:c>
      <x:c r="K40" s="108"/>
      <x:c r="L40" s="109" t="str">
        <x:f>IF(K40="","",IF(COUNTIFS(Crew!$A$6:$A$105,K40)&gt;0,INDEX(Crew!$C$6:$C$105,MATCH(K40,Crew!$A$6:$A$105,0)),""))</x:f>
      </x:c>
      <x:c r="M40" s="90" t="str">
        <x:f>IF(B40="","",62)</x:f>
      </x:c>
      <x:c r="N40" s="107" t="str">
        <x:f>IF(B40="","",SUMIFS(Collections!$G$6:$G$505,Collections!$D$6:$D$505,A40))</x:f>
      </x:c>
      <x:c r="O40" s="98" t="str">
        <x:f>IF(B40="","",SUMIFS(Collections!$J$6:$J$505,Collections!$D$6:$D$505,A40))</x:f>
      </x:c>
      <x:c r="P40" s="98" t="str">
        <x:f>IF(B40="","",SUMIFS(Collections!$K$6:$K$505,Collections!$D$6:$D$505,A40))</x:f>
      </x:c>
      <x:c r="Q40" s="98" t="str">
        <x:f>IF(B40="","",SUMIFS(Collections!$L$6:$L$505,Collections!$D$6:$D$505,A40))</x:f>
      </x:c>
      <x:c r="R40" s="98" t="str">
        <x:f>IF(B40="","",SUMIFS(Collections!$M$6:$M$505,Collections!$D$6:$D$505,A40))</x:f>
      </x:c>
      <x:c r="S40" s="98" t="str">
        <x:f>IF(B40="","",SUMIFS(Collections!$N$6:$N$505,Collections!$D$6:$D$505,A40))</x:f>
      </x:c>
      <x:c r="T40" s="110" t="str">
        <x:f>IF(A40="","",IF(M40&gt;0,N40/M40,""))</x:f>
      </x:c>
    </x:row>
    <x:row r="41" ht="28" customHeight="1">
      <x:c r="A41" s="97" t="str">
        <x:f>IF(B41="","",MAX(Settings!$B$17-1,$A$6:A40)+1)</x:f>
      </x:c>
      <x:c r="B41" s="105"/>
      <x:c r="C41" s="106"/>
      <x:c r="D41" s="90" t="str">
        <x:f>IF(B41="","",IF(COUNTIFS('Route List'!$A$6:$A$305,B41)=1,IF(E41="Return",INDEX('Route List'!$C$6:$C$305,MATCH(B41,'Route List'!$A$6:$A$305,0)),INDEX('Route List'!$B$6:$B$305,MATCH(B41,'Route List'!$A$6:$A$305,0))),""))</x:f>
      </x:c>
      <x:c r="E41" s="107"/>
      <x:c r="F41" s="108"/>
      <x:c r="G41" s="109" t="str">
        <x:f>IF(F41="","",IF(COUNTIFS(Buses!$A$6:$A$105,F41)=1,INDEX(Buses!$B$6:$B$105,MATCH(F41,Buses!$A$6:$A$105,0)),""))</x:f>
      </x:c>
      <x:c r="H41" s="109" t="str">
        <x:f>IF(G41="","",IF(COUNTIFS(Crew!$A$6:$A$105,G41)&gt;0,INDEX(Crew!$C$6:$C$105,MATCH(G41,Crew!$A$6:$A$105,0)),""))</x:f>
      </x:c>
      <x:c r="I41" s="108"/>
      <x:c r="J41" s="109" t="str">
        <x:f>IF(I41="","",IF(COUNTIFS(Crew!$A$6:$A$105,I41)&gt;0,INDEX(Crew!$C$6:$C$105,MATCH(I41,Crew!$A$6:$A$105,0)),""))</x:f>
      </x:c>
      <x:c r="K41" s="108"/>
      <x:c r="L41" s="109" t="str">
        <x:f>IF(K41="","",IF(COUNTIFS(Crew!$A$6:$A$105,K41)&gt;0,INDEX(Crew!$C$6:$C$105,MATCH(K41,Crew!$A$6:$A$105,0)),""))</x:f>
      </x:c>
      <x:c r="M41" s="90" t="str">
        <x:f>IF(B41="","",62)</x:f>
      </x:c>
      <x:c r="N41" s="107" t="str">
        <x:f>IF(B41="","",SUMIFS(Collections!$G$6:$G$505,Collections!$D$6:$D$505,A41))</x:f>
      </x:c>
      <x:c r="O41" s="98" t="str">
        <x:f>IF(B41="","",SUMIFS(Collections!$J$6:$J$505,Collections!$D$6:$D$505,A41))</x:f>
      </x:c>
      <x:c r="P41" s="98" t="str">
        <x:f>IF(B41="","",SUMIFS(Collections!$K$6:$K$505,Collections!$D$6:$D$505,A41))</x:f>
      </x:c>
      <x:c r="Q41" s="98" t="str">
        <x:f>IF(B41="","",SUMIFS(Collections!$L$6:$L$505,Collections!$D$6:$D$505,A41))</x:f>
      </x:c>
      <x:c r="R41" s="98" t="str">
        <x:f>IF(B41="","",SUMIFS(Collections!$M$6:$M$505,Collections!$D$6:$D$505,A41))</x:f>
      </x:c>
      <x:c r="S41" s="98" t="str">
        <x:f>IF(B41="","",SUMIFS(Collections!$N$6:$N$505,Collections!$D$6:$D$505,A41))</x:f>
      </x:c>
      <x:c r="T41" s="110" t="str">
        <x:f>IF(A41="","",IF(M41&gt;0,N41/M41,""))</x:f>
      </x:c>
    </x:row>
    <x:row r="42" ht="28" customHeight="1">
      <x:c r="A42" s="97" t="str">
        <x:f>IF(B42="","",MAX(Settings!$B$17-1,$A$6:A41)+1)</x:f>
      </x:c>
      <x:c r="B42" s="105"/>
      <x:c r="C42" s="106"/>
      <x:c r="D42" s="90" t="str">
        <x:f>IF(B42="","",IF(COUNTIFS('Route List'!$A$6:$A$305,B42)=1,IF(E42="Return",INDEX('Route List'!$C$6:$C$305,MATCH(B42,'Route List'!$A$6:$A$305,0)),INDEX('Route List'!$B$6:$B$305,MATCH(B42,'Route List'!$A$6:$A$305,0))),""))</x:f>
      </x:c>
      <x:c r="E42" s="107"/>
      <x:c r="F42" s="108"/>
      <x:c r="G42" s="109" t="str">
        <x:f>IF(F42="","",IF(COUNTIFS(Buses!$A$6:$A$105,F42)=1,INDEX(Buses!$B$6:$B$105,MATCH(F42,Buses!$A$6:$A$105,0)),""))</x:f>
      </x:c>
      <x:c r="H42" s="109" t="str">
        <x:f>IF(G42="","",IF(COUNTIFS(Crew!$A$6:$A$105,G42)&gt;0,INDEX(Crew!$C$6:$C$105,MATCH(G42,Crew!$A$6:$A$105,0)),""))</x:f>
      </x:c>
      <x:c r="I42" s="108"/>
      <x:c r="J42" s="109" t="str">
        <x:f>IF(I42="","",IF(COUNTIFS(Crew!$A$6:$A$105,I42)&gt;0,INDEX(Crew!$C$6:$C$105,MATCH(I42,Crew!$A$6:$A$105,0)),""))</x:f>
      </x:c>
      <x:c r="K42" s="108"/>
      <x:c r="L42" s="109" t="str">
        <x:f>IF(K42="","",IF(COUNTIFS(Crew!$A$6:$A$105,K42)&gt;0,INDEX(Crew!$C$6:$C$105,MATCH(K42,Crew!$A$6:$A$105,0)),""))</x:f>
      </x:c>
      <x:c r="M42" s="90" t="str">
        <x:f>IF(B42="","",62)</x:f>
      </x:c>
      <x:c r="N42" s="107" t="str">
        <x:f>IF(B42="","",SUMIFS(Collections!$G$6:$G$505,Collections!$D$6:$D$505,A42))</x:f>
      </x:c>
      <x:c r="O42" s="98" t="str">
        <x:f>IF(B42="","",SUMIFS(Collections!$J$6:$J$505,Collections!$D$6:$D$505,A42))</x:f>
      </x:c>
      <x:c r="P42" s="98" t="str">
        <x:f>IF(B42="","",SUMIFS(Collections!$K$6:$K$505,Collections!$D$6:$D$505,A42))</x:f>
      </x:c>
      <x:c r="Q42" s="98" t="str">
        <x:f>IF(B42="","",SUMIFS(Collections!$L$6:$L$505,Collections!$D$6:$D$505,A42))</x:f>
      </x:c>
      <x:c r="R42" s="98" t="str">
        <x:f>IF(B42="","",SUMIFS(Collections!$M$6:$M$505,Collections!$D$6:$D$505,A42))</x:f>
      </x:c>
      <x:c r="S42" s="98" t="str">
        <x:f>IF(B42="","",SUMIFS(Collections!$N$6:$N$505,Collections!$D$6:$D$505,A42))</x:f>
      </x:c>
      <x:c r="T42" s="110" t="str">
        <x:f>IF(A42="","",IF(M42&gt;0,N42/M42,""))</x:f>
      </x:c>
    </x:row>
    <x:row r="43" ht="28" customHeight="1">
      <x:c r="A43" s="97" t="str">
        <x:f>IF(B43="","",MAX(Settings!$B$17-1,$A$6:A42)+1)</x:f>
      </x:c>
      <x:c r="B43" s="105"/>
      <x:c r="C43" s="106"/>
      <x:c r="D43" s="90" t="str">
        <x:f>IF(B43="","",IF(COUNTIFS('Route List'!$A$6:$A$305,B43)=1,IF(E43="Return",INDEX('Route List'!$C$6:$C$305,MATCH(B43,'Route List'!$A$6:$A$305,0)),INDEX('Route List'!$B$6:$B$305,MATCH(B43,'Route List'!$A$6:$A$305,0))),""))</x:f>
      </x:c>
      <x:c r="E43" s="107"/>
      <x:c r="F43" s="108"/>
      <x:c r="G43" s="109" t="str">
        <x:f>IF(F43="","",IF(COUNTIFS(Buses!$A$6:$A$105,F43)=1,INDEX(Buses!$B$6:$B$105,MATCH(F43,Buses!$A$6:$A$105,0)),""))</x:f>
      </x:c>
      <x:c r="H43" s="109" t="str">
        <x:f>IF(G43="","",IF(COUNTIFS(Crew!$A$6:$A$105,G43)&gt;0,INDEX(Crew!$C$6:$C$105,MATCH(G43,Crew!$A$6:$A$105,0)),""))</x:f>
      </x:c>
      <x:c r="I43" s="108"/>
      <x:c r="J43" s="109" t="str">
        <x:f>IF(I43="","",IF(COUNTIFS(Crew!$A$6:$A$105,I43)&gt;0,INDEX(Crew!$C$6:$C$105,MATCH(I43,Crew!$A$6:$A$105,0)),""))</x:f>
      </x:c>
      <x:c r="K43" s="108"/>
      <x:c r="L43" s="109" t="str">
        <x:f>IF(K43="","",IF(COUNTIFS(Crew!$A$6:$A$105,K43)&gt;0,INDEX(Crew!$C$6:$C$105,MATCH(K43,Crew!$A$6:$A$105,0)),""))</x:f>
      </x:c>
      <x:c r="M43" s="90" t="str">
        <x:f>IF(B43="","",62)</x:f>
      </x:c>
      <x:c r="N43" s="107" t="str">
        <x:f>IF(B43="","",SUMIFS(Collections!$G$6:$G$505,Collections!$D$6:$D$505,A43))</x:f>
      </x:c>
      <x:c r="O43" s="98" t="str">
        <x:f>IF(B43="","",SUMIFS(Collections!$J$6:$J$505,Collections!$D$6:$D$505,A43))</x:f>
      </x:c>
      <x:c r="P43" s="98" t="str">
        <x:f>IF(B43="","",SUMIFS(Collections!$K$6:$K$505,Collections!$D$6:$D$505,A43))</x:f>
      </x:c>
      <x:c r="Q43" s="98" t="str">
        <x:f>IF(B43="","",SUMIFS(Collections!$L$6:$L$505,Collections!$D$6:$D$505,A43))</x:f>
      </x:c>
      <x:c r="R43" s="98" t="str">
        <x:f>IF(B43="","",SUMIFS(Collections!$M$6:$M$505,Collections!$D$6:$D$505,A43))</x:f>
      </x:c>
      <x:c r="S43" s="98" t="str">
        <x:f>IF(B43="","",SUMIFS(Collections!$N$6:$N$505,Collections!$D$6:$D$505,A43))</x:f>
      </x:c>
      <x:c r="T43" s="110" t="str">
        <x:f>IF(A43="","",IF(M43&gt;0,N43/M43,""))</x:f>
      </x:c>
    </x:row>
    <x:row r="44" ht="28" customHeight="1">
      <x:c r="A44" s="97" t="str">
        <x:f>IF(B44="","",MAX(Settings!$B$17-1,$A$6:A43)+1)</x:f>
      </x:c>
      <x:c r="B44" s="105"/>
      <x:c r="C44" s="106"/>
      <x:c r="D44" s="90" t="str">
        <x:f>IF(B44="","",IF(COUNTIFS('Route List'!$A$6:$A$305,B44)=1,IF(E44="Return",INDEX('Route List'!$C$6:$C$305,MATCH(B44,'Route List'!$A$6:$A$305,0)),INDEX('Route List'!$B$6:$B$305,MATCH(B44,'Route List'!$A$6:$A$305,0))),""))</x:f>
      </x:c>
      <x:c r="E44" s="107"/>
      <x:c r="F44" s="108"/>
      <x:c r="G44" s="109" t="str">
        <x:f>IF(F44="","",IF(COUNTIFS(Buses!$A$6:$A$105,F44)=1,INDEX(Buses!$B$6:$B$105,MATCH(F44,Buses!$A$6:$A$105,0)),""))</x:f>
      </x:c>
      <x:c r="H44" s="109" t="str">
        <x:f>IF(G44="","",IF(COUNTIFS(Crew!$A$6:$A$105,G44)&gt;0,INDEX(Crew!$C$6:$C$105,MATCH(G44,Crew!$A$6:$A$105,0)),""))</x:f>
      </x:c>
      <x:c r="I44" s="108"/>
      <x:c r="J44" s="109" t="str">
        <x:f>IF(I44="","",IF(COUNTIFS(Crew!$A$6:$A$105,I44)&gt;0,INDEX(Crew!$C$6:$C$105,MATCH(I44,Crew!$A$6:$A$105,0)),""))</x:f>
      </x:c>
      <x:c r="K44" s="108"/>
      <x:c r="L44" s="109" t="str">
        <x:f>IF(K44="","",IF(COUNTIFS(Crew!$A$6:$A$105,K44)&gt;0,INDEX(Crew!$C$6:$C$105,MATCH(K44,Crew!$A$6:$A$105,0)),""))</x:f>
      </x:c>
      <x:c r="M44" s="90" t="str">
        <x:f>IF(B44="","",62)</x:f>
      </x:c>
      <x:c r="N44" s="107" t="str">
        <x:f>IF(B44="","",SUMIFS(Collections!$G$6:$G$505,Collections!$D$6:$D$505,A44))</x:f>
      </x:c>
      <x:c r="O44" s="98" t="str">
        <x:f>IF(B44="","",SUMIFS(Collections!$J$6:$J$505,Collections!$D$6:$D$505,A44))</x:f>
      </x:c>
      <x:c r="P44" s="98" t="str">
        <x:f>IF(B44="","",SUMIFS(Collections!$K$6:$K$505,Collections!$D$6:$D$505,A44))</x:f>
      </x:c>
      <x:c r="Q44" s="98" t="str">
        <x:f>IF(B44="","",SUMIFS(Collections!$L$6:$L$505,Collections!$D$6:$D$505,A44))</x:f>
      </x:c>
      <x:c r="R44" s="98" t="str">
        <x:f>IF(B44="","",SUMIFS(Collections!$M$6:$M$505,Collections!$D$6:$D$505,A44))</x:f>
      </x:c>
      <x:c r="S44" s="98" t="str">
        <x:f>IF(B44="","",SUMIFS(Collections!$N$6:$N$505,Collections!$D$6:$D$505,A44))</x:f>
      </x:c>
      <x:c r="T44" s="110" t="str">
        <x:f>IF(A44="","",IF(M44&gt;0,N44/M44,""))</x:f>
      </x:c>
    </x:row>
    <x:row r="45" ht="28" customHeight="1">
      <x:c r="A45" s="97" t="str">
        <x:f>IF(B45="","",MAX(Settings!$B$17-1,$A$6:A44)+1)</x:f>
      </x:c>
      <x:c r="B45" s="105"/>
      <x:c r="C45" s="106"/>
      <x:c r="D45" s="90" t="str">
        <x:f>IF(B45="","",IF(COUNTIFS('Route List'!$A$6:$A$305,B45)=1,IF(E45="Return",INDEX('Route List'!$C$6:$C$305,MATCH(B45,'Route List'!$A$6:$A$305,0)),INDEX('Route List'!$B$6:$B$305,MATCH(B45,'Route List'!$A$6:$A$305,0))),""))</x:f>
      </x:c>
      <x:c r="E45" s="107"/>
      <x:c r="F45" s="108"/>
      <x:c r="G45" s="109" t="str">
        <x:f>IF(F45="","",IF(COUNTIFS(Buses!$A$6:$A$105,F45)=1,INDEX(Buses!$B$6:$B$105,MATCH(F45,Buses!$A$6:$A$105,0)),""))</x:f>
      </x:c>
      <x:c r="H45" s="109" t="str">
        <x:f>IF(G45="","",IF(COUNTIFS(Crew!$A$6:$A$105,G45)&gt;0,INDEX(Crew!$C$6:$C$105,MATCH(G45,Crew!$A$6:$A$105,0)),""))</x:f>
      </x:c>
      <x:c r="I45" s="108"/>
      <x:c r="J45" s="109" t="str">
        <x:f>IF(I45="","",IF(COUNTIFS(Crew!$A$6:$A$105,I45)&gt;0,INDEX(Crew!$C$6:$C$105,MATCH(I45,Crew!$A$6:$A$105,0)),""))</x:f>
      </x:c>
      <x:c r="K45" s="108"/>
      <x:c r="L45" s="109" t="str">
        <x:f>IF(K45="","",IF(COUNTIFS(Crew!$A$6:$A$105,K45)&gt;0,INDEX(Crew!$C$6:$C$105,MATCH(K45,Crew!$A$6:$A$105,0)),""))</x:f>
      </x:c>
      <x:c r="M45" s="90" t="str">
        <x:f>IF(B45="","",62)</x:f>
      </x:c>
      <x:c r="N45" s="107" t="str">
        <x:f>IF(B45="","",SUMIFS(Collections!$G$6:$G$505,Collections!$D$6:$D$505,A45))</x:f>
      </x:c>
      <x:c r="O45" s="98" t="str">
        <x:f>IF(B45="","",SUMIFS(Collections!$J$6:$J$505,Collections!$D$6:$D$505,A45))</x:f>
      </x:c>
      <x:c r="P45" s="98" t="str">
        <x:f>IF(B45="","",SUMIFS(Collections!$K$6:$K$505,Collections!$D$6:$D$505,A45))</x:f>
      </x:c>
      <x:c r="Q45" s="98" t="str">
        <x:f>IF(B45="","",SUMIFS(Collections!$L$6:$L$505,Collections!$D$6:$D$505,A45))</x:f>
      </x:c>
      <x:c r="R45" s="98" t="str">
        <x:f>IF(B45="","",SUMIFS(Collections!$M$6:$M$505,Collections!$D$6:$D$505,A45))</x:f>
      </x:c>
      <x:c r="S45" s="98" t="str">
        <x:f>IF(B45="","",SUMIFS(Collections!$N$6:$N$505,Collections!$D$6:$D$505,A45))</x:f>
      </x:c>
      <x:c r="T45" s="110" t="str">
        <x:f>IF(A45="","",IF(M45&gt;0,N45/M45,""))</x:f>
      </x:c>
    </x:row>
    <x:row r="46" ht="28" customHeight="1">
      <x:c r="A46" s="97" t="str">
        <x:f>IF(B46="","",MAX(Settings!$B$17-1,$A$6:A45)+1)</x:f>
      </x:c>
      <x:c r="B46" s="105"/>
      <x:c r="C46" s="106"/>
      <x:c r="D46" s="90" t="str">
        <x:f>IF(B46="","",IF(COUNTIFS('Route List'!$A$6:$A$305,B46)=1,IF(E46="Return",INDEX('Route List'!$C$6:$C$305,MATCH(B46,'Route List'!$A$6:$A$305,0)),INDEX('Route List'!$B$6:$B$305,MATCH(B46,'Route List'!$A$6:$A$305,0))),""))</x:f>
      </x:c>
      <x:c r="E46" s="107"/>
      <x:c r="F46" s="108"/>
      <x:c r="G46" s="109" t="str">
        <x:f>IF(F46="","",IF(COUNTIFS(Buses!$A$6:$A$105,F46)=1,INDEX(Buses!$B$6:$B$105,MATCH(F46,Buses!$A$6:$A$105,0)),""))</x:f>
      </x:c>
      <x:c r="H46" s="109" t="str">
        <x:f>IF(G46="","",IF(COUNTIFS(Crew!$A$6:$A$105,G46)&gt;0,INDEX(Crew!$C$6:$C$105,MATCH(G46,Crew!$A$6:$A$105,0)),""))</x:f>
      </x:c>
      <x:c r="I46" s="108"/>
      <x:c r="J46" s="109" t="str">
        <x:f>IF(I46="","",IF(COUNTIFS(Crew!$A$6:$A$105,I46)&gt;0,INDEX(Crew!$C$6:$C$105,MATCH(I46,Crew!$A$6:$A$105,0)),""))</x:f>
      </x:c>
      <x:c r="K46" s="108"/>
      <x:c r="L46" s="109" t="str">
        <x:f>IF(K46="","",IF(COUNTIFS(Crew!$A$6:$A$105,K46)&gt;0,INDEX(Crew!$C$6:$C$105,MATCH(K46,Crew!$A$6:$A$105,0)),""))</x:f>
      </x:c>
      <x:c r="M46" s="90" t="str">
        <x:f>IF(B46="","",62)</x:f>
      </x:c>
      <x:c r="N46" s="107" t="str">
        <x:f>IF(B46="","",SUMIFS(Collections!$G$6:$G$505,Collections!$D$6:$D$505,A46))</x:f>
      </x:c>
      <x:c r="O46" s="98" t="str">
        <x:f>IF(B46="","",SUMIFS(Collections!$J$6:$J$505,Collections!$D$6:$D$505,A46))</x:f>
      </x:c>
      <x:c r="P46" s="98" t="str">
        <x:f>IF(B46="","",SUMIFS(Collections!$K$6:$K$505,Collections!$D$6:$D$505,A46))</x:f>
      </x:c>
      <x:c r="Q46" s="98" t="str">
        <x:f>IF(B46="","",SUMIFS(Collections!$L$6:$L$505,Collections!$D$6:$D$505,A46))</x:f>
      </x:c>
      <x:c r="R46" s="98" t="str">
        <x:f>IF(B46="","",SUMIFS(Collections!$M$6:$M$505,Collections!$D$6:$D$505,A46))</x:f>
      </x:c>
      <x:c r="S46" s="98" t="str">
        <x:f>IF(B46="","",SUMIFS(Collections!$N$6:$N$505,Collections!$D$6:$D$505,A46))</x:f>
      </x:c>
      <x:c r="T46" s="110" t="str">
        <x:f>IF(A46="","",IF(M46&gt;0,N46/M46,""))</x:f>
      </x:c>
    </x:row>
    <x:row r="47" ht="28" customHeight="1">
      <x:c r="A47" s="97" t="str">
        <x:f>IF(B47="","",MAX(Settings!$B$17-1,$A$6:A46)+1)</x:f>
      </x:c>
      <x:c r="B47" s="105"/>
      <x:c r="C47" s="106"/>
      <x:c r="D47" s="90" t="str">
        <x:f>IF(B47="","",IF(COUNTIFS('Route List'!$A$6:$A$305,B47)=1,IF(E47="Return",INDEX('Route List'!$C$6:$C$305,MATCH(B47,'Route List'!$A$6:$A$305,0)),INDEX('Route List'!$B$6:$B$305,MATCH(B47,'Route List'!$A$6:$A$305,0))),""))</x:f>
      </x:c>
      <x:c r="E47" s="107"/>
      <x:c r="F47" s="108"/>
      <x:c r="G47" s="109" t="str">
        <x:f>IF(F47="","",IF(COUNTIFS(Buses!$A$6:$A$105,F47)=1,INDEX(Buses!$B$6:$B$105,MATCH(F47,Buses!$A$6:$A$105,0)),""))</x:f>
      </x:c>
      <x:c r="H47" s="109" t="str">
        <x:f>IF(G47="","",IF(COUNTIFS(Crew!$A$6:$A$105,G47)&gt;0,INDEX(Crew!$C$6:$C$105,MATCH(G47,Crew!$A$6:$A$105,0)),""))</x:f>
      </x:c>
      <x:c r="I47" s="108"/>
      <x:c r="J47" s="109" t="str">
        <x:f>IF(I47="","",IF(COUNTIFS(Crew!$A$6:$A$105,I47)&gt;0,INDEX(Crew!$C$6:$C$105,MATCH(I47,Crew!$A$6:$A$105,0)),""))</x:f>
      </x:c>
      <x:c r="K47" s="108"/>
      <x:c r="L47" s="109" t="str">
        <x:f>IF(K47="","",IF(COUNTIFS(Crew!$A$6:$A$105,K47)&gt;0,INDEX(Crew!$C$6:$C$105,MATCH(K47,Crew!$A$6:$A$105,0)),""))</x:f>
      </x:c>
      <x:c r="M47" s="90" t="str">
        <x:f>IF(B47="","",62)</x:f>
      </x:c>
      <x:c r="N47" s="107" t="str">
        <x:f>IF(B47="","",SUMIFS(Collections!$G$6:$G$505,Collections!$D$6:$D$505,A47))</x:f>
      </x:c>
      <x:c r="O47" s="98" t="str">
        <x:f>IF(B47="","",SUMIFS(Collections!$J$6:$J$505,Collections!$D$6:$D$505,A47))</x:f>
      </x:c>
      <x:c r="P47" s="98" t="str">
        <x:f>IF(B47="","",SUMIFS(Collections!$K$6:$K$505,Collections!$D$6:$D$505,A47))</x:f>
      </x:c>
      <x:c r="Q47" s="98" t="str">
        <x:f>IF(B47="","",SUMIFS(Collections!$L$6:$L$505,Collections!$D$6:$D$505,A47))</x:f>
      </x:c>
      <x:c r="R47" s="98" t="str">
        <x:f>IF(B47="","",SUMIFS(Collections!$M$6:$M$505,Collections!$D$6:$D$505,A47))</x:f>
      </x:c>
      <x:c r="S47" s="98" t="str">
        <x:f>IF(B47="","",SUMIFS(Collections!$N$6:$N$505,Collections!$D$6:$D$505,A47))</x:f>
      </x:c>
      <x:c r="T47" s="110" t="str">
        <x:f>IF(A47="","",IF(M47&gt;0,N47/M47,""))</x:f>
      </x:c>
    </x:row>
    <x:row r="48" ht="28" customHeight="1">
      <x:c r="A48" s="97" t="str">
        <x:f>IF(B48="","",MAX(Settings!$B$17-1,$A$6:A47)+1)</x:f>
      </x:c>
      <x:c r="B48" s="105"/>
      <x:c r="C48" s="106"/>
      <x:c r="D48" s="90" t="str">
        <x:f>IF(B48="","",IF(COUNTIFS('Route List'!$A$6:$A$305,B48)=1,IF(E48="Return",INDEX('Route List'!$C$6:$C$305,MATCH(B48,'Route List'!$A$6:$A$305,0)),INDEX('Route List'!$B$6:$B$305,MATCH(B48,'Route List'!$A$6:$A$305,0))),""))</x:f>
      </x:c>
      <x:c r="E48" s="107"/>
      <x:c r="F48" s="108"/>
      <x:c r="G48" s="109" t="str">
        <x:f>IF(F48="","",IF(COUNTIFS(Buses!$A$6:$A$105,F48)=1,INDEX(Buses!$B$6:$B$105,MATCH(F48,Buses!$A$6:$A$105,0)),""))</x:f>
      </x:c>
      <x:c r="H48" s="109" t="str">
        <x:f>IF(G48="","",IF(COUNTIFS(Crew!$A$6:$A$105,G48)&gt;0,INDEX(Crew!$C$6:$C$105,MATCH(G48,Crew!$A$6:$A$105,0)),""))</x:f>
      </x:c>
      <x:c r="I48" s="108"/>
      <x:c r="J48" s="109" t="str">
        <x:f>IF(I48="","",IF(COUNTIFS(Crew!$A$6:$A$105,I48)&gt;0,INDEX(Crew!$C$6:$C$105,MATCH(I48,Crew!$A$6:$A$105,0)),""))</x:f>
      </x:c>
      <x:c r="K48" s="108"/>
      <x:c r="L48" s="109" t="str">
        <x:f>IF(K48="","",IF(COUNTIFS(Crew!$A$6:$A$105,K48)&gt;0,INDEX(Crew!$C$6:$C$105,MATCH(K48,Crew!$A$6:$A$105,0)),""))</x:f>
      </x:c>
      <x:c r="M48" s="90" t="str">
        <x:f>IF(B48="","",62)</x:f>
      </x:c>
      <x:c r="N48" s="107" t="str">
        <x:f>IF(B48="","",SUMIFS(Collections!$G$6:$G$505,Collections!$D$6:$D$505,A48))</x:f>
      </x:c>
      <x:c r="O48" s="98" t="str">
        <x:f>IF(B48="","",SUMIFS(Collections!$J$6:$J$505,Collections!$D$6:$D$505,A48))</x:f>
      </x:c>
      <x:c r="P48" s="98" t="str">
        <x:f>IF(B48="","",SUMIFS(Collections!$K$6:$K$505,Collections!$D$6:$D$505,A48))</x:f>
      </x:c>
      <x:c r="Q48" s="98" t="str">
        <x:f>IF(B48="","",SUMIFS(Collections!$L$6:$L$505,Collections!$D$6:$D$505,A48))</x:f>
      </x:c>
      <x:c r="R48" s="98" t="str">
        <x:f>IF(B48="","",SUMIFS(Collections!$M$6:$M$505,Collections!$D$6:$D$505,A48))</x:f>
      </x:c>
      <x:c r="S48" s="98" t="str">
        <x:f>IF(B48="","",SUMIFS(Collections!$N$6:$N$505,Collections!$D$6:$D$505,A48))</x:f>
      </x:c>
      <x:c r="T48" s="110" t="str">
        <x:f>IF(A48="","",IF(M48&gt;0,N48/M48,""))</x:f>
      </x:c>
    </x:row>
    <x:row r="49" ht="28" customHeight="1">
      <x:c r="A49" s="97" t="str">
        <x:f>IF(B49="","",MAX(Settings!$B$17-1,$A$6:A48)+1)</x:f>
      </x:c>
      <x:c r="B49" s="105"/>
      <x:c r="C49" s="106"/>
      <x:c r="D49" s="90" t="str">
        <x:f>IF(B49="","",IF(COUNTIFS('Route List'!$A$6:$A$305,B49)=1,IF(E49="Return",INDEX('Route List'!$C$6:$C$305,MATCH(B49,'Route List'!$A$6:$A$305,0)),INDEX('Route List'!$B$6:$B$305,MATCH(B49,'Route List'!$A$6:$A$305,0))),""))</x:f>
      </x:c>
      <x:c r="E49" s="107"/>
      <x:c r="F49" s="108"/>
      <x:c r="G49" s="109" t="str">
        <x:f>IF(F49="","",IF(COUNTIFS(Buses!$A$6:$A$105,F49)=1,INDEX(Buses!$B$6:$B$105,MATCH(F49,Buses!$A$6:$A$105,0)),""))</x:f>
      </x:c>
      <x:c r="H49" s="109" t="str">
        <x:f>IF(G49="","",IF(COUNTIFS(Crew!$A$6:$A$105,G49)&gt;0,INDEX(Crew!$C$6:$C$105,MATCH(G49,Crew!$A$6:$A$105,0)),""))</x:f>
      </x:c>
      <x:c r="I49" s="108"/>
      <x:c r="J49" s="109" t="str">
        <x:f>IF(I49="","",IF(COUNTIFS(Crew!$A$6:$A$105,I49)&gt;0,INDEX(Crew!$C$6:$C$105,MATCH(I49,Crew!$A$6:$A$105,0)),""))</x:f>
      </x:c>
      <x:c r="K49" s="108"/>
      <x:c r="L49" s="109" t="str">
        <x:f>IF(K49="","",IF(COUNTIFS(Crew!$A$6:$A$105,K49)&gt;0,INDEX(Crew!$C$6:$C$105,MATCH(K49,Crew!$A$6:$A$105,0)),""))</x:f>
      </x:c>
      <x:c r="M49" s="90" t="str">
        <x:f>IF(B49="","",62)</x:f>
      </x:c>
      <x:c r="N49" s="107" t="str">
        <x:f>IF(B49="","",SUMIFS(Collections!$G$6:$G$505,Collections!$D$6:$D$505,A49))</x:f>
      </x:c>
      <x:c r="O49" s="98" t="str">
        <x:f>IF(B49="","",SUMIFS(Collections!$J$6:$J$505,Collections!$D$6:$D$505,A49))</x:f>
      </x:c>
      <x:c r="P49" s="98" t="str">
        <x:f>IF(B49="","",SUMIFS(Collections!$K$6:$K$505,Collections!$D$6:$D$505,A49))</x:f>
      </x:c>
      <x:c r="Q49" s="98" t="str">
        <x:f>IF(B49="","",SUMIFS(Collections!$L$6:$L$505,Collections!$D$6:$D$505,A49))</x:f>
      </x:c>
      <x:c r="R49" s="98" t="str">
        <x:f>IF(B49="","",SUMIFS(Collections!$M$6:$M$505,Collections!$D$6:$D$505,A49))</x:f>
      </x:c>
      <x:c r="S49" s="98" t="str">
        <x:f>IF(B49="","",SUMIFS(Collections!$N$6:$N$505,Collections!$D$6:$D$505,A49))</x:f>
      </x:c>
      <x:c r="T49" s="110" t="str">
        <x:f>IF(A49="","",IF(M49&gt;0,N49/M49,""))</x:f>
      </x:c>
    </x:row>
    <x:row r="50" ht="28" customHeight="1">
      <x:c r="A50" s="97" t="str">
        <x:f>IF(B50="","",MAX(Settings!$B$17-1,$A$6:A49)+1)</x:f>
      </x:c>
      <x:c r="B50" s="105"/>
      <x:c r="C50" s="106"/>
      <x:c r="D50" s="90" t="str">
        <x:f>IF(B50="","",IF(COUNTIFS('Route List'!$A$6:$A$305,B50)=1,IF(E50="Return",INDEX('Route List'!$C$6:$C$305,MATCH(B50,'Route List'!$A$6:$A$305,0)),INDEX('Route List'!$B$6:$B$305,MATCH(B50,'Route List'!$A$6:$A$305,0))),""))</x:f>
      </x:c>
      <x:c r="E50" s="107"/>
      <x:c r="F50" s="108"/>
      <x:c r="G50" s="109" t="str">
        <x:f>IF(F50="","",IF(COUNTIFS(Buses!$A$6:$A$105,F50)=1,INDEX(Buses!$B$6:$B$105,MATCH(F50,Buses!$A$6:$A$105,0)),""))</x:f>
      </x:c>
      <x:c r="H50" s="109" t="str">
        <x:f>IF(G50="","",IF(COUNTIFS(Crew!$A$6:$A$105,G50)&gt;0,INDEX(Crew!$C$6:$C$105,MATCH(G50,Crew!$A$6:$A$105,0)),""))</x:f>
      </x:c>
      <x:c r="I50" s="108"/>
      <x:c r="J50" s="109" t="str">
        <x:f>IF(I50="","",IF(COUNTIFS(Crew!$A$6:$A$105,I50)&gt;0,INDEX(Crew!$C$6:$C$105,MATCH(I50,Crew!$A$6:$A$105,0)),""))</x:f>
      </x:c>
      <x:c r="K50" s="108"/>
      <x:c r="L50" s="109" t="str">
        <x:f>IF(K50="","",IF(COUNTIFS(Crew!$A$6:$A$105,K50)&gt;0,INDEX(Crew!$C$6:$C$105,MATCH(K50,Crew!$A$6:$A$105,0)),""))</x:f>
      </x:c>
      <x:c r="M50" s="90" t="str">
        <x:f>IF(B50="","",62)</x:f>
      </x:c>
      <x:c r="N50" s="107" t="str">
        <x:f>IF(B50="","",SUMIFS(Collections!$G$6:$G$505,Collections!$D$6:$D$505,A50))</x:f>
      </x:c>
      <x:c r="O50" s="98" t="str">
        <x:f>IF(B50="","",SUMIFS(Collections!$J$6:$J$505,Collections!$D$6:$D$505,A50))</x:f>
      </x:c>
      <x:c r="P50" s="98" t="str">
        <x:f>IF(B50="","",SUMIFS(Collections!$K$6:$K$505,Collections!$D$6:$D$505,A50))</x:f>
      </x:c>
      <x:c r="Q50" s="98" t="str">
        <x:f>IF(B50="","",SUMIFS(Collections!$L$6:$L$505,Collections!$D$6:$D$505,A50))</x:f>
      </x:c>
      <x:c r="R50" s="98" t="str">
        <x:f>IF(B50="","",SUMIFS(Collections!$M$6:$M$505,Collections!$D$6:$D$505,A50))</x:f>
      </x:c>
      <x:c r="S50" s="98" t="str">
        <x:f>IF(B50="","",SUMIFS(Collections!$N$6:$N$505,Collections!$D$6:$D$505,A50))</x:f>
      </x:c>
      <x:c r="T50" s="110" t="str">
        <x:f>IF(A50="","",IF(M50&gt;0,N50/M50,""))</x:f>
      </x:c>
    </x:row>
    <x:row r="51" ht="28" customHeight="1">
      <x:c r="A51" s="97" t="str">
        <x:f>IF(B51="","",MAX(Settings!$B$17-1,$A$6:A50)+1)</x:f>
      </x:c>
      <x:c r="B51" s="105"/>
      <x:c r="C51" s="106"/>
      <x:c r="D51" s="90" t="str">
        <x:f>IF(B51="","",IF(COUNTIFS('Route List'!$A$6:$A$305,B51)=1,IF(E51="Return",INDEX('Route List'!$C$6:$C$305,MATCH(B51,'Route List'!$A$6:$A$305,0)),INDEX('Route List'!$B$6:$B$305,MATCH(B51,'Route List'!$A$6:$A$305,0))),""))</x:f>
      </x:c>
      <x:c r="E51" s="107"/>
      <x:c r="F51" s="108"/>
      <x:c r="G51" s="109" t="str">
        <x:f>IF(F51="","",IF(COUNTIFS(Buses!$A$6:$A$105,F51)=1,INDEX(Buses!$B$6:$B$105,MATCH(F51,Buses!$A$6:$A$105,0)),""))</x:f>
      </x:c>
      <x:c r="H51" s="109" t="str">
        <x:f>IF(G51="","",IF(COUNTIFS(Crew!$A$6:$A$105,G51)&gt;0,INDEX(Crew!$C$6:$C$105,MATCH(G51,Crew!$A$6:$A$105,0)),""))</x:f>
      </x:c>
      <x:c r="I51" s="108"/>
      <x:c r="J51" s="109" t="str">
        <x:f>IF(I51="","",IF(COUNTIFS(Crew!$A$6:$A$105,I51)&gt;0,INDEX(Crew!$C$6:$C$105,MATCH(I51,Crew!$A$6:$A$105,0)),""))</x:f>
      </x:c>
      <x:c r="K51" s="108"/>
      <x:c r="L51" s="109" t="str">
        <x:f>IF(K51="","",IF(COUNTIFS(Crew!$A$6:$A$105,K51)&gt;0,INDEX(Crew!$C$6:$C$105,MATCH(K51,Crew!$A$6:$A$105,0)),""))</x:f>
      </x:c>
      <x:c r="M51" s="90" t="str">
        <x:f>IF(B51="","",62)</x:f>
      </x:c>
      <x:c r="N51" s="107" t="str">
        <x:f>IF(B51="","",SUMIFS(Collections!$G$6:$G$505,Collections!$D$6:$D$505,A51))</x:f>
      </x:c>
      <x:c r="O51" s="98" t="str">
        <x:f>IF(B51="","",SUMIFS(Collections!$J$6:$J$505,Collections!$D$6:$D$505,A51))</x:f>
      </x:c>
      <x:c r="P51" s="98" t="str">
        <x:f>IF(B51="","",SUMIFS(Collections!$K$6:$K$505,Collections!$D$6:$D$505,A51))</x:f>
      </x:c>
      <x:c r="Q51" s="98" t="str">
        <x:f>IF(B51="","",SUMIFS(Collections!$L$6:$L$505,Collections!$D$6:$D$505,A51))</x:f>
      </x:c>
      <x:c r="R51" s="98" t="str">
        <x:f>IF(B51="","",SUMIFS(Collections!$M$6:$M$505,Collections!$D$6:$D$505,A51))</x:f>
      </x:c>
      <x:c r="S51" s="98" t="str">
        <x:f>IF(B51="","",SUMIFS(Collections!$N$6:$N$505,Collections!$D$6:$D$505,A51))</x:f>
      </x:c>
      <x:c r="T51" s="110" t="str">
        <x:f>IF(A51="","",IF(M51&gt;0,N51/M51,""))</x:f>
      </x:c>
    </x:row>
    <x:row r="52" ht="28" customHeight="1">
      <x:c r="A52" s="97" t="str">
        <x:f>IF(B52="","",MAX(Settings!$B$17-1,$A$6:A51)+1)</x:f>
      </x:c>
      <x:c r="B52" s="105"/>
      <x:c r="C52" s="106"/>
      <x:c r="D52" s="90" t="str">
        <x:f>IF(B52="","",IF(COUNTIFS('Route List'!$A$6:$A$305,B52)=1,IF(E52="Return",INDEX('Route List'!$C$6:$C$305,MATCH(B52,'Route List'!$A$6:$A$305,0)),INDEX('Route List'!$B$6:$B$305,MATCH(B52,'Route List'!$A$6:$A$305,0))),""))</x:f>
      </x:c>
      <x:c r="E52" s="107"/>
      <x:c r="F52" s="108"/>
      <x:c r="G52" s="109" t="str">
        <x:f>IF(F52="","",IF(COUNTIFS(Buses!$A$6:$A$105,F52)=1,INDEX(Buses!$B$6:$B$105,MATCH(F52,Buses!$A$6:$A$105,0)),""))</x:f>
      </x:c>
      <x:c r="H52" s="109" t="str">
        <x:f>IF(G52="","",IF(COUNTIFS(Crew!$A$6:$A$105,G52)&gt;0,INDEX(Crew!$C$6:$C$105,MATCH(G52,Crew!$A$6:$A$105,0)),""))</x:f>
      </x:c>
      <x:c r="I52" s="108"/>
      <x:c r="J52" s="109" t="str">
        <x:f>IF(I52="","",IF(COUNTIFS(Crew!$A$6:$A$105,I52)&gt;0,INDEX(Crew!$C$6:$C$105,MATCH(I52,Crew!$A$6:$A$105,0)),""))</x:f>
      </x:c>
      <x:c r="K52" s="108"/>
      <x:c r="L52" s="109" t="str">
        <x:f>IF(K52="","",IF(COUNTIFS(Crew!$A$6:$A$105,K52)&gt;0,INDEX(Crew!$C$6:$C$105,MATCH(K52,Crew!$A$6:$A$105,0)),""))</x:f>
      </x:c>
      <x:c r="M52" s="90" t="str">
        <x:f>IF(B52="","",62)</x:f>
      </x:c>
      <x:c r="N52" s="107" t="str">
        <x:f>IF(B52="","",SUMIFS(Collections!$G$6:$G$505,Collections!$D$6:$D$505,A52))</x:f>
      </x:c>
      <x:c r="O52" s="98" t="str">
        <x:f>IF(B52="","",SUMIFS(Collections!$J$6:$J$505,Collections!$D$6:$D$505,A52))</x:f>
      </x:c>
      <x:c r="P52" s="98" t="str">
        <x:f>IF(B52="","",SUMIFS(Collections!$K$6:$K$505,Collections!$D$6:$D$505,A52))</x:f>
      </x:c>
      <x:c r="Q52" s="98" t="str">
        <x:f>IF(B52="","",SUMIFS(Collections!$L$6:$L$505,Collections!$D$6:$D$505,A52))</x:f>
      </x:c>
      <x:c r="R52" s="98" t="str">
        <x:f>IF(B52="","",SUMIFS(Collections!$M$6:$M$505,Collections!$D$6:$D$505,A52))</x:f>
      </x:c>
      <x:c r="S52" s="98" t="str">
        <x:f>IF(B52="","",SUMIFS(Collections!$N$6:$N$505,Collections!$D$6:$D$505,A52))</x:f>
      </x:c>
      <x:c r="T52" s="110" t="str">
        <x:f>IF(A52="","",IF(M52&gt;0,N52/M52,""))</x:f>
      </x:c>
    </x:row>
    <x:row r="53" ht="28" customHeight="1">
      <x:c r="A53" s="97" t="str">
        <x:f>IF(B53="","",MAX(Settings!$B$17-1,$A$6:A52)+1)</x:f>
      </x:c>
      <x:c r="B53" s="105"/>
      <x:c r="C53" s="106"/>
      <x:c r="D53" s="90" t="str">
        <x:f>IF(B53="","",IF(COUNTIFS('Route List'!$A$6:$A$305,B53)=1,IF(E53="Return",INDEX('Route List'!$C$6:$C$305,MATCH(B53,'Route List'!$A$6:$A$305,0)),INDEX('Route List'!$B$6:$B$305,MATCH(B53,'Route List'!$A$6:$A$305,0))),""))</x:f>
      </x:c>
      <x:c r="E53" s="107"/>
      <x:c r="F53" s="108"/>
      <x:c r="G53" s="109" t="str">
        <x:f>IF(F53="","",IF(COUNTIFS(Buses!$A$6:$A$105,F53)=1,INDEX(Buses!$B$6:$B$105,MATCH(F53,Buses!$A$6:$A$105,0)),""))</x:f>
      </x:c>
      <x:c r="H53" s="109" t="str">
        <x:f>IF(G53="","",IF(COUNTIFS(Crew!$A$6:$A$105,G53)&gt;0,INDEX(Crew!$C$6:$C$105,MATCH(G53,Crew!$A$6:$A$105,0)),""))</x:f>
      </x:c>
      <x:c r="I53" s="108"/>
      <x:c r="J53" s="109" t="str">
        <x:f>IF(I53="","",IF(COUNTIFS(Crew!$A$6:$A$105,I53)&gt;0,INDEX(Crew!$C$6:$C$105,MATCH(I53,Crew!$A$6:$A$105,0)),""))</x:f>
      </x:c>
      <x:c r="K53" s="108"/>
      <x:c r="L53" s="109" t="str">
        <x:f>IF(K53="","",IF(COUNTIFS(Crew!$A$6:$A$105,K53)&gt;0,INDEX(Crew!$C$6:$C$105,MATCH(K53,Crew!$A$6:$A$105,0)),""))</x:f>
      </x:c>
      <x:c r="M53" s="90" t="str">
        <x:f>IF(B53="","",62)</x:f>
      </x:c>
      <x:c r="N53" s="107" t="str">
        <x:f>IF(B53="","",SUMIFS(Collections!$G$6:$G$505,Collections!$D$6:$D$505,A53))</x:f>
      </x:c>
      <x:c r="O53" s="98" t="str">
        <x:f>IF(B53="","",SUMIFS(Collections!$J$6:$J$505,Collections!$D$6:$D$505,A53))</x:f>
      </x:c>
      <x:c r="P53" s="98" t="str">
        <x:f>IF(B53="","",SUMIFS(Collections!$K$6:$K$505,Collections!$D$6:$D$505,A53))</x:f>
      </x:c>
      <x:c r="Q53" s="98" t="str">
        <x:f>IF(B53="","",SUMIFS(Collections!$L$6:$L$505,Collections!$D$6:$D$505,A53))</x:f>
      </x:c>
      <x:c r="R53" s="98" t="str">
        <x:f>IF(B53="","",SUMIFS(Collections!$M$6:$M$505,Collections!$D$6:$D$505,A53))</x:f>
      </x:c>
      <x:c r="S53" s="98" t="str">
        <x:f>IF(B53="","",SUMIFS(Collections!$N$6:$N$505,Collections!$D$6:$D$505,A53))</x:f>
      </x:c>
      <x:c r="T53" s="110" t="str">
        <x:f>IF(A53="","",IF(M53&gt;0,N53/M53,""))</x:f>
      </x:c>
    </x:row>
    <x:row r="54" ht="28" customHeight="1">
      <x:c r="A54" s="97" t="str">
        <x:f>IF(B54="","",MAX(Settings!$B$17-1,$A$6:A53)+1)</x:f>
      </x:c>
      <x:c r="B54" s="105"/>
      <x:c r="C54" s="106"/>
      <x:c r="D54" s="90" t="str">
        <x:f>IF(B54="","",IF(COUNTIFS('Route List'!$A$6:$A$305,B54)=1,IF(E54="Return",INDEX('Route List'!$C$6:$C$305,MATCH(B54,'Route List'!$A$6:$A$305,0)),INDEX('Route List'!$B$6:$B$305,MATCH(B54,'Route List'!$A$6:$A$305,0))),""))</x:f>
      </x:c>
      <x:c r="E54" s="107"/>
      <x:c r="F54" s="108"/>
      <x:c r="G54" s="109" t="str">
        <x:f>IF(F54="","",IF(COUNTIFS(Buses!$A$6:$A$105,F54)=1,INDEX(Buses!$B$6:$B$105,MATCH(F54,Buses!$A$6:$A$105,0)),""))</x:f>
      </x:c>
      <x:c r="H54" s="109" t="str">
        <x:f>IF(G54="","",IF(COUNTIFS(Crew!$A$6:$A$105,G54)&gt;0,INDEX(Crew!$C$6:$C$105,MATCH(G54,Crew!$A$6:$A$105,0)),""))</x:f>
      </x:c>
      <x:c r="I54" s="108"/>
      <x:c r="J54" s="109" t="str">
        <x:f>IF(I54="","",IF(COUNTIFS(Crew!$A$6:$A$105,I54)&gt;0,INDEX(Crew!$C$6:$C$105,MATCH(I54,Crew!$A$6:$A$105,0)),""))</x:f>
      </x:c>
      <x:c r="K54" s="108"/>
      <x:c r="L54" s="109" t="str">
        <x:f>IF(K54="","",IF(COUNTIFS(Crew!$A$6:$A$105,K54)&gt;0,INDEX(Crew!$C$6:$C$105,MATCH(K54,Crew!$A$6:$A$105,0)),""))</x:f>
      </x:c>
      <x:c r="M54" s="90" t="str">
        <x:f>IF(B54="","",62)</x:f>
      </x:c>
      <x:c r="N54" s="107" t="str">
        <x:f>IF(B54="","",SUMIFS(Collections!$G$6:$G$505,Collections!$D$6:$D$505,A54))</x:f>
      </x:c>
      <x:c r="O54" s="98" t="str">
        <x:f>IF(B54="","",SUMIFS(Collections!$J$6:$J$505,Collections!$D$6:$D$505,A54))</x:f>
      </x:c>
      <x:c r="P54" s="98" t="str">
        <x:f>IF(B54="","",SUMIFS(Collections!$K$6:$K$505,Collections!$D$6:$D$505,A54))</x:f>
      </x:c>
      <x:c r="Q54" s="98" t="str">
        <x:f>IF(B54="","",SUMIFS(Collections!$L$6:$L$505,Collections!$D$6:$D$505,A54))</x:f>
      </x:c>
      <x:c r="R54" s="98" t="str">
        <x:f>IF(B54="","",SUMIFS(Collections!$M$6:$M$505,Collections!$D$6:$D$505,A54))</x:f>
      </x:c>
      <x:c r="S54" s="98" t="str">
        <x:f>IF(B54="","",SUMIFS(Collections!$N$6:$N$505,Collections!$D$6:$D$505,A54))</x:f>
      </x:c>
      <x:c r="T54" s="110" t="str">
        <x:f>IF(A54="","",IF(M54&gt;0,N54/M54,""))</x:f>
      </x:c>
    </x:row>
    <x:row r="55" ht="28" customHeight="1">
      <x:c r="A55" s="97" t="str">
        <x:f>IF(B55="","",MAX(Settings!$B$17-1,$A$6:A54)+1)</x:f>
      </x:c>
      <x:c r="B55" s="105"/>
      <x:c r="C55" s="106"/>
      <x:c r="D55" s="90" t="str">
        <x:f>IF(B55="","",IF(COUNTIFS('Route List'!$A$6:$A$305,B55)=1,IF(E55="Return",INDEX('Route List'!$C$6:$C$305,MATCH(B55,'Route List'!$A$6:$A$305,0)),INDEX('Route List'!$B$6:$B$305,MATCH(B55,'Route List'!$A$6:$A$305,0))),""))</x:f>
      </x:c>
      <x:c r="E55" s="107"/>
      <x:c r="F55" s="108"/>
      <x:c r="G55" s="109" t="str">
        <x:f>IF(F55="","",IF(COUNTIFS(Buses!$A$6:$A$105,F55)=1,INDEX(Buses!$B$6:$B$105,MATCH(F55,Buses!$A$6:$A$105,0)),""))</x:f>
      </x:c>
      <x:c r="H55" s="109" t="str">
        <x:f>IF(G55="","",IF(COUNTIFS(Crew!$A$6:$A$105,G55)&gt;0,INDEX(Crew!$C$6:$C$105,MATCH(G55,Crew!$A$6:$A$105,0)),""))</x:f>
      </x:c>
      <x:c r="I55" s="108"/>
      <x:c r="J55" s="109" t="str">
        <x:f>IF(I55="","",IF(COUNTIFS(Crew!$A$6:$A$105,I55)&gt;0,INDEX(Crew!$C$6:$C$105,MATCH(I55,Crew!$A$6:$A$105,0)),""))</x:f>
      </x:c>
      <x:c r="K55" s="108"/>
      <x:c r="L55" s="109" t="str">
        <x:f>IF(K55="","",IF(COUNTIFS(Crew!$A$6:$A$105,K55)&gt;0,INDEX(Crew!$C$6:$C$105,MATCH(K55,Crew!$A$6:$A$105,0)),""))</x:f>
      </x:c>
      <x:c r="M55" s="90" t="str">
        <x:f>IF(B55="","",62)</x:f>
      </x:c>
      <x:c r="N55" s="107" t="str">
        <x:f>IF(B55="","",SUMIFS(Collections!$G$6:$G$505,Collections!$D$6:$D$505,A55))</x:f>
      </x:c>
      <x:c r="O55" s="98" t="str">
        <x:f>IF(B55="","",SUMIFS(Collections!$J$6:$J$505,Collections!$D$6:$D$505,A55))</x:f>
      </x:c>
      <x:c r="P55" s="98" t="str">
        <x:f>IF(B55="","",SUMIFS(Collections!$K$6:$K$505,Collections!$D$6:$D$505,A55))</x:f>
      </x:c>
      <x:c r="Q55" s="98" t="str">
        <x:f>IF(B55="","",SUMIFS(Collections!$L$6:$L$505,Collections!$D$6:$D$505,A55))</x:f>
      </x:c>
      <x:c r="R55" s="98" t="str">
        <x:f>IF(B55="","",SUMIFS(Collections!$M$6:$M$505,Collections!$D$6:$D$505,A55))</x:f>
      </x:c>
      <x:c r="S55" s="98" t="str">
        <x:f>IF(B55="","",SUMIFS(Collections!$N$6:$N$505,Collections!$D$6:$D$505,A55))</x:f>
      </x:c>
      <x:c r="T55" s="110" t="str">
        <x:f>IF(A55="","",IF(M55&gt;0,N55/M55,""))</x:f>
      </x:c>
    </x:row>
    <x:row r="56" ht="28" customHeight="1">
      <x:c r="A56" s="97" t="str">
        <x:f>IF(B56="","",MAX(Settings!$B$17-1,$A$6:A55)+1)</x:f>
      </x:c>
      <x:c r="B56" s="105"/>
      <x:c r="C56" s="106"/>
      <x:c r="D56" s="90" t="str">
        <x:f>IF(B56="","",IF(COUNTIFS('Route List'!$A$6:$A$305,B56)=1,IF(E56="Return",INDEX('Route List'!$C$6:$C$305,MATCH(B56,'Route List'!$A$6:$A$305,0)),INDEX('Route List'!$B$6:$B$305,MATCH(B56,'Route List'!$A$6:$A$305,0))),""))</x:f>
      </x:c>
      <x:c r="E56" s="107"/>
      <x:c r="F56" s="108"/>
      <x:c r="G56" s="109" t="str">
        <x:f>IF(F56="","",IF(COUNTIFS(Buses!$A$6:$A$105,F56)=1,INDEX(Buses!$B$6:$B$105,MATCH(F56,Buses!$A$6:$A$105,0)),""))</x:f>
      </x:c>
      <x:c r="H56" s="109" t="str">
        <x:f>IF(G56="","",IF(COUNTIFS(Crew!$A$6:$A$105,G56)&gt;0,INDEX(Crew!$C$6:$C$105,MATCH(G56,Crew!$A$6:$A$105,0)),""))</x:f>
      </x:c>
      <x:c r="I56" s="108"/>
      <x:c r="J56" s="109" t="str">
        <x:f>IF(I56="","",IF(COUNTIFS(Crew!$A$6:$A$105,I56)&gt;0,INDEX(Crew!$C$6:$C$105,MATCH(I56,Crew!$A$6:$A$105,0)),""))</x:f>
      </x:c>
      <x:c r="K56" s="108"/>
      <x:c r="L56" s="109" t="str">
        <x:f>IF(K56="","",IF(COUNTIFS(Crew!$A$6:$A$105,K56)&gt;0,INDEX(Crew!$C$6:$C$105,MATCH(K56,Crew!$A$6:$A$105,0)),""))</x:f>
      </x:c>
      <x:c r="M56" s="90" t="str">
        <x:f>IF(B56="","",62)</x:f>
      </x:c>
      <x:c r="N56" s="107" t="str">
        <x:f>IF(B56="","",SUMIFS(Collections!$G$6:$G$505,Collections!$D$6:$D$505,A56))</x:f>
      </x:c>
      <x:c r="O56" s="98" t="str">
        <x:f>IF(B56="","",SUMIFS(Collections!$J$6:$J$505,Collections!$D$6:$D$505,A56))</x:f>
      </x:c>
      <x:c r="P56" s="98" t="str">
        <x:f>IF(B56="","",SUMIFS(Collections!$K$6:$K$505,Collections!$D$6:$D$505,A56))</x:f>
      </x:c>
      <x:c r="Q56" s="98" t="str">
        <x:f>IF(B56="","",SUMIFS(Collections!$L$6:$L$505,Collections!$D$6:$D$505,A56))</x:f>
      </x:c>
      <x:c r="R56" s="98" t="str">
        <x:f>IF(B56="","",SUMIFS(Collections!$M$6:$M$505,Collections!$D$6:$D$505,A56))</x:f>
      </x:c>
      <x:c r="S56" s="98" t="str">
        <x:f>IF(B56="","",SUMIFS(Collections!$N$6:$N$505,Collections!$D$6:$D$505,A56))</x:f>
      </x:c>
      <x:c r="T56" s="110" t="str">
        <x:f>IF(A56="","",IF(M56&gt;0,N56/M56,""))</x:f>
      </x:c>
    </x:row>
    <x:row r="57" ht="28" customHeight="1">
      <x:c r="A57" s="97" t="str">
        <x:f>IF(B57="","",MAX(Settings!$B$17-1,$A$6:A56)+1)</x:f>
      </x:c>
      <x:c r="B57" s="105"/>
      <x:c r="C57" s="106"/>
      <x:c r="D57" s="90" t="str">
        <x:f>IF(B57="","",IF(COUNTIFS('Route List'!$A$6:$A$305,B57)=1,IF(E57="Return",INDEX('Route List'!$C$6:$C$305,MATCH(B57,'Route List'!$A$6:$A$305,0)),INDEX('Route List'!$B$6:$B$305,MATCH(B57,'Route List'!$A$6:$A$305,0))),""))</x:f>
      </x:c>
      <x:c r="E57" s="107"/>
      <x:c r="F57" s="108"/>
      <x:c r="G57" s="109" t="str">
        <x:f>IF(F57="","",IF(COUNTIFS(Buses!$A$6:$A$105,F57)=1,INDEX(Buses!$B$6:$B$105,MATCH(F57,Buses!$A$6:$A$105,0)),""))</x:f>
      </x:c>
      <x:c r="H57" s="109" t="str">
        <x:f>IF(G57="","",IF(COUNTIFS(Crew!$A$6:$A$105,G57)&gt;0,INDEX(Crew!$C$6:$C$105,MATCH(G57,Crew!$A$6:$A$105,0)),""))</x:f>
      </x:c>
      <x:c r="I57" s="108"/>
      <x:c r="J57" s="109" t="str">
        <x:f>IF(I57="","",IF(COUNTIFS(Crew!$A$6:$A$105,I57)&gt;0,INDEX(Crew!$C$6:$C$105,MATCH(I57,Crew!$A$6:$A$105,0)),""))</x:f>
      </x:c>
      <x:c r="K57" s="108"/>
      <x:c r="L57" s="109" t="str">
        <x:f>IF(K57="","",IF(COUNTIFS(Crew!$A$6:$A$105,K57)&gt;0,INDEX(Crew!$C$6:$C$105,MATCH(K57,Crew!$A$6:$A$105,0)),""))</x:f>
      </x:c>
      <x:c r="M57" s="90" t="str">
        <x:f>IF(B57="","",62)</x:f>
      </x:c>
      <x:c r="N57" s="107" t="str">
        <x:f>IF(B57="","",SUMIFS(Collections!$G$6:$G$505,Collections!$D$6:$D$505,A57))</x:f>
      </x:c>
      <x:c r="O57" s="98" t="str">
        <x:f>IF(B57="","",SUMIFS(Collections!$J$6:$J$505,Collections!$D$6:$D$505,A57))</x:f>
      </x:c>
      <x:c r="P57" s="98" t="str">
        <x:f>IF(B57="","",SUMIFS(Collections!$K$6:$K$505,Collections!$D$6:$D$505,A57))</x:f>
      </x:c>
      <x:c r="Q57" s="98" t="str">
        <x:f>IF(B57="","",SUMIFS(Collections!$L$6:$L$505,Collections!$D$6:$D$505,A57))</x:f>
      </x:c>
      <x:c r="R57" s="98" t="str">
        <x:f>IF(B57="","",SUMIFS(Collections!$M$6:$M$505,Collections!$D$6:$D$505,A57))</x:f>
      </x:c>
      <x:c r="S57" s="98" t="str">
        <x:f>IF(B57="","",SUMIFS(Collections!$N$6:$N$505,Collections!$D$6:$D$505,A57))</x:f>
      </x:c>
      <x:c r="T57" s="110" t="str">
        <x:f>IF(A57="","",IF(M57&gt;0,N57/M57,""))</x:f>
      </x:c>
    </x:row>
    <x:row r="58" ht="28" customHeight="1">
      <x:c r="A58" s="97" t="str">
        <x:f>IF(B58="","",MAX(Settings!$B$17-1,$A$6:A57)+1)</x:f>
      </x:c>
      <x:c r="B58" s="105"/>
      <x:c r="C58" s="106"/>
      <x:c r="D58" s="90" t="str">
        <x:f>IF(B58="","",IF(COUNTIFS('Route List'!$A$6:$A$305,B58)=1,IF(E58="Return",INDEX('Route List'!$C$6:$C$305,MATCH(B58,'Route List'!$A$6:$A$305,0)),INDEX('Route List'!$B$6:$B$305,MATCH(B58,'Route List'!$A$6:$A$305,0))),""))</x:f>
      </x:c>
      <x:c r="E58" s="107"/>
      <x:c r="F58" s="108"/>
      <x:c r="G58" s="109" t="str">
        <x:f>IF(F58="","",IF(COUNTIFS(Buses!$A$6:$A$105,F58)=1,INDEX(Buses!$B$6:$B$105,MATCH(F58,Buses!$A$6:$A$105,0)),""))</x:f>
      </x:c>
      <x:c r="H58" s="109" t="str">
        <x:f>IF(G58="","",IF(COUNTIFS(Crew!$A$6:$A$105,G58)&gt;0,INDEX(Crew!$C$6:$C$105,MATCH(G58,Crew!$A$6:$A$105,0)),""))</x:f>
      </x:c>
      <x:c r="I58" s="108"/>
      <x:c r="J58" s="109" t="str">
        <x:f>IF(I58="","",IF(COUNTIFS(Crew!$A$6:$A$105,I58)&gt;0,INDEX(Crew!$C$6:$C$105,MATCH(I58,Crew!$A$6:$A$105,0)),""))</x:f>
      </x:c>
      <x:c r="K58" s="108"/>
      <x:c r="L58" s="109" t="str">
        <x:f>IF(K58="","",IF(COUNTIFS(Crew!$A$6:$A$105,K58)&gt;0,INDEX(Crew!$C$6:$C$105,MATCH(K58,Crew!$A$6:$A$105,0)),""))</x:f>
      </x:c>
      <x:c r="M58" s="90" t="str">
        <x:f>IF(B58="","",62)</x:f>
      </x:c>
      <x:c r="N58" s="107" t="str">
        <x:f>IF(B58="","",SUMIFS(Collections!$G$6:$G$505,Collections!$D$6:$D$505,A58))</x:f>
      </x:c>
      <x:c r="O58" s="98" t="str">
        <x:f>IF(B58="","",SUMIFS(Collections!$J$6:$J$505,Collections!$D$6:$D$505,A58))</x:f>
      </x:c>
      <x:c r="P58" s="98" t="str">
        <x:f>IF(B58="","",SUMIFS(Collections!$K$6:$K$505,Collections!$D$6:$D$505,A58))</x:f>
      </x:c>
      <x:c r="Q58" s="98" t="str">
        <x:f>IF(B58="","",SUMIFS(Collections!$L$6:$L$505,Collections!$D$6:$D$505,A58))</x:f>
      </x:c>
      <x:c r="R58" s="98" t="str">
        <x:f>IF(B58="","",SUMIFS(Collections!$M$6:$M$505,Collections!$D$6:$D$505,A58))</x:f>
      </x:c>
      <x:c r="S58" s="98" t="str">
        <x:f>IF(B58="","",SUMIFS(Collections!$N$6:$N$505,Collections!$D$6:$D$505,A58))</x:f>
      </x:c>
      <x:c r="T58" s="110" t="str">
        <x:f>IF(A58="","",IF(M58&gt;0,N58/M58,""))</x:f>
      </x:c>
    </x:row>
    <x:row r="59" ht="28" customHeight="1">
      <x:c r="A59" s="97" t="str">
        <x:f>IF(B59="","",MAX(Settings!$B$17-1,$A$6:A58)+1)</x:f>
      </x:c>
      <x:c r="B59" s="105"/>
      <x:c r="C59" s="106"/>
      <x:c r="D59" s="90" t="str">
        <x:f>IF(B59="","",IF(COUNTIFS('Route List'!$A$6:$A$305,B59)=1,IF(E59="Return",INDEX('Route List'!$C$6:$C$305,MATCH(B59,'Route List'!$A$6:$A$305,0)),INDEX('Route List'!$B$6:$B$305,MATCH(B59,'Route List'!$A$6:$A$305,0))),""))</x:f>
      </x:c>
      <x:c r="E59" s="107"/>
      <x:c r="F59" s="108"/>
      <x:c r="G59" s="109" t="str">
        <x:f>IF(F59="","",IF(COUNTIFS(Buses!$A$6:$A$105,F59)=1,INDEX(Buses!$B$6:$B$105,MATCH(F59,Buses!$A$6:$A$105,0)),""))</x:f>
      </x:c>
      <x:c r="H59" s="109" t="str">
        <x:f>IF(G59="","",IF(COUNTIFS(Crew!$A$6:$A$105,G59)&gt;0,INDEX(Crew!$C$6:$C$105,MATCH(G59,Crew!$A$6:$A$105,0)),""))</x:f>
      </x:c>
      <x:c r="I59" s="108"/>
      <x:c r="J59" s="109" t="str">
        <x:f>IF(I59="","",IF(COUNTIFS(Crew!$A$6:$A$105,I59)&gt;0,INDEX(Crew!$C$6:$C$105,MATCH(I59,Crew!$A$6:$A$105,0)),""))</x:f>
      </x:c>
      <x:c r="K59" s="108"/>
      <x:c r="L59" s="109" t="str">
        <x:f>IF(K59="","",IF(COUNTIFS(Crew!$A$6:$A$105,K59)&gt;0,INDEX(Crew!$C$6:$C$105,MATCH(K59,Crew!$A$6:$A$105,0)),""))</x:f>
      </x:c>
      <x:c r="M59" s="90" t="str">
        <x:f>IF(B59="","",62)</x:f>
      </x:c>
      <x:c r="N59" s="107" t="str">
        <x:f>IF(B59="","",SUMIFS(Collections!$G$6:$G$505,Collections!$D$6:$D$505,A59))</x:f>
      </x:c>
      <x:c r="O59" s="98" t="str">
        <x:f>IF(B59="","",SUMIFS(Collections!$J$6:$J$505,Collections!$D$6:$D$505,A59))</x:f>
      </x:c>
      <x:c r="P59" s="98" t="str">
        <x:f>IF(B59="","",SUMIFS(Collections!$K$6:$K$505,Collections!$D$6:$D$505,A59))</x:f>
      </x:c>
      <x:c r="Q59" s="98" t="str">
        <x:f>IF(B59="","",SUMIFS(Collections!$L$6:$L$505,Collections!$D$6:$D$505,A59))</x:f>
      </x:c>
      <x:c r="R59" s="98" t="str">
        <x:f>IF(B59="","",SUMIFS(Collections!$M$6:$M$505,Collections!$D$6:$D$505,A59))</x:f>
      </x:c>
      <x:c r="S59" s="98" t="str">
        <x:f>IF(B59="","",SUMIFS(Collections!$N$6:$N$505,Collections!$D$6:$D$505,A59))</x:f>
      </x:c>
      <x:c r="T59" s="110" t="str">
        <x:f>IF(A59="","",IF(M59&gt;0,N59/M59,""))</x:f>
      </x:c>
    </x:row>
    <x:row r="60" ht="28" customHeight="1">
      <x:c r="A60" s="97" t="str">
        <x:f>IF(B60="","",MAX(Settings!$B$17-1,$A$6:A59)+1)</x:f>
      </x:c>
      <x:c r="B60" s="105"/>
      <x:c r="C60" s="106"/>
      <x:c r="D60" s="90" t="str">
        <x:f>IF(B60="","",IF(COUNTIFS('Route List'!$A$6:$A$305,B60)=1,IF(E60="Return",INDEX('Route List'!$C$6:$C$305,MATCH(B60,'Route List'!$A$6:$A$305,0)),INDEX('Route List'!$B$6:$B$305,MATCH(B60,'Route List'!$A$6:$A$305,0))),""))</x:f>
      </x:c>
      <x:c r="E60" s="107"/>
      <x:c r="F60" s="108"/>
      <x:c r="G60" s="109" t="str">
        <x:f>IF(F60="","",IF(COUNTIFS(Buses!$A$6:$A$105,F60)=1,INDEX(Buses!$B$6:$B$105,MATCH(F60,Buses!$A$6:$A$105,0)),""))</x:f>
      </x:c>
      <x:c r="H60" s="109" t="str">
        <x:f>IF(G60="","",IF(COUNTIFS(Crew!$A$6:$A$105,G60)&gt;0,INDEX(Crew!$C$6:$C$105,MATCH(G60,Crew!$A$6:$A$105,0)),""))</x:f>
      </x:c>
      <x:c r="I60" s="108"/>
      <x:c r="J60" s="109" t="str">
        <x:f>IF(I60="","",IF(COUNTIFS(Crew!$A$6:$A$105,I60)&gt;0,INDEX(Crew!$C$6:$C$105,MATCH(I60,Crew!$A$6:$A$105,0)),""))</x:f>
      </x:c>
      <x:c r="K60" s="108"/>
      <x:c r="L60" s="109" t="str">
        <x:f>IF(K60="","",IF(COUNTIFS(Crew!$A$6:$A$105,K60)&gt;0,INDEX(Crew!$C$6:$C$105,MATCH(K60,Crew!$A$6:$A$105,0)),""))</x:f>
      </x:c>
      <x:c r="M60" s="90" t="str">
        <x:f>IF(B60="","",62)</x:f>
      </x:c>
      <x:c r="N60" s="107" t="str">
        <x:f>IF(B60="","",SUMIFS(Collections!$G$6:$G$505,Collections!$D$6:$D$505,A60))</x:f>
      </x:c>
      <x:c r="O60" s="98" t="str">
        <x:f>IF(B60="","",SUMIFS(Collections!$J$6:$J$505,Collections!$D$6:$D$505,A60))</x:f>
      </x:c>
      <x:c r="P60" s="98" t="str">
        <x:f>IF(B60="","",SUMIFS(Collections!$K$6:$K$505,Collections!$D$6:$D$505,A60))</x:f>
      </x:c>
      <x:c r="Q60" s="98" t="str">
        <x:f>IF(B60="","",SUMIFS(Collections!$L$6:$L$505,Collections!$D$6:$D$505,A60))</x:f>
      </x:c>
      <x:c r="R60" s="98" t="str">
        <x:f>IF(B60="","",SUMIFS(Collections!$M$6:$M$505,Collections!$D$6:$D$505,A60))</x:f>
      </x:c>
      <x:c r="S60" s="98" t="str">
        <x:f>IF(B60="","",SUMIFS(Collections!$N$6:$N$505,Collections!$D$6:$D$505,A60))</x:f>
      </x:c>
      <x:c r="T60" s="110" t="str">
        <x:f>IF(A60="","",IF(M60&gt;0,N60/M60,""))</x:f>
      </x:c>
    </x:row>
    <x:row r="61" ht="28" customHeight="1">
      <x:c r="A61" s="97" t="str">
        <x:f>IF(B61="","",MAX(Settings!$B$17-1,$A$6:A60)+1)</x:f>
      </x:c>
      <x:c r="B61" s="105"/>
      <x:c r="C61" s="106"/>
      <x:c r="D61" s="90" t="str">
        <x:f>IF(B61="","",IF(COUNTIFS('Route List'!$A$6:$A$305,B61)=1,IF(E61="Return",INDEX('Route List'!$C$6:$C$305,MATCH(B61,'Route List'!$A$6:$A$305,0)),INDEX('Route List'!$B$6:$B$305,MATCH(B61,'Route List'!$A$6:$A$305,0))),""))</x:f>
      </x:c>
      <x:c r="E61" s="107"/>
      <x:c r="F61" s="108"/>
      <x:c r="G61" s="109" t="str">
        <x:f>IF(F61="","",IF(COUNTIFS(Buses!$A$6:$A$105,F61)=1,INDEX(Buses!$B$6:$B$105,MATCH(F61,Buses!$A$6:$A$105,0)),""))</x:f>
      </x:c>
      <x:c r="H61" s="109" t="str">
        <x:f>IF(G61="","",IF(COUNTIFS(Crew!$A$6:$A$105,G61)&gt;0,INDEX(Crew!$C$6:$C$105,MATCH(G61,Crew!$A$6:$A$105,0)),""))</x:f>
      </x:c>
      <x:c r="I61" s="108"/>
      <x:c r="J61" s="109" t="str">
        <x:f>IF(I61="","",IF(COUNTIFS(Crew!$A$6:$A$105,I61)&gt;0,INDEX(Crew!$C$6:$C$105,MATCH(I61,Crew!$A$6:$A$105,0)),""))</x:f>
      </x:c>
      <x:c r="K61" s="108"/>
      <x:c r="L61" s="109" t="str">
        <x:f>IF(K61="","",IF(COUNTIFS(Crew!$A$6:$A$105,K61)&gt;0,INDEX(Crew!$C$6:$C$105,MATCH(K61,Crew!$A$6:$A$105,0)),""))</x:f>
      </x:c>
      <x:c r="M61" s="90" t="str">
        <x:f>IF(B61="","",62)</x:f>
      </x:c>
      <x:c r="N61" s="107" t="str">
        <x:f>IF(B61="","",SUMIFS(Collections!$G$6:$G$505,Collections!$D$6:$D$505,A61))</x:f>
      </x:c>
      <x:c r="O61" s="98" t="str">
        <x:f>IF(B61="","",SUMIFS(Collections!$J$6:$J$505,Collections!$D$6:$D$505,A61))</x:f>
      </x:c>
      <x:c r="P61" s="98" t="str">
        <x:f>IF(B61="","",SUMIFS(Collections!$K$6:$K$505,Collections!$D$6:$D$505,A61))</x:f>
      </x:c>
      <x:c r="Q61" s="98" t="str">
        <x:f>IF(B61="","",SUMIFS(Collections!$L$6:$L$505,Collections!$D$6:$D$505,A61))</x:f>
      </x:c>
      <x:c r="R61" s="98" t="str">
        <x:f>IF(B61="","",SUMIFS(Collections!$M$6:$M$505,Collections!$D$6:$D$505,A61))</x:f>
      </x:c>
      <x:c r="S61" s="98" t="str">
        <x:f>IF(B61="","",SUMIFS(Collections!$N$6:$N$505,Collections!$D$6:$D$505,A61))</x:f>
      </x:c>
      <x:c r="T61" s="110" t="str">
        <x:f>IF(A61="","",IF(M61&gt;0,N61/M61,""))</x:f>
      </x:c>
    </x:row>
    <x:row r="62" ht="28" customHeight="1">
      <x:c r="A62" s="97" t="str">
        <x:f>IF(B62="","",MAX(Settings!$B$17-1,$A$6:A61)+1)</x:f>
      </x:c>
      <x:c r="B62" s="105"/>
      <x:c r="C62" s="106"/>
      <x:c r="D62" s="90" t="str">
        <x:f>IF(B62="","",IF(COUNTIFS('Route List'!$A$6:$A$305,B62)=1,IF(E62="Return",INDEX('Route List'!$C$6:$C$305,MATCH(B62,'Route List'!$A$6:$A$305,0)),INDEX('Route List'!$B$6:$B$305,MATCH(B62,'Route List'!$A$6:$A$305,0))),""))</x:f>
      </x:c>
      <x:c r="E62" s="107"/>
      <x:c r="F62" s="108"/>
      <x:c r="G62" s="109" t="str">
        <x:f>IF(F62="","",IF(COUNTIFS(Buses!$A$6:$A$105,F62)=1,INDEX(Buses!$B$6:$B$105,MATCH(F62,Buses!$A$6:$A$105,0)),""))</x:f>
      </x:c>
      <x:c r="H62" s="109" t="str">
        <x:f>IF(G62="","",IF(COUNTIFS(Crew!$A$6:$A$105,G62)&gt;0,INDEX(Crew!$C$6:$C$105,MATCH(G62,Crew!$A$6:$A$105,0)),""))</x:f>
      </x:c>
      <x:c r="I62" s="108"/>
      <x:c r="J62" s="109" t="str">
        <x:f>IF(I62="","",IF(COUNTIFS(Crew!$A$6:$A$105,I62)&gt;0,INDEX(Crew!$C$6:$C$105,MATCH(I62,Crew!$A$6:$A$105,0)),""))</x:f>
      </x:c>
      <x:c r="K62" s="108"/>
      <x:c r="L62" s="109" t="str">
        <x:f>IF(K62="","",IF(COUNTIFS(Crew!$A$6:$A$105,K62)&gt;0,INDEX(Crew!$C$6:$C$105,MATCH(K62,Crew!$A$6:$A$105,0)),""))</x:f>
      </x:c>
      <x:c r="M62" s="90" t="str">
        <x:f>IF(B62="","",62)</x:f>
      </x:c>
      <x:c r="N62" s="107" t="str">
        <x:f>IF(B62="","",SUMIFS(Collections!$G$6:$G$505,Collections!$D$6:$D$505,A62))</x:f>
      </x:c>
      <x:c r="O62" s="98" t="str">
        <x:f>IF(B62="","",SUMIFS(Collections!$J$6:$J$505,Collections!$D$6:$D$505,A62))</x:f>
      </x:c>
      <x:c r="P62" s="98" t="str">
        <x:f>IF(B62="","",SUMIFS(Collections!$K$6:$K$505,Collections!$D$6:$D$505,A62))</x:f>
      </x:c>
      <x:c r="Q62" s="98" t="str">
        <x:f>IF(B62="","",SUMIFS(Collections!$L$6:$L$505,Collections!$D$6:$D$505,A62))</x:f>
      </x:c>
      <x:c r="R62" s="98" t="str">
        <x:f>IF(B62="","",SUMIFS(Collections!$M$6:$M$505,Collections!$D$6:$D$505,A62))</x:f>
      </x:c>
      <x:c r="S62" s="98" t="str">
        <x:f>IF(B62="","",SUMIFS(Collections!$N$6:$N$505,Collections!$D$6:$D$505,A62))</x:f>
      </x:c>
      <x:c r="T62" s="110" t="str">
        <x:f>IF(A62="","",IF(M62&gt;0,N62/M62,""))</x:f>
      </x:c>
    </x:row>
    <x:row r="63" ht="28" customHeight="1">
      <x:c r="A63" s="97" t="str">
        <x:f>IF(B63="","",MAX(Settings!$B$17-1,$A$6:A62)+1)</x:f>
      </x:c>
      <x:c r="B63" s="105"/>
      <x:c r="C63" s="106"/>
      <x:c r="D63" s="90" t="str">
        <x:f>IF(B63="","",IF(COUNTIFS('Route List'!$A$6:$A$305,B63)=1,IF(E63="Return",INDEX('Route List'!$C$6:$C$305,MATCH(B63,'Route List'!$A$6:$A$305,0)),INDEX('Route List'!$B$6:$B$305,MATCH(B63,'Route List'!$A$6:$A$305,0))),""))</x:f>
      </x:c>
      <x:c r="E63" s="107"/>
      <x:c r="F63" s="108"/>
      <x:c r="G63" s="109" t="str">
        <x:f>IF(F63="","",IF(COUNTIFS(Buses!$A$6:$A$105,F63)=1,INDEX(Buses!$B$6:$B$105,MATCH(F63,Buses!$A$6:$A$105,0)),""))</x:f>
      </x:c>
      <x:c r="H63" s="109" t="str">
        <x:f>IF(G63="","",IF(COUNTIFS(Crew!$A$6:$A$105,G63)&gt;0,INDEX(Crew!$C$6:$C$105,MATCH(G63,Crew!$A$6:$A$105,0)),""))</x:f>
      </x:c>
      <x:c r="I63" s="108"/>
      <x:c r="J63" s="109" t="str">
        <x:f>IF(I63="","",IF(COUNTIFS(Crew!$A$6:$A$105,I63)&gt;0,INDEX(Crew!$C$6:$C$105,MATCH(I63,Crew!$A$6:$A$105,0)),""))</x:f>
      </x:c>
      <x:c r="K63" s="108"/>
      <x:c r="L63" s="109" t="str">
        <x:f>IF(K63="","",IF(COUNTIFS(Crew!$A$6:$A$105,K63)&gt;0,INDEX(Crew!$C$6:$C$105,MATCH(K63,Crew!$A$6:$A$105,0)),""))</x:f>
      </x:c>
      <x:c r="M63" s="90" t="str">
        <x:f>IF(B63="","",62)</x:f>
      </x:c>
      <x:c r="N63" s="107" t="str">
        <x:f>IF(B63="","",SUMIFS(Collections!$G$6:$G$505,Collections!$D$6:$D$505,A63))</x:f>
      </x:c>
      <x:c r="O63" s="98" t="str">
        <x:f>IF(B63="","",SUMIFS(Collections!$J$6:$J$505,Collections!$D$6:$D$505,A63))</x:f>
      </x:c>
      <x:c r="P63" s="98" t="str">
        <x:f>IF(B63="","",SUMIFS(Collections!$K$6:$K$505,Collections!$D$6:$D$505,A63))</x:f>
      </x:c>
      <x:c r="Q63" s="98" t="str">
        <x:f>IF(B63="","",SUMIFS(Collections!$L$6:$L$505,Collections!$D$6:$D$505,A63))</x:f>
      </x:c>
      <x:c r="R63" s="98" t="str">
        <x:f>IF(B63="","",SUMIFS(Collections!$M$6:$M$505,Collections!$D$6:$D$505,A63))</x:f>
      </x:c>
      <x:c r="S63" s="98" t="str">
        <x:f>IF(B63="","",SUMIFS(Collections!$N$6:$N$505,Collections!$D$6:$D$505,A63))</x:f>
      </x:c>
      <x:c r="T63" s="110" t="str">
        <x:f>IF(A63="","",IF(M63&gt;0,N63/M63,""))</x:f>
      </x:c>
    </x:row>
    <x:row r="64" ht="28" customHeight="1">
      <x:c r="A64" s="97" t="str">
        <x:f>IF(B64="","",MAX(Settings!$B$17-1,$A$6:A63)+1)</x:f>
      </x:c>
      <x:c r="B64" s="105"/>
      <x:c r="C64" s="106"/>
      <x:c r="D64" s="90" t="str">
        <x:f>IF(B64="","",IF(COUNTIFS('Route List'!$A$6:$A$305,B64)=1,IF(E64="Return",INDEX('Route List'!$C$6:$C$305,MATCH(B64,'Route List'!$A$6:$A$305,0)),INDEX('Route List'!$B$6:$B$305,MATCH(B64,'Route List'!$A$6:$A$305,0))),""))</x:f>
      </x:c>
      <x:c r="E64" s="107"/>
      <x:c r="F64" s="108"/>
      <x:c r="G64" s="109" t="str">
        <x:f>IF(F64="","",IF(COUNTIFS(Buses!$A$6:$A$105,F64)=1,INDEX(Buses!$B$6:$B$105,MATCH(F64,Buses!$A$6:$A$105,0)),""))</x:f>
      </x:c>
      <x:c r="H64" s="109" t="str">
        <x:f>IF(G64="","",IF(COUNTIFS(Crew!$A$6:$A$105,G64)&gt;0,INDEX(Crew!$C$6:$C$105,MATCH(G64,Crew!$A$6:$A$105,0)),""))</x:f>
      </x:c>
      <x:c r="I64" s="108"/>
      <x:c r="J64" s="109" t="str">
        <x:f>IF(I64="","",IF(COUNTIFS(Crew!$A$6:$A$105,I64)&gt;0,INDEX(Crew!$C$6:$C$105,MATCH(I64,Crew!$A$6:$A$105,0)),""))</x:f>
      </x:c>
      <x:c r="K64" s="108"/>
      <x:c r="L64" s="109" t="str">
        <x:f>IF(K64="","",IF(COUNTIFS(Crew!$A$6:$A$105,K64)&gt;0,INDEX(Crew!$C$6:$C$105,MATCH(K64,Crew!$A$6:$A$105,0)),""))</x:f>
      </x:c>
      <x:c r="M64" s="90" t="str">
        <x:f>IF(B64="","",62)</x:f>
      </x:c>
      <x:c r="N64" s="107" t="str">
        <x:f>IF(B64="","",SUMIFS(Collections!$G$6:$G$505,Collections!$D$6:$D$505,A64))</x:f>
      </x:c>
      <x:c r="O64" s="98" t="str">
        <x:f>IF(B64="","",SUMIFS(Collections!$J$6:$J$505,Collections!$D$6:$D$505,A64))</x:f>
      </x:c>
      <x:c r="P64" s="98" t="str">
        <x:f>IF(B64="","",SUMIFS(Collections!$K$6:$K$505,Collections!$D$6:$D$505,A64))</x:f>
      </x:c>
      <x:c r="Q64" s="98" t="str">
        <x:f>IF(B64="","",SUMIFS(Collections!$L$6:$L$505,Collections!$D$6:$D$505,A64))</x:f>
      </x:c>
      <x:c r="R64" s="98" t="str">
        <x:f>IF(B64="","",SUMIFS(Collections!$M$6:$M$505,Collections!$D$6:$D$505,A64))</x:f>
      </x:c>
      <x:c r="S64" s="98" t="str">
        <x:f>IF(B64="","",SUMIFS(Collections!$N$6:$N$505,Collections!$D$6:$D$505,A64))</x:f>
      </x:c>
      <x:c r="T64" s="110" t="str">
        <x:f>IF(A64="","",IF(M64&gt;0,N64/M64,""))</x:f>
      </x:c>
    </x:row>
    <x:row r="65" ht="28" customHeight="1">
      <x:c r="A65" s="97" t="str">
        <x:f>IF(B65="","",MAX(Settings!$B$17-1,$A$6:A64)+1)</x:f>
      </x:c>
      <x:c r="B65" s="105"/>
      <x:c r="C65" s="106"/>
      <x:c r="D65" s="90" t="str">
        <x:f>IF(B65="","",IF(COUNTIFS('Route List'!$A$6:$A$305,B65)=1,IF(E65="Return",INDEX('Route List'!$C$6:$C$305,MATCH(B65,'Route List'!$A$6:$A$305,0)),INDEX('Route List'!$B$6:$B$305,MATCH(B65,'Route List'!$A$6:$A$305,0))),""))</x:f>
      </x:c>
      <x:c r="E65" s="107"/>
      <x:c r="F65" s="108"/>
      <x:c r="G65" s="109" t="str">
        <x:f>IF(F65="","",IF(COUNTIFS(Buses!$A$6:$A$105,F65)=1,INDEX(Buses!$B$6:$B$105,MATCH(F65,Buses!$A$6:$A$105,0)),""))</x:f>
      </x:c>
      <x:c r="H65" s="109" t="str">
        <x:f>IF(G65="","",IF(COUNTIFS(Crew!$A$6:$A$105,G65)&gt;0,INDEX(Crew!$C$6:$C$105,MATCH(G65,Crew!$A$6:$A$105,0)),""))</x:f>
      </x:c>
      <x:c r="I65" s="108"/>
      <x:c r="J65" s="109" t="str">
        <x:f>IF(I65="","",IF(COUNTIFS(Crew!$A$6:$A$105,I65)&gt;0,INDEX(Crew!$C$6:$C$105,MATCH(I65,Crew!$A$6:$A$105,0)),""))</x:f>
      </x:c>
      <x:c r="K65" s="108"/>
      <x:c r="L65" s="109" t="str">
        <x:f>IF(K65="","",IF(COUNTIFS(Crew!$A$6:$A$105,K65)&gt;0,INDEX(Crew!$C$6:$C$105,MATCH(K65,Crew!$A$6:$A$105,0)),""))</x:f>
      </x:c>
      <x:c r="M65" s="90" t="str">
        <x:f>IF(B65="","",62)</x:f>
      </x:c>
      <x:c r="N65" s="107" t="str">
        <x:f>IF(B65="","",SUMIFS(Collections!$G$6:$G$505,Collections!$D$6:$D$505,A65))</x:f>
      </x:c>
      <x:c r="O65" s="98" t="str">
        <x:f>IF(B65="","",SUMIFS(Collections!$J$6:$J$505,Collections!$D$6:$D$505,A65))</x:f>
      </x:c>
      <x:c r="P65" s="98" t="str">
        <x:f>IF(B65="","",SUMIFS(Collections!$K$6:$K$505,Collections!$D$6:$D$505,A65))</x:f>
      </x:c>
      <x:c r="Q65" s="98" t="str">
        <x:f>IF(B65="","",SUMIFS(Collections!$L$6:$L$505,Collections!$D$6:$D$505,A65))</x:f>
      </x:c>
      <x:c r="R65" s="98" t="str">
        <x:f>IF(B65="","",SUMIFS(Collections!$M$6:$M$505,Collections!$D$6:$D$505,A65))</x:f>
      </x:c>
      <x:c r="S65" s="98" t="str">
        <x:f>IF(B65="","",SUMIFS(Collections!$N$6:$N$505,Collections!$D$6:$D$505,A65))</x:f>
      </x:c>
      <x:c r="T65" s="110" t="str">
        <x:f>IF(A65="","",IF(M65&gt;0,N65/M65,""))</x:f>
      </x:c>
    </x:row>
    <x:row r="66" ht="28" customHeight="1">
      <x:c r="A66" s="97" t="str">
        <x:f>IF(B66="","",MAX(Settings!$B$17-1,$A$6:A65)+1)</x:f>
      </x:c>
      <x:c r="B66" s="105"/>
      <x:c r="C66" s="106"/>
      <x:c r="D66" s="90" t="str">
        <x:f>IF(B66="","",IF(COUNTIFS('Route List'!$A$6:$A$305,B66)=1,IF(E66="Return",INDEX('Route List'!$C$6:$C$305,MATCH(B66,'Route List'!$A$6:$A$305,0)),INDEX('Route List'!$B$6:$B$305,MATCH(B66,'Route List'!$A$6:$A$305,0))),""))</x:f>
      </x:c>
      <x:c r="E66" s="107"/>
      <x:c r="F66" s="108"/>
      <x:c r="G66" s="109" t="str">
        <x:f>IF(F66="","",IF(COUNTIFS(Buses!$A$6:$A$105,F66)=1,INDEX(Buses!$B$6:$B$105,MATCH(F66,Buses!$A$6:$A$105,0)),""))</x:f>
      </x:c>
      <x:c r="H66" s="109" t="str">
        <x:f>IF(G66="","",IF(COUNTIFS(Crew!$A$6:$A$105,G66)&gt;0,INDEX(Crew!$C$6:$C$105,MATCH(G66,Crew!$A$6:$A$105,0)),""))</x:f>
      </x:c>
      <x:c r="I66" s="108"/>
      <x:c r="J66" s="109" t="str">
        <x:f>IF(I66="","",IF(COUNTIFS(Crew!$A$6:$A$105,I66)&gt;0,INDEX(Crew!$C$6:$C$105,MATCH(I66,Crew!$A$6:$A$105,0)),""))</x:f>
      </x:c>
      <x:c r="K66" s="108"/>
      <x:c r="L66" s="109" t="str">
        <x:f>IF(K66="","",IF(COUNTIFS(Crew!$A$6:$A$105,K66)&gt;0,INDEX(Crew!$C$6:$C$105,MATCH(K66,Crew!$A$6:$A$105,0)),""))</x:f>
      </x:c>
      <x:c r="M66" s="90" t="str">
        <x:f>IF(B66="","",62)</x:f>
      </x:c>
      <x:c r="N66" s="107" t="str">
        <x:f>IF(B66="","",SUMIFS(Collections!$G$6:$G$505,Collections!$D$6:$D$505,A66))</x:f>
      </x:c>
      <x:c r="O66" s="98" t="str">
        <x:f>IF(B66="","",SUMIFS(Collections!$J$6:$J$505,Collections!$D$6:$D$505,A66))</x:f>
      </x:c>
      <x:c r="P66" s="98" t="str">
        <x:f>IF(B66="","",SUMIFS(Collections!$K$6:$K$505,Collections!$D$6:$D$505,A66))</x:f>
      </x:c>
      <x:c r="Q66" s="98" t="str">
        <x:f>IF(B66="","",SUMIFS(Collections!$L$6:$L$505,Collections!$D$6:$D$505,A66))</x:f>
      </x:c>
      <x:c r="R66" s="98" t="str">
        <x:f>IF(B66="","",SUMIFS(Collections!$M$6:$M$505,Collections!$D$6:$D$505,A66))</x:f>
      </x:c>
      <x:c r="S66" s="98" t="str">
        <x:f>IF(B66="","",SUMIFS(Collections!$N$6:$N$505,Collections!$D$6:$D$505,A66))</x:f>
      </x:c>
      <x:c r="T66" s="110" t="str">
        <x:f>IF(A66="","",IF(M66&gt;0,N66/M66,""))</x:f>
      </x:c>
    </x:row>
    <x:row r="67" ht="28" customHeight="1">
      <x:c r="A67" s="97" t="str">
        <x:f>IF(B67="","",MAX(Settings!$B$17-1,$A$6:A66)+1)</x:f>
      </x:c>
      <x:c r="B67" s="105"/>
      <x:c r="C67" s="106"/>
      <x:c r="D67" s="90" t="str">
        <x:f>IF(B67="","",IF(COUNTIFS('Route List'!$A$6:$A$305,B67)=1,IF(E67="Return",INDEX('Route List'!$C$6:$C$305,MATCH(B67,'Route List'!$A$6:$A$305,0)),INDEX('Route List'!$B$6:$B$305,MATCH(B67,'Route List'!$A$6:$A$305,0))),""))</x:f>
      </x:c>
      <x:c r="E67" s="107"/>
      <x:c r="F67" s="108"/>
      <x:c r="G67" s="109" t="str">
        <x:f>IF(F67="","",IF(COUNTIFS(Buses!$A$6:$A$105,F67)=1,INDEX(Buses!$B$6:$B$105,MATCH(F67,Buses!$A$6:$A$105,0)),""))</x:f>
      </x:c>
      <x:c r="H67" s="109" t="str">
        <x:f>IF(G67="","",IF(COUNTIFS(Crew!$A$6:$A$105,G67)&gt;0,INDEX(Crew!$C$6:$C$105,MATCH(G67,Crew!$A$6:$A$105,0)),""))</x:f>
      </x:c>
      <x:c r="I67" s="108"/>
      <x:c r="J67" s="109" t="str">
        <x:f>IF(I67="","",IF(COUNTIFS(Crew!$A$6:$A$105,I67)&gt;0,INDEX(Crew!$C$6:$C$105,MATCH(I67,Crew!$A$6:$A$105,0)),""))</x:f>
      </x:c>
      <x:c r="K67" s="108"/>
      <x:c r="L67" s="109" t="str">
        <x:f>IF(K67="","",IF(COUNTIFS(Crew!$A$6:$A$105,K67)&gt;0,INDEX(Crew!$C$6:$C$105,MATCH(K67,Crew!$A$6:$A$105,0)),""))</x:f>
      </x:c>
      <x:c r="M67" s="90" t="str">
        <x:f>IF(B67="","",62)</x:f>
      </x:c>
      <x:c r="N67" s="107" t="str">
        <x:f>IF(B67="","",SUMIFS(Collections!$G$6:$G$505,Collections!$D$6:$D$505,A67))</x:f>
      </x:c>
      <x:c r="O67" s="98" t="str">
        <x:f>IF(B67="","",SUMIFS(Collections!$J$6:$J$505,Collections!$D$6:$D$505,A67))</x:f>
      </x:c>
      <x:c r="P67" s="98" t="str">
        <x:f>IF(B67="","",SUMIFS(Collections!$K$6:$K$505,Collections!$D$6:$D$505,A67))</x:f>
      </x:c>
      <x:c r="Q67" s="98" t="str">
        <x:f>IF(B67="","",SUMIFS(Collections!$L$6:$L$505,Collections!$D$6:$D$505,A67))</x:f>
      </x:c>
      <x:c r="R67" s="98" t="str">
        <x:f>IF(B67="","",SUMIFS(Collections!$M$6:$M$505,Collections!$D$6:$D$505,A67))</x:f>
      </x:c>
      <x:c r="S67" s="98" t="str">
        <x:f>IF(B67="","",SUMIFS(Collections!$N$6:$N$505,Collections!$D$6:$D$505,A67))</x:f>
      </x:c>
      <x:c r="T67" s="110" t="str">
        <x:f>IF(A67="","",IF(M67&gt;0,N67/M67,""))</x:f>
      </x:c>
    </x:row>
    <x:row r="68" ht="28" customHeight="1">
      <x:c r="A68" s="97" t="str">
        <x:f>IF(B68="","",MAX(Settings!$B$17-1,$A$6:A67)+1)</x:f>
      </x:c>
      <x:c r="B68" s="105"/>
      <x:c r="C68" s="106"/>
      <x:c r="D68" s="90" t="str">
        <x:f>IF(B68="","",IF(COUNTIFS('Route List'!$A$6:$A$305,B68)=1,IF(E68="Return",INDEX('Route List'!$C$6:$C$305,MATCH(B68,'Route List'!$A$6:$A$305,0)),INDEX('Route List'!$B$6:$B$305,MATCH(B68,'Route List'!$A$6:$A$305,0))),""))</x:f>
      </x:c>
      <x:c r="E68" s="107"/>
      <x:c r="F68" s="108"/>
      <x:c r="G68" s="109" t="str">
        <x:f>IF(F68="","",IF(COUNTIFS(Buses!$A$6:$A$105,F68)=1,INDEX(Buses!$B$6:$B$105,MATCH(F68,Buses!$A$6:$A$105,0)),""))</x:f>
      </x:c>
      <x:c r="H68" s="109" t="str">
        <x:f>IF(G68="","",IF(COUNTIFS(Crew!$A$6:$A$105,G68)&gt;0,INDEX(Crew!$C$6:$C$105,MATCH(G68,Crew!$A$6:$A$105,0)),""))</x:f>
      </x:c>
      <x:c r="I68" s="108"/>
      <x:c r="J68" s="109" t="str">
        <x:f>IF(I68="","",IF(COUNTIFS(Crew!$A$6:$A$105,I68)&gt;0,INDEX(Crew!$C$6:$C$105,MATCH(I68,Crew!$A$6:$A$105,0)),""))</x:f>
      </x:c>
      <x:c r="K68" s="108"/>
      <x:c r="L68" s="109" t="str">
        <x:f>IF(K68="","",IF(COUNTIFS(Crew!$A$6:$A$105,K68)&gt;0,INDEX(Crew!$C$6:$C$105,MATCH(K68,Crew!$A$6:$A$105,0)),""))</x:f>
      </x:c>
      <x:c r="M68" s="90" t="str">
        <x:f>IF(B68="","",62)</x:f>
      </x:c>
      <x:c r="N68" s="107" t="str">
        <x:f>IF(B68="","",SUMIFS(Collections!$G$6:$G$505,Collections!$D$6:$D$505,A68))</x:f>
      </x:c>
      <x:c r="O68" s="98" t="str">
        <x:f>IF(B68="","",SUMIFS(Collections!$J$6:$J$505,Collections!$D$6:$D$505,A68))</x:f>
      </x:c>
      <x:c r="P68" s="98" t="str">
        <x:f>IF(B68="","",SUMIFS(Collections!$K$6:$K$505,Collections!$D$6:$D$505,A68))</x:f>
      </x:c>
      <x:c r="Q68" s="98" t="str">
        <x:f>IF(B68="","",SUMIFS(Collections!$L$6:$L$505,Collections!$D$6:$D$505,A68))</x:f>
      </x:c>
      <x:c r="R68" s="98" t="str">
        <x:f>IF(B68="","",SUMIFS(Collections!$M$6:$M$505,Collections!$D$6:$D$505,A68))</x:f>
      </x:c>
      <x:c r="S68" s="98" t="str">
        <x:f>IF(B68="","",SUMIFS(Collections!$N$6:$N$505,Collections!$D$6:$D$505,A68))</x:f>
      </x:c>
      <x:c r="T68" s="110" t="str">
        <x:f>IF(A68="","",IF(M68&gt;0,N68/M68,""))</x:f>
      </x:c>
    </x:row>
    <x:row r="69" ht="28" customHeight="1">
      <x:c r="A69" s="97" t="str">
        <x:f>IF(B69="","",MAX(Settings!$B$17-1,$A$6:A68)+1)</x:f>
      </x:c>
      <x:c r="B69" s="105"/>
      <x:c r="C69" s="106"/>
      <x:c r="D69" s="90" t="str">
        <x:f>IF(B69="","",IF(COUNTIFS('Route List'!$A$6:$A$305,B69)=1,IF(E69="Return",INDEX('Route List'!$C$6:$C$305,MATCH(B69,'Route List'!$A$6:$A$305,0)),INDEX('Route List'!$B$6:$B$305,MATCH(B69,'Route List'!$A$6:$A$305,0))),""))</x:f>
      </x:c>
      <x:c r="E69" s="107"/>
      <x:c r="F69" s="108"/>
      <x:c r="G69" s="109" t="str">
        <x:f>IF(F69="","",IF(COUNTIFS(Buses!$A$6:$A$105,F69)=1,INDEX(Buses!$B$6:$B$105,MATCH(F69,Buses!$A$6:$A$105,0)),""))</x:f>
      </x:c>
      <x:c r="H69" s="109" t="str">
        <x:f>IF(G69="","",IF(COUNTIFS(Crew!$A$6:$A$105,G69)&gt;0,INDEX(Crew!$C$6:$C$105,MATCH(G69,Crew!$A$6:$A$105,0)),""))</x:f>
      </x:c>
      <x:c r="I69" s="108"/>
      <x:c r="J69" s="109" t="str">
        <x:f>IF(I69="","",IF(COUNTIFS(Crew!$A$6:$A$105,I69)&gt;0,INDEX(Crew!$C$6:$C$105,MATCH(I69,Crew!$A$6:$A$105,0)),""))</x:f>
      </x:c>
      <x:c r="K69" s="108"/>
      <x:c r="L69" s="109" t="str">
        <x:f>IF(K69="","",IF(COUNTIFS(Crew!$A$6:$A$105,K69)&gt;0,INDEX(Crew!$C$6:$C$105,MATCH(K69,Crew!$A$6:$A$105,0)),""))</x:f>
      </x:c>
      <x:c r="M69" s="90" t="str">
        <x:f>IF(B69="","",62)</x:f>
      </x:c>
      <x:c r="N69" s="107" t="str">
        <x:f>IF(B69="","",SUMIFS(Collections!$G$6:$G$505,Collections!$D$6:$D$505,A69))</x:f>
      </x:c>
      <x:c r="O69" s="98" t="str">
        <x:f>IF(B69="","",SUMIFS(Collections!$J$6:$J$505,Collections!$D$6:$D$505,A69))</x:f>
      </x:c>
      <x:c r="P69" s="98" t="str">
        <x:f>IF(B69="","",SUMIFS(Collections!$K$6:$K$505,Collections!$D$6:$D$505,A69))</x:f>
      </x:c>
      <x:c r="Q69" s="98" t="str">
        <x:f>IF(B69="","",SUMIFS(Collections!$L$6:$L$505,Collections!$D$6:$D$505,A69))</x:f>
      </x:c>
      <x:c r="R69" s="98" t="str">
        <x:f>IF(B69="","",SUMIFS(Collections!$M$6:$M$505,Collections!$D$6:$D$505,A69))</x:f>
      </x:c>
      <x:c r="S69" s="98" t="str">
        <x:f>IF(B69="","",SUMIFS(Collections!$N$6:$N$505,Collections!$D$6:$D$505,A69))</x:f>
      </x:c>
      <x:c r="T69" s="110" t="str">
        <x:f>IF(A69="","",IF(M69&gt;0,N69/M69,""))</x:f>
      </x:c>
    </x:row>
    <x:row r="70" ht="28" customHeight="1">
      <x:c r="A70" s="97" t="str">
        <x:f>IF(B70="","",MAX(Settings!$B$17-1,$A$6:A69)+1)</x:f>
      </x:c>
      <x:c r="B70" s="105"/>
      <x:c r="C70" s="106"/>
      <x:c r="D70" s="90" t="str">
        <x:f>IF(B70="","",IF(COUNTIFS('Route List'!$A$6:$A$305,B70)=1,IF(E70="Return",INDEX('Route List'!$C$6:$C$305,MATCH(B70,'Route List'!$A$6:$A$305,0)),INDEX('Route List'!$B$6:$B$305,MATCH(B70,'Route List'!$A$6:$A$305,0))),""))</x:f>
      </x:c>
      <x:c r="E70" s="107"/>
      <x:c r="F70" s="108"/>
      <x:c r="G70" s="109" t="str">
        <x:f>IF(F70="","",IF(COUNTIFS(Buses!$A$6:$A$105,F70)=1,INDEX(Buses!$B$6:$B$105,MATCH(F70,Buses!$A$6:$A$105,0)),""))</x:f>
      </x:c>
      <x:c r="H70" s="109" t="str">
        <x:f>IF(G70="","",IF(COUNTIFS(Crew!$A$6:$A$105,G70)&gt;0,INDEX(Crew!$C$6:$C$105,MATCH(G70,Crew!$A$6:$A$105,0)),""))</x:f>
      </x:c>
      <x:c r="I70" s="108"/>
      <x:c r="J70" s="109" t="str">
        <x:f>IF(I70="","",IF(COUNTIFS(Crew!$A$6:$A$105,I70)&gt;0,INDEX(Crew!$C$6:$C$105,MATCH(I70,Crew!$A$6:$A$105,0)),""))</x:f>
      </x:c>
      <x:c r="K70" s="108"/>
      <x:c r="L70" s="109" t="str">
        <x:f>IF(K70="","",IF(COUNTIFS(Crew!$A$6:$A$105,K70)&gt;0,INDEX(Crew!$C$6:$C$105,MATCH(K70,Crew!$A$6:$A$105,0)),""))</x:f>
      </x:c>
      <x:c r="M70" s="90" t="str">
        <x:f>IF(B70="","",62)</x:f>
      </x:c>
      <x:c r="N70" s="107" t="str">
        <x:f>IF(B70="","",SUMIFS(Collections!$G$6:$G$505,Collections!$D$6:$D$505,A70))</x:f>
      </x:c>
      <x:c r="O70" s="98" t="str">
        <x:f>IF(B70="","",SUMIFS(Collections!$J$6:$J$505,Collections!$D$6:$D$505,A70))</x:f>
      </x:c>
      <x:c r="P70" s="98" t="str">
        <x:f>IF(B70="","",SUMIFS(Collections!$K$6:$K$505,Collections!$D$6:$D$505,A70))</x:f>
      </x:c>
      <x:c r="Q70" s="98" t="str">
        <x:f>IF(B70="","",SUMIFS(Collections!$L$6:$L$505,Collections!$D$6:$D$505,A70))</x:f>
      </x:c>
      <x:c r="R70" s="98" t="str">
        <x:f>IF(B70="","",SUMIFS(Collections!$M$6:$M$505,Collections!$D$6:$D$505,A70))</x:f>
      </x:c>
      <x:c r="S70" s="98" t="str">
        <x:f>IF(B70="","",SUMIFS(Collections!$N$6:$N$505,Collections!$D$6:$D$505,A70))</x:f>
      </x:c>
      <x:c r="T70" s="110" t="str">
        <x:f>IF(A70="","",IF(M70&gt;0,N70/M70,""))</x:f>
      </x:c>
    </x:row>
    <x:row r="71" ht="28" customHeight="1">
      <x:c r="A71" s="97" t="str">
        <x:f>IF(B71="","",MAX(Settings!$B$17-1,$A$6:A70)+1)</x:f>
      </x:c>
      <x:c r="B71" s="105"/>
      <x:c r="C71" s="106"/>
      <x:c r="D71" s="90" t="str">
        <x:f>IF(B71="","",IF(COUNTIFS('Route List'!$A$6:$A$305,B71)=1,IF(E71="Return",INDEX('Route List'!$C$6:$C$305,MATCH(B71,'Route List'!$A$6:$A$305,0)),INDEX('Route List'!$B$6:$B$305,MATCH(B71,'Route List'!$A$6:$A$305,0))),""))</x:f>
      </x:c>
      <x:c r="E71" s="107"/>
      <x:c r="F71" s="108"/>
      <x:c r="G71" s="109" t="str">
        <x:f>IF(F71="","",IF(COUNTIFS(Buses!$A$6:$A$105,F71)=1,INDEX(Buses!$B$6:$B$105,MATCH(F71,Buses!$A$6:$A$105,0)),""))</x:f>
      </x:c>
      <x:c r="H71" s="109" t="str">
        <x:f>IF(G71="","",IF(COUNTIFS(Crew!$A$6:$A$105,G71)&gt;0,INDEX(Crew!$C$6:$C$105,MATCH(G71,Crew!$A$6:$A$105,0)),""))</x:f>
      </x:c>
      <x:c r="I71" s="108"/>
      <x:c r="J71" s="109" t="str">
        <x:f>IF(I71="","",IF(COUNTIFS(Crew!$A$6:$A$105,I71)&gt;0,INDEX(Crew!$C$6:$C$105,MATCH(I71,Crew!$A$6:$A$105,0)),""))</x:f>
      </x:c>
      <x:c r="K71" s="108"/>
      <x:c r="L71" s="109" t="str">
        <x:f>IF(K71="","",IF(COUNTIFS(Crew!$A$6:$A$105,K71)&gt;0,INDEX(Crew!$C$6:$C$105,MATCH(K71,Crew!$A$6:$A$105,0)),""))</x:f>
      </x:c>
      <x:c r="M71" s="90" t="str">
        <x:f>IF(B71="","",62)</x:f>
      </x:c>
      <x:c r="N71" s="107" t="str">
        <x:f>IF(B71="","",SUMIFS(Collections!$G$6:$G$505,Collections!$D$6:$D$505,A71))</x:f>
      </x:c>
      <x:c r="O71" s="98" t="str">
        <x:f>IF(B71="","",SUMIFS(Collections!$J$6:$J$505,Collections!$D$6:$D$505,A71))</x:f>
      </x:c>
      <x:c r="P71" s="98" t="str">
        <x:f>IF(B71="","",SUMIFS(Collections!$K$6:$K$505,Collections!$D$6:$D$505,A71))</x:f>
      </x:c>
      <x:c r="Q71" s="98" t="str">
        <x:f>IF(B71="","",SUMIFS(Collections!$L$6:$L$505,Collections!$D$6:$D$505,A71))</x:f>
      </x:c>
      <x:c r="R71" s="98" t="str">
        <x:f>IF(B71="","",SUMIFS(Collections!$M$6:$M$505,Collections!$D$6:$D$505,A71))</x:f>
      </x:c>
      <x:c r="S71" s="98" t="str">
        <x:f>IF(B71="","",SUMIFS(Collections!$N$6:$N$505,Collections!$D$6:$D$505,A71))</x:f>
      </x:c>
      <x:c r="T71" s="110" t="str">
        <x:f>IF(A71="","",IF(M71&gt;0,N71/M71,""))</x:f>
      </x:c>
    </x:row>
    <x:row r="72" ht="28" customHeight="1">
      <x:c r="A72" s="97" t="str">
        <x:f>IF(B72="","",MAX(Settings!$B$17-1,$A$6:A71)+1)</x:f>
      </x:c>
      <x:c r="B72" s="105"/>
      <x:c r="C72" s="106"/>
      <x:c r="D72" s="90" t="str">
        <x:f>IF(B72="","",IF(COUNTIFS('Route List'!$A$6:$A$305,B72)=1,IF(E72="Return",INDEX('Route List'!$C$6:$C$305,MATCH(B72,'Route List'!$A$6:$A$305,0)),INDEX('Route List'!$B$6:$B$305,MATCH(B72,'Route List'!$A$6:$A$305,0))),""))</x:f>
      </x:c>
      <x:c r="E72" s="107"/>
      <x:c r="F72" s="108"/>
      <x:c r="G72" s="109" t="str">
        <x:f>IF(F72="","",IF(COUNTIFS(Buses!$A$6:$A$105,F72)=1,INDEX(Buses!$B$6:$B$105,MATCH(F72,Buses!$A$6:$A$105,0)),""))</x:f>
      </x:c>
      <x:c r="H72" s="109" t="str">
        <x:f>IF(G72="","",IF(COUNTIFS(Crew!$A$6:$A$105,G72)&gt;0,INDEX(Crew!$C$6:$C$105,MATCH(G72,Crew!$A$6:$A$105,0)),""))</x:f>
      </x:c>
      <x:c r="I72" s="108"/>
      <x:c r="J72" s="109" t="str">
        <x:f>IF(I72="","",IF(COUNTIFS(Crew!$A$6:$A$105,I72)&gt;0,INDEX(Crew!$C$6:$C$105,MATCH(I72,Crew!$A$6:$A$105,0)),""))</x:f>
      </x:c>
      <x:c r="K72" s="108"/>
      <x:c r="L72" s="109" t="str">
        <x:f>IF(K72="","",IF(COUNTIFS(Crew!$A$6:$A$105,K72)&gt;0,INDEX(Crew!$C$6:$C$105,MATCH(K72,Crew!$A$6:$A$105,0)),""))</x:f>
      </x:c>
      <x:c r="M72" s="90" t="str">
        <x:f>IF(B72="","",62)</x:f>
      </x:c>
      <x:c r="N72" s="107" t="str">
        <x:f>IF(B72="","",SUMIFS(Collections!$G$6:$G$505,Collections!$D$6:$D$505,A72))</x:f>
      </x:c>
      <x:c r="O72" s="98" t="str">
        <x:f>IF(B72="","",SUMIFS(Collections!$J$6:$J$505,Collections!$D$6:$D$505,A72))</x:f>
      </x:c>
      <x:c r="P72" s="98" t="str">
        <x:f>IF(B72="","",SUMIFS(Collections!$K$6:$K$505,Collections!$D$6:$D$505,A72))</x:f>
      </x:c>
      <x:c r="Q72" s="98" t="str">
        <x:f>IF(B72="","",SUMIFS(Collections!$L$6:$L$505,Collections!$D$6:$D$505,A72))</x:f>
      </x:c>
      <x:c r="R72" s="98" t="str">
        <x:f>IF(B72="","",SUMIFS(Collections!$M$6:$M$505,Collections!$D$6:$D$505,A72))</x:f>
      </x:c>
      <x:c r="S72" s="98" t="str">
        <x:f>IF(B72="","",SUMIFS(Collections!$N$6:$N$505,Collections!$D$6:$D$505,A72))</x:f>
      </x:c>
      <x:c r="T72" s="110" t="str">
        <x:f>IF(A72="","",IF(M72&gt;0,N72/M72,""))</x:f>
      </x:c>
    </x:row>
    <x:row r="73" ht="28" customHeight="1">
      <x:c r="A73" s="97" t="str">
        <x:f>IF(B73="","",MAX(Settings!$B$17-1,$A$6:A72)+1)</x:f>
      </x:c>
      <x:c r="B73" s="105"/>
      <x:c r="C73" s="106"/>
      <x:c r="D73" s="90" t="str">
        <x:f>IF(B73="","",IF(COUNTIFS('Route List'!$A$6:$A$305,B73)=1,IF(E73="Return",INDEX('Route List'!$C$6:$C$305,MATCH(B73,'Route List'!$A$6:$A$305,0)),INDEX('Route List'!$B$6:$B$305,MATCH(B73,'Route List'!$A$6:$A$305,0))),""))</x:f>
      </x:c>
      <x:c r="E73" s="107"/>
      <x:c r="F73" s="108"/>
      <x:c r="G73" s="109" t="str">
        <x:f>IF(F73="","",IF(COUNTIFS(Buses!$A$6:$A$105,F73)=1,INDEX(Buses!$B$6:$B$105,MATCH(F73,Buses!$A$6:$A$105,0)),""))</x:f>
      </x:c>
      <x:c r="H73" s="109" t="str">
        <x:f>IF(G73="","",IF(COUNTIFS(Crew!$A$6:$A$105,G73)&gt;0,INDEX(Crew!$C$6:$C$105,MATCH(G73,Crew!$A$6:$A$105,0)),""))</x:f>
      </x:c>
      <x:c r="I73" s="108"/>
      <x:c r="J73" s="109" t="str">
        <x:f>IF(I73="","",IF(COUNTIFS(Crew!$A$6:$A$105,I73)&gt;0,INDEX(Crew!$C$6:$C$105,MATCH(I73,Crew!$A$6:$A$105,0)),""))</x:f>
      </x:c>
      <x:c r="K73" s="108"/>
      <x:c r="L73" s="109" t="str">
        <x:f>IF(K73="","",IF(COUNTIFS(Crew!$A$6:$A$105,K73)&gt;0,INDEX(Crew!$C$6:$C$105,MATCH(K73,Crew!$A$6:$A$105,0)),""))</x:f>
      </x:c>
      <x:c r="M73" s="90" t="str">
        <x:f>IF(B73="","",62)</x:f>
      </x:c>
      <x:c r="N73" s="107" t="str">
        <x:f>IF(B73="","",SUMIFS(Collections!$G$6:$G$505,Collections!$D$6:$D$505,A73))</x:f>
      </x:c>
      <x:c r="O73" s="98" t="str">
        <x:f>IF(B73="","",SUMIFS(Collections!$J$6:$J$505,Collections!$D$6:$D$505,A73))</x:f>
      </x:c>
      <x:c r="P73" s="98" t="str">
        <x:f>IF(B73="","",SUMIFS(Collections!$K$6:$K$505,Collections!$D$6:$D$505,A73))</x:f>
      </x:c>
      <x:c r="Q73" s="98" t="str">
        <x:f>IF(B73="","",SUMIFS(Collections!$L$6:$L$505,Collections!$D$6:$D$505,A73))</x:f>
      </x:c>
      <x:c r="R73" s="98" t="str">
        <x:f>IF(B73="","",SUMIFS(Collections!$M$6:$M$505,Collections!$D$6:$D$505,A73))</x:f>
      </x:c>
      <x:c r="S73" s="98" t="str">
        <x:f>IF(B73="","",SUMIFS(Collections!$N$6:$N$505,Collections!$D$6:$D$505,A73))</x:f>
      </x:c>
      <x:c r="T73" s="110" t="str">
        <x:f>IF(A73="","",IF(M73&gt;0,N73/M73,""))</x:f>
      </x:c>
    </x:row>
    <x:row r="74" ht="28" customHeight="1">
      <x:c r="A74" s="97" t="str">
        <x:f>IF(B74="","",MAX(Settings!$B$17-1,$A$6:A73)+1)</x:f>
      </x:c>
      <x:c r="B74" s="105"/>
      <x:c r="C74" s="106"/>
      <x:c r="D74" s="90" t="str">
        <x:f>IF(B74="","",IF(COUNTIFS('Route List'!$A$6:$A$305,B74)=1,IF(E74="Return",INDEX('Route List'!$C$6:$C$305,MATCH(B74,'Route List'!$A$6:$A$305,0)),INDEX('Route List'!$B$6:$B$305,MATCH(B74,'Route List'!$A$6:$A$305,0))),""))</x:f>
      </x:c>
      <x:c r="E74" s="107"/>
      <x:c r="F74" s="108"/>
      <x:c r="G74" s="109" t="str">
        <x:f>IF(F74="","",IF(COUNTIFS(Buses!$A$6:$A$105,F74)=1,INDEX(Buses!$B$6:$B$105,MATCH(F74,Buses!$A$6:$A$105,0)),""))</x:f>
      </x:c>
      <x:c r="H74" s="109" t="str">
        <x:f>IF(G74="","",IF(COUNTIFS(Crew!$A$6:$A$105,G74)&gt;0,INDEX(Crew!$C$6:$C$105,MATCH(G74,Crew!$A$6:$A$105,0)),""))</x:f>
      </x:c>
      <x:c r="I74" s="108"/>
      <x:c r="J74" s="109" t="str">
        <x:f>IF(I74="","",IF(COUNTIFS(Crew!$A$6:$A$105,I74)&gt;0,INDEX(Crew!$C$6:$C$105,MATCH(I74,Crew!$A$6:$A$105,0)),""))</x:f>
      </x:c>
      <x:c r="K74" s="108"/>
      <x:c r="L74" s="109" t="str">
        <x:f>IF(K74="","",IF(COUNTIFS(Crew!$A$6:$A$105,K74)&gt;0,INDEX(Crew!$C$6:$C$105,MATCH(K74,Crew!$A$6:$A$105,0)),""))</x:f>
      </x:c>
      <x:c r="M74" s="90" t="str">
        <x:f>IF(B74="","",62)</x:f>
      </x:c>
      <x:c r="N74" s="107" t="str">
        <x:f>IF(B74="","",SUMIFS(Collections!$G$6:$G$505,Collections!$D$6:$D$505,A74))</x:f>
      </x:c>
      <x:c r="O74" s="98" t="str">
        <x:f>IF(B74="","",SUMIFS(Collections!$J$6:$J$505,Collections!$D$6:$D$505,A74))</x:f>
      </x:c>
      <x:c r="P74" s="98" t="str">
        <x:f>IF(B74="","",SUMIFS(Collections!$K$6:$K$505,Collections!$D$6:$D$505,A74))</x:f>
      </x:c>
      <x:c r="Q74" s="98" t="str">
        <x:f>IF(B74="","",SUMIFS(Collections!$L$6:$L$505,Collections!$D$6:$D$505,A74))</x:f>
      </x:c>
      <x:c r="R74" s="98" t="str">
        <x:f>IF(B74="","",SUMIFS(Collections!$M$6:$M$505,Collections!$D$6:$D$505,A74))</x:f>
      </x:c>
      <x:c r="S74" s="98" t="str">
        <x:f>IF(B74="","",SUMIFS(Collections!$N$6:$N$505,Collections!$D$6:$D$505,A74))</x:f>
      </x:c>
      <x:c r="T74" s="110" t="str">
        <x:f>IF(A74="","",IF(M74&gt;0,N74/M74,""))</x:f>
      </x:c>
    </x:row>
    <x:row r="75" ht="28" customHeight="1">
      <x:c r="A75" s="97" t="str">
        <x:f>IF(B75="","",MAX(Settings!$B$17-1,$A$6:A74)+1)</x:f>
      </x:c>
      <x:c r="B75" s="105"/>
      <x:c r="C75" s="106"/>
      <x:c r="D75" s="90" t="str">
        <x:f>IF(B75="","",IF(COUNTIFS('Route List'!$A$6:$A$305,B75)=1,IF(E75="Return",INDEX('Route List'!$C$6:$C$305,MATCH(B75,'Route List'!$A$6:$A$305,0)),INDEX('Route List'!$B$6:$B$305,MATCH(B75,'Route List'!$A$6:$A$305,0))),""))</x:f>
      </x:c>
      <x:c r="E75" s="107"/>
      <x:c r="F75" s="108"/>
      <x:c r="G75" s="109" t="str">
        <x:f>IF(F75="","",IF(COUNTIFS(Buses!$A$6:$A$105,F75)=1,INDEX(Buses!$B$6:$B$105,MATCH(F75,Buses!$A$6:$A$105,0)),""))</x:f>
      </x:c>
      <x:c r="H75" s="109" t="str">
        <x:f>IF(G75="","",IF(COUNTIFS(Crew!$A$6:$A$105,G75)&gt;0,INDEX(Crew!$C$6:$C$105,MATCH(G75,Crew!$A$6:$A$105,0)),""))</x:f>
      </x:c>
      <x:c r="I75" s="108"/>
      <x:c r="J75" s="109" t="str">
        <x:f>IF(I75="","",IF(COUNTIFS(Crew!$A$6:$A$105,I75)&gt;0,INDEX(Crew!$C$6:$C$105,MATCH(I75,Crew!$A$6:$A$105,0)),""))</x:f>
      </x:c>
      <x:c r="K75" s="108"/>
      <x:c r="L75" s="109" t="str">
        <x:f>IF(K75="","",IF(COUNTIFS(Crew!$A$6:$A$105,K75)&gt;0,INDEX(Crew!$C$6:$C$105,MATCH(K75,Crew!$A$6:$A$105,0)),""))</x:f>
      </x:c>
      <x:c r="M75" s="90" t="str">
        <x:f>IF(B75="","",62)</x:f>
      </x:c>
      <x:c r="N75" s="107" t="str">
        <x:f>IF(B75="","",SUMIFS(Collections!$G$6:$G$505,Collections!$D$6:$D$505,A75))</x:f>
      </x:c>
      <x:c r="O75" s="98" t="str">
        <x:f>IF(B75="","",SUMIFS(Collections!$J$6:$J$505,Collections!$D$6:$D$505,A75))</x:f>
      </x:c>
      <x:c r="P75" s="98" t="str">
        <x:f>IF(B75="","",SUMIFS(Collections!$K$6:$K$505,Collections!$D$6:$D$505,A75))</x:f>
      </x:c>
      <x:c r="Q75" s="98" t="str">
        <x:f>IF(B75="","",SUMIFS(Collections!$L$6:$L$505,Collections!$D$6:$D$505,A75))</x:f>
      </x:c>
      <x:c r="R75" s="98" t="str">
        <x:f>IF(B75="","",SUMIFS(Collections!$M$6:$M$505,Collections!$D$6:$D$505,A75))</x:f>
      </x:c>
      <x:c r="S75" s="98" t="str">
        <x:f>IF(B75="","",SUMIFS(Collections!$N$6:$N$505,Collections!$D$6:$D$505,A75))</x:f>
      </x:c>
      <x:c r="T75" s="110" t="str">
        <x:f>IF(A75="","",IF(M75&gt;0,N75/M75,""))</x:f>
      </x:c>
    </x:row>
    <x:row r="76" ht="28" customHeight="1">
      <x:c r="A76" s="97" t="str">
        <x:f>IF(B76="","",MAX(Settings!$B$17-1,$A$6:A75)+1)</x:f>
      </x:c>
      <x:c r="B76" s="105"/>
      <x:c r="C76" s="106"/>
      <x:c r="D76" s="90" t="str">
        <x:f>IF(B76="","",IF(COUNTIFS('Route List'!$A$6:$A$305,B76)=1,IF(E76="Return",INDEX('Route List'!$C$6:$C$305,MATCH(B76,'Route List'!$A$6:$A$305,0)),INDEX('Route List'!$B$6:$B$305,MATCH(B76,'Route List'!$A$6:$A$305,0))),""))</x:f>
      </x:c>
      <x:c r="E76" s="107"/>
      <x:c r="F76" s="108"/>
      <x:c r="G76" s="109" t="str">
        <x:f>IF(F76="","",IF(COUNTIFS(Buses!$A$6:$A$105,F76)=1,INDEX(Buses!$B$6:$B$105,MATCH(F76,Buses!$A$6:$A$105,0)),""))</x:f>
      </x:c>
      <x:c r="H76" s="109" t="str">
        <x:f>IF(G76="","",IF(COUNTIFS(Crew!$A$6:$A$105,G76)&gt;0,INDEX(Crew!$C$6:$C$105,MATCH(G76,Crew!$A$6:$A$105,0)),""))</x:f>
      </x:c>
      <x:c r="I76" s="108"/>
      <x:c r="J76" s="109" t="str">
        <x:f>IF(I76="","",IF(COUNTIFS(Crew!$A$6:$A$105,I76)&gt;0,INDEX(Crew!$C$6:$C$105,MATCH(I76,Crew!$A$6:$A$105,0)),""))</x:f>
      </x:c>
      <x:c r="K76" s="108"/>
      <x:c r="L76" s="109" t="str">
        <x:f>IF(K76="","",IF(COUNTIFS(Crew!$A$6:$A$105,K76)&gt;0,INDEX(Crew!$C$6:$C$105,MATCH(K76,Crew!$A$6:$A$105,0)),""))</x:f>
      </x:c>
      <x:c r="M76" s="90" t="str">
        <x:f>IF(B76="","",62)</x:f>
      </x:c>
      <x:c r="N76" s="107" t="str">
        <x:f>IF(B76="","",SUMIFS(Collections!$G$6:$G$505,Collections!$D$6:$D$505,A76))</x:f>
      </x:c>
      <x:c r="O76" s="98" t="str">
        <x:f>IF(B76="","",SUMIFS(Collections!$J$6:$J$505,Collections!$D$6:$D$505,A76))</x:f>
      </x:c>
      <x:c r="P76" s="98" t="str">
        <x:f>IF(B76="","",SUMIFS(Collections!$K$6:$K$505,Collections!$D$6:$D$505,A76))</x:f>
      </x:c>
      <x:c r="Q76" s="98" t="str">
        <x:f>IF(B76="","",SUMIFS(Collections!$L$6:$L$505,Collections!$D$6:$D$505,A76))</x:f>
      </x:c>
      <x:c r="R76" s="98" t="str">
        <x:f>IF(B76="","",SUMIFS(Collections!$M$6:$M$505,Collections!$D$6:$D$505,A76))</x:f>
      </x:c>
      <x:c r="S76" s="98" t="str">
        <x:f>IF(B76="","",SUMIFS(Collections!$N$6:$N$505,Collections!$D$6:$D$505,A76))</x:f>
      </x:c>
      <x:c r="T76" s="110" t="str">
        <x:f>IF(A76="","",IF(M76&gt;0,N76/M76,""))</x:f>
      </x:c>
    </x:row>
    <x:row r="77" ht="28" customHeight="1">
      <x:c r="A77" s="97" t="str">
        <x:f>IF(B77="","",MAX(Settings!$B$17-1,$A$6:A76)+1)</x:f>
      </x:c>
      <x:c r="B77" s="105"/>
      <x:c r="C77" s="106"/>
      <x:c r="D77" s="90" t="str">
        <x:f>IF(B77="","",IF(COUNTIFS('Route List'!$A$6:$A$305,B77)=1,IF(E77="Return",INDEX('Route List'!$C$6:$C$305,MATCH(B77,'Route List'!$A$6:$A$305,0)),INDEX('Route List'!$B$6:$B$305,MATCH(B77,'Route List'!$A$6:$A$305,0))),""))</x:f>
      </x:c>
      <x:c r="E77" s="107"/>
      <x:c r="F77" s="108"/>
      <x:c r="G77" s="109" t="str">
        <x:f>IF(F77="","",IF(COUNTIFS(Buses!$A$6:$A$105,F77)=1,INDEX(Buses!$B$6:$B$105,MATCH(F77,Buses!$A$6:$A$105,0)),""))</x:f>
      </x:c>
      <x:c r="H77" s="109" t="str">
        <x:f>IF(G77="","",IF(COUNTIFS(Crew!$A$6:$A$105,G77)&gt;0,INDEX(Crew!$C$6:$C$105,MATCH(G77,Crew!$A$6:$A$105,0)),""))</x:f>
      </x:c>
      <x:c r="I77" s="108"/>
      <x:c r="J77" s="109" t="str">
        <x:f>IF(I77="","",IF(COUNTIFS(Crew!$A$6:$A$105,I77)&gt;0,INDEX(Crew!$C$6:$C$105,MATCH(I77,Crew!$A$6:$A$105,0)),""))</x:f>
      </x:c>
      <x:c r="K77" s="108"/>
      <x:c r="L77" s="109" t="str">
        <x:f>IF(K77="","",IF(COUNTIFS(Crew!$A$6:$A$105,K77)&gt;0,INDEX(Crew!$C$6:$C$105,MATCH(K77,Crew!$A$6:$A$105,0)),""))</x:f>
      </x:c>
      <x:c r="M77" s="90" t="str">
        <x:f>IF(B77="","",62)</x:f>
      </x:c>
      <x:c r="N77" s="107" t="str">
        <x:f>IF(B77="","",SUMIFS(Collections!$G$6:$G$505,Collections!$D$6:$D$505,A77))</x:f>
      </x:c>
      <x:c r="O77" s="98" t="str">
        <x:f>IF(B77="","",SUMIFS(Collections!$J$6:$J$505,Collections!$D$6:$D$505,A77))</x:f>
      </x:c>
      <x:c r="P77" s="98" t="str">
        <x:f>IF(B77="","",SUMIFS(Collections!$K$6:$K$505,Collections!$D$6:$D$505,A77))</x:f>
      </x:c>
      <x:c r="Q77" s="98" t="str">
        <x:f>IF(B77="","",SUMIFS(Collections!$L$6:$L$505,Collections!$D$6:$D$505,A77))</x:f>
      </x:c>
      <x:c r="R77" s="98" t="str">
        <x:f>IF(B77="","",SUMIFS(Collections!$M$6:$M$505,Collections!$D$6:$D$505,A77))</x:f>
      </x:c>
      <x:c r="S77" s="98" t="str">
        <x:f>IF(B77="","",SUMIFS(Collections!$N$6:$N$505,Collections!$D$6:$D$505,A77))</x:f>
      </x:c>
      <x:c r="T77" s="110" t="str">
        <x:f>IF(A77="","",IF(M77&gt;0,N77/M77,""))</x:f>
      </x:c>
    </x:row>
    <x:row r="78" ht="28" customHeight="1">
      <x:c r="A78" s="97" t="str">
        <x:f>IF(B78="","",MAX(Settings!$B$17-1,$A$6:A77)+1)</x:f>
      </x:c>
      <x:c r="B78" s="105"/>
      <x:c r="C78" s="106"/>
      <x:c r="D78" s="90" t="str">
        <x:f>IF(B78="","",IF(COUNTIFS('Route List'!$A$6:$A$305,B78)=1,IF(E78="Return",INDEX('Route List'!$C$6:$C$305,MATCH(B78,'Route List'!$A$6:$A$305,0)),INDEX('Route List'!$B$6:$B$305,MATCH(B78,'Route List'!$A$6:$A$305,0))),""))</x:f>
      </x:c>
      <x:c r="E78" s="107"/>
      <x:c r="F78" s="108"/>
      <x:c r="G78" s="109" t="str">
        <x:f>IF(F78="","",IF(COUNTIFS(Buses!$A$6:$A$105,F78)=1,INDEX(Buses!$B$6:$B$105,MATCH(F78,Buses!$A$6:$A$105,0)),""))</x:f>
      </x:c>
      <x:c r="H78" s="109" t="str">
        <x:f>IF(G78="","",IF(COUNTIFS(Crew!$A$6:$A$105,G78)&gt;0,INDEX(Crew!$C$6:$C$105,MATCH(G78,Crew!$A$6:$A$105,0)),""))</x:f>
      </x:c>
      <x:c r="I78" s="108"/>
      <x:c r="J78" s="109" t="str">
        <x:f>IF(I78="","",IF(COUNTIFS(Crew!$A$6:$A$105,I78)&gt;0,INDEX(Crew!$C$6:$C$105,MATCH(I78,Crew!$A$6:$A$105,0)),""))</x:f>
      </x:c>
      <x:c r="K78" s="108"/>
      <x:c r="L78" s="109" t="str">
        <x:f>IF(K78="","",IF(COUNTIFS(Crew!$A$6:$A$105,K78)&gt;0,INDEX(Crew!$C$6:$C$105,MATCH(K78,Crew!$A$6:$A$105,0)),""))</x:f>
      </x:c>
      <x:c r="M78" s="90" t="str">
        <x:f>IF(B78="","",62)</x:f>
      </x:c>
      <x:c r="N78" s="107" t="str">
        <x:f>IF(B78="","",SUMIFS(Collections!$G$6:$G$505,Collections!$D$6:$D$505,A78))</x:f>
      </x:c>
      <x:c r="O78" s="98" t="str">
        <x:f>IF(B78="","",SUMIFS(Collections!$J$6:$J$505,Collections!$D$6:$D$505,A78))</x:f>
      </x:c>
      <x:c r="P78" s="98" t="str">
        <x:f>IF(B78="","",SUMIFS(Collections!$K$6:$K$505,Collections!$D$6:$D$505,A78))</x:f>
      </x:c>
      <x:c r="Q78" s="98" t="str">
        <x:f>IF(B78="","",SUMIFS(Collections!$L$6:$L$505,Collections!$D$6:$D$505,A78))</x:f>
      </x:c>
      <x:c r="R78" s="98" t="str">
        <x:f>IF(B78="","",SUMIFS(Collections!$M$6:$M$505,Collections!$D$6:$D$505,A78))</x:f>
      </x:c>
      <x:c r="S78" s="98" t="str">
        <x:f>IF(B78="","",SUMIFS(Collections!$N$6:$N$505,Collections!$D$6:$D$505,A78))</x:f>
      </x:c>
      <x:c r="T78" s="110" t="str">
        <x:f>IF(A78="","",IF(M78&gt;0,N78/M78,""))</x:f>
      </x:c>
    </x:row>
    <x:row r="79" ht="28" customHeight="1">
      <x:c r="A79" s="97" t="str">
        <x:f>IF(B79="","",MAX(Settings!$B$17-1,$A$6:A78)+1)</x:f>
      </x:c>
      <x:c r="B79" s="105"/>
      <x:c r="C79" s="106"/>
      <x:c r="D79" s="90" t="str">
        <x:f>IF(B79="","",IF(COUNTIFS('Route List'!$A$6:$A$305,B79)=1,IF(E79="Return",INDEX('Route List'!$C$6:$C$305,MATCH(B79,'Route List'!$A$6:$A$305,0)),INDEX('Route List'!$B$6:$B$305,MATCH(B79,'Route List'!$A$6:$A$305,0))),""))</x:f>
      </x:c>
      <x:c r="E79" s="107"/>
      <x:c r="F79" s="108"/>
      <x:c r="G79" s="109" t="str">
        <x:f>IF(F79="","",IF(COUNTIFS(Buses!$A$6:$A$105,F79)=1,INDEX(Buses!$B$6:$B$105,MATCH(F79,Buses!$A$6:$A$105,0)),""))</x:f>
      </x:c>
      <x:c r="H79" s="109" t="str">
        <x:f>IF(G79="","",IF(COUNTIFS(Crew!$A$6:$A$105,G79)&gt;0,INDEX(Crew!$C$6:$C$105,MATCH(G79,Crew!$A$6:$A$105,0)),""))</x:f>
      </x:c>
      <x:c r="I79" s="108"/>
      <x:c r="J79" s="109" t="str">
        <x:f>IF(I79="","",IF(COUNTIFS(Crew!$A$6:$A$105,I79)&gt;0,INDEX(Crew!$C$6:$C$105,MATCH(I79,Crew!$A$6:$A$105,0)),""))</x:f>
      </x:c>
      <x:c r="K79" s="108"/>
      <x:c r="L79" s="109" t="str">
        <x:f>IF(K79="","",IF(COUNTIFS(Crew!$A$6:$A$105,K79)&gt;0,INDEX(Crew!$C$6:$C$105,MATCH(K79,Crew!$A$6:$A$105,0)),""))</x:f>
      </x:c>
      <x:c r="M79" s="90" t="str">
        <x:f>IF(B79="","",62)</x:f>
      </x:c>
      <x:c r="N79" s="107" t="str">
        <x:f>IF(B79="","",SUMIFS(Collections!$G$6:$G$505,Collections!$D$6:$D$505,A79))</x:f>
      </x:c>
      <x:c r="O79" s="98" t="str">
        <x:f>IF(B79="","",SUMIFS(Collections!$J$6:$J$505,Collections!$D$6:$D$505,A79))</x:f>
      </x:c>
      <x:c r="P79" s="98" t="str">
        <x:f>IF(B79="","",SUMIFS(Collections!$K$6:$K$505,Collections!$D$6:$D$505,A79))</x:f>
      </x:c>
      <x:c r="Q79" s="98" t="str">
        <x:f>IF(B79="","",SUMIFS(Collections!$L$6:$L$505,Collections!$D$6:$D$505,A79))</x:f>
      </x:c>
      <x:c r="R79" s="98" t="str">
        <x:f>IF(B79="","",SUMIFS(Collections!$M$6:$M$505,Collections!$D$6:$D$505,A79))</x:f>
      </x:c>
      <x:c r="S79" s="98" t="str">
        <x:f>IF(B79="","",SUMIFS(Collections!$N$6:$N$505,Collections!$D$6:$D$505,A79))</x:f>
      </x:c>
      <x:c r="T79" s="110" t="str">
        <x:f>IF(A79="","",IF(M79&gt;0,N79/M79,""))</x:f>
      </x:c>
    </x:row>
    <x:row r="80" ht="28" customHeight="1">
      <x:c r="A80" s="97" t="str">
        <x:f>IF(B80="","",MAX(Settings!$B$17-1,$A$6:A79)+1)</x:f>
      </x:c>
      <x:c r="B80" s="105"/>
      <x:c r="C80" s="106"/>
      <x:c r="D80" s="90" t="str">
        <x:f>IF(B80="","",IF(COUNTIFS('Route List'!$A$6:$A$305,B80)=1,IF(E80="Return",INDEX('Route List'!$C$6:$C$305,MATCH(B80,'Route List'!$A$6:$A$305,0)),INDEX('Route List'!$B$6:$B$305,MATCH(B80,'Route List'!$A$6:$A$305,0))),""))</x:f>
      </x:c>
      <x:c r="E80" s="107"/>
      <x:c r="F80" s="108"/>
      <x:c r="G80" s="109" t="str">
        <x:f>IF(F80="","",IF(COUNTIFS(Buses!$A$6:$A$105,F80)=1,INDEX(Buses!$B$6:$B$105,MATCH(F80,Buses!$A$6:$A$105,0)),""))</x:f>
      </x:c>
      <x:c r="H80" s="109" t="str">
        <x:f>IF(G80="","",IF(COUNTIFS(Crew!$A$6:$A$105,G80)&gt;0,INDEX(Crew!$C$6:$C$105,MATCH(G80,Crew!$A$6:$A$105,0)),""))</x:f>
      </x:c>
      <x:c r="I80" s="108"/>
      <x:c r="J80" s="109" t="str">
        <x:f>IF(I80="","",IF(COUNTIFS(Crew!$A$6:$A$105,I80)&gt;0,INDEX(Crew!$C$6:$C$105,MATCH(I80,Crew!$A$6:$A$105,0)),""))</x:f>
      </x:c>
      <x:c r="K80" s="108"/>
      <x:c r="L80" s="109" t="str">
        <x:f>IF(K80="","",IF(COUNTIFS(Crew!$A$6:$A$105,K80)&gt;0,INDEX(Crew!$C$6:$C$105,MATCH(K80,Crew!$A$6:$A$105,0)),""))</x:f>
      </x:c>
      <x:c r="M80" s="90" t="str">
        <x:f>IF(B80="","",62)</x:f>
      </x:c>
      <x:c r="N80" s="107" t="str">
        <x:f>IF(B80="","",SUMIFS(Collections!$G$6:$G$505,Collections!$D$6:$D$505,A80))</x:f>
      </x:c>
      <x:c r="O80" s="98" t="str">
        <x:f>IF(B80="","",SUMIFS(Collections!$J$6:$J$505,Collections!$D$6:$D$505,A80))</x:f>
      </x:c>
      <x:c r="P80" s="98" t="str">
        <x:f>IF(B80="","",SUMIFS(Collections!$K$6:$K$505,Collections!$D$6:$D$505,A80))</x:f>
      </x:c>
      <x:c r="Q80" s="98" t="str">
        <x:f>IF(B80="","",SUMIFS(Collections!$L$6:$L$505,Collections!$D$6:$D$505,A80))</x:f>
      </x:c>
      <x:c r="R80" s="98" t="str">
        <x:f>IF(B80="","",SUMIFS(Collections!$M$6:$M$505,Collections!$D$6:$D$505,A80))</x:f>
      </x:c>
      <x:c r="S80" s="98" t="str">
        <x:f>IF(B80="","",SUMIFS(Collections!$N$6:$N$505,Collections!$D$6:$D$505,A80))</x:f>
      </x:c>
      <x:c r="T80" s="110" t="str">
        <x:f>IF(A80="","",IF(M80&gt;0,N80/M80,""))</x:f>
      </x:c>
    </x:row>
    <x:row r="81" ht="28" customHeight="1">
      <x:c r="A81" s="97" t="str">
        <x:f>IF(B81="","",MAX(Settings!$B$17-1,$A$6:A80)+1)</x:f>
      </x:c>
      <x:c r="B81" s="105"/>
      <x:c r="C81" s="106"/>
      <x:c r="D81" s="90" t="str">
        <x:f>IF(B81="","",IF(COUNTIFS('Route List'!$A$6:$A$305,B81)=1,IF(E81="Return",INDEX('Route List'!$C$6:$C$305,MATCH(B81,'Route List'!$A$6:$A$305,0)),INDEX('Route List'!$B$6:$B$305,MATCH(B81,'Route List'!$A$6:$A$305,0))),""))</x:f>
      </x:c>
      <x:c r="E81" s="107"/>
      <x:c r="F81" s="108"/>
      <x:c r="G81" s="109" t="str">
        <x:f>IF(F81="","",IF(COUNTIFS(Buses!$A$6:$A$105,F81)=1,INDEX(Buses!$B$6:$B$105,MATCH(F81,Buses!$A$6:$A$105,0)),""))</x:f>
      </x:c>
      <x:c r="H81" s="109" t="str">
        <x:f>IF(G81="","",IF(COUNTIFS(Crew!$A$6:$A$105,G81)&gt;0,INDEX(Crew!$C$6:$C$105,MATCH(G81,Crew!$A$6:$A$105,0)),""))</x:f>
      </x:c>
      <x:c r="I81" s="108"/>
      <x:c r="J81" s="109" t="str">
        <x:f>IF(I81="","",IF(COUNTIFS(Crew!$A$6:$A$105,I81)&gt;0,INDEX(Crew!$C$6:$C$105,MATCH(I81,Crew!$A$6:$A$105,0)),""))</x:f>
      </x:c>
      <x:c r="K81" s="108"/>
      <x:c r="L81" s="109" t="str">
        <x:f>IF(K81="","",IF(COUNTIFS(Crew!$A$6:$A$105,K81)&gt;0,INDEX(Crew!$C$6:$C$105,MATCH(K81,Crew!$A$6:$A$105,0)),""))</x:f>
      </x:c>
      <x:c r="M81" s="90" t="str">
        <x:f>IF(B81="","",62)</x:f>
      </x:c>
      <x:c r="N81" s="107" t="str">
        <x:f>IF(B81="","",SUMIFS(Collections!$G$6:$G$505,Collections!$D$6:$D$505,A81))</x:f>
      </x:c>
      <x:c r="O81" s="98" t="str">
        <x:f>IF(B81="","",SUMIFS(Collections!$J$6:$J$505,Collections!$D$6:$D$505,A81))</x:f>
      </x:c>
      <x:c r="P81" s="98" t="str">
        <x:f>IF(B81="","",SUMIFS(Collections!$K$6:$K$505,Collections!$D$6:$D$505,A81))</x:f>
      </x:c>
      <x:c r="Q81" s="98" t="str">
        <x:f>IF(B81="","",SUMIFS(Collections!$L$6:$L$505,Collections!$D$6:$D$505,A81))</x:f>
      </x:c>
      <x:c r="R81" s="98" t="str">
        <x:f>IF(B81="","",SUMIFS(Collections!$M$6:$M$505,Collections!$D$6:$D$505,A81))</x:f>
      </x:c>
      <x:c r="S81" s="98" t="str">
        <x:f>IF(B81="","",SUMIFS(Collections!$N$6:$N$505,Collections!$D$6:$D$505,A81))</x:f>
      </x:c>
      <x:c r="T81" s="110" t="str">
        <x:f>IF(A81="","",IF(M81&gt;0,N81/M81,""))</x:f>
      </x:c>
    </x:row>
    <x:row r="82" ht="28" customHeight="1">
      <x:c r="A82" s="97" t="str">
        <x:f>IF(B82="","",MAX(Settings!$B$17-1,$A$6:A81)+1)</x:f>
      </x:c>
      <x:c r="B82" s="105"/>
      <x:c r="C82" s="106"/>
      <x:c r="D82" s="90" t="str">
        <x:f>IF(B82="","",IF(COUNTIFS('Route List'!$A$6:$A$305,B82)=1,IF(E82="Return",INDEX('Route List'!$C$6:$C$305,MATCH(B82,'Route List'!$A$6:$A$305,0)),INDEX('Route List'!$B$6:$B$305,MATCH(B82,'Route List'!$A$6:$A$305,0))),""))</x:f>
      </x:c>
      <x:c r="E82" s="107"/>
      <x:c r="F82" s="108"/>
      <x:c r="G82" s="109" t="str">
        <x:f>IF(F82="","",IF(COUNTIFS(Buses!$A$6:$A$105,F82)=1,INDEX(Buses!$B$6:$B$105,MATCH(F82,Buses!$A$6:$A$105,0)),""))</x:f>
      </x:c>
      <x:c r="H82" s="109" t="str">
        <x:f>IF(G82="","",IF(COUNTIFS(Crew!$A$6:$A$105,G82)&gt;0,INDEX(Crew!$C$6:$C$105,MATCH(G82,Crew!$A$6:$A$105,0)),""))</x:f>
      </x:c>
      <x:c r="I82" s="108"/>
      <x:c r="J82" s="109" t="str">
        <x:f>IF(I82="","",IF(COUNTIFS(Crew!$A$6:$A$105,I82)&gt;0,INDEX(Crew!$C$6:$C$105,MATCH(I82,Crew!$A$6:$A$105,0)),""))</x:f>
      </x:c>
      <x:c r="K82" s="108"/>
      <x:c r="L82" s="109" t="str">
        <x:f>IF(K82="","",IF(COUNTIFS(Crew!$A$6:$A$105,K82)&gt;0,INDEX(Crew!$C$6:$C$105,MATCH(K82,Crew!$A$6:$A$105,0)),""))</x:f>
      </x:c>
      <x:c r="M82" s="90" t="str">
        <x:f>IF(B82="","",62)</x:f>
      </x:c>
      <x:c r="N82" s="107" t="str">
        <x:f>IF(B82="","",SUMIFS(Collections!$G$6:$G$505,Collections!$D$6:$D$505,A82))</x:f>
      </x:c>
      <x:c r="O82" s="98" t="str">
        <x:f>IF(B82="","",SUMIFS(Collections!$J$6:$J$505,Collections!$D$6:$D$505,A82))</x:f>
      </x:c>
      <x:c r="P82" s="98" t="str">
        <x:f>IF(B82="","",SUMIFS(Collections!$K$6:$K$505,Collections!$D$6:$D$505,A82))</x:f>
      </x:c>
      <x:c r="Q82" s="98" t="str">
        <x:f>IF(B82="","",SUMIFS(Collections!$L$6:$L$505,Collections!$D$6:$D$505,A82))</x:f>
      </x:c>
      <x:c r="R82" s="98" t="str">
        <x:f>IF(B82="","",SUMIFS(Collections!$M$6:$M$505,Collections!$D$6:$D$505,A82))</x:f>
      </x:c>
      <x:c r="S82" s="98" t="str">
        <x:f>IF(B82="","",SUMIFS(Collections!$N$6:$N$505,Collections!$D$6:$D$505,A82))</x:f>
      </x:c>
      <x:c r="T82" s="110" t="str">
        <x:f>IF(A82="","",IF(M82&gt;0,N82/M82,""))</x:f>
      </x:c>
    </x:row>
    <x:row r="83" ht="28" customHeight="1">
      <x:c r="A83" s="97" t="str">
        <x:f>IF(B83="","",MAX(Settings!$B$17-1,$A$6:A82)+1)</x:f>
      </x:c>
      <x:c r="B83" s="105"/>
      <x:c r="C83" s="106"/>
      <x:c r="D83" s="90" t="str">
        <x:f>IF(B83="","",IF(COUNTIFS('Route List'!$A$6:$A$305,B83)=1,IF(E83="Return",INDEX('Route List'!$C$6:$C$305,MATCH(B83,'Route List'!$A$6:$A$305,0)),INDEX('Route List'!$B$6:$B$305,MATCH(B83,'Route List'!$A$6:$A$305,0))),""))</x:f>
      </x:c>
      <x:c r="E83" s="107"/>
      <x:c r="F83" s="108"/>
      <x:c r="G83" s="109" t="str">
        <x:f>IF(F83="","",IF(COUNTIFS(Buses!$A$6:$A$105,F83)=1,INDEX(Buses!$B$6:$B$105,MATCH(F83,Buses!$A$6:$A$105,0)),""))</x:f>
      </x:c>
      <x:c r="H83" s="109" t="str">
        <x:f>IF(G83="","",IF(COUNTIFS(Crew!$A$6:$A$105,G83)&gt;0,INDEX(Crew!$C$6:$C$105,MATCH(G83,Crew!$A$6:$A$105,0)),""))</x:f>
      </x:c>
      <x:c r="I83" s="108"/>
      <x:c r="J83" s="109" t="str">
        <x:f>IF(I83="","",IF(COUNTIFS(Crew!$A$6:$A$105,I83)&gt;0,INDEX(Crew!$C$6:$C$105,MATCH(I83,Crew!$A$6:$A$105,0)),""))</x:f>
      </x:c>
      <x:c r="K83" s="108"/>
      <x:c r="L83" s="109" t="str">
        <x:f>IF(K83="","",IF(COUNTIFS(Crew!$A$6:$A$105,K83)&gt;0,INDEX(Crew!$C$6:$C$105,MATCH(K83,Crew!$A$6:$A$105,0)),""))</x:f>
      </x:c>
      <x:c r="M83" s="90" t="str">
        <x:f>IF(B83="","",62)</x:f>
      </x:c>
      <x:c r="N83" s="107" t="str">
        <x:f>IF(B83="","",SUMIFS(Collections!$G$6:$G$505,Collections!$D$6:$D$505,A83))</x:f>
      </x:c>
      <x:c r="O83" s="98" t="str">
        <x:f>IF(B83="","",SUMIFS(Collections!$J$6:$J$505,Collections!$D$6:$D$505,A83))</x:f>
      </x:c>
      <x:c r="P83" s="98" t="str">
        <x:f>IF(B83="","",SUMIFS(Collections!$K$6:$K$505,Collections!$D$6:$D$505,A83))</x:f>
      </x:c>
      <x:c r="Q83" s="98" t="str">
        <x:f>IF(B83="","",SUMIFS(Collections!$L$6:$L$505,Collections!$D$6:$D$505,A83))</x:f>
      </x:c>
      <x:c r="R83" s="98" t="str">
        <x:f>IF(B83="","",SUMIFS(Collections!$M$6:$M$505,Collections!$D$6:$D$505,A83))</x:f>
      </x:c>
      <x:c r="S83" s="98" t="str">
        <x:f>IF(B83="","",SUMIFS(Collections!$N$6:$N$505,Collections!$D$6:$D$505,A83))</x:f>
      </x:c>
      <x:c r="T83" s="110" t="str">
        <x:f>IF(A83="","",IF(M83&gt;0,N83/M83,""))</x:f>
      </x:c>
    </x:row>
    <x:row r="84" ht="28" customHeight="1">
      <x:c r="A84" s="97" t="str">
        <x:f>IF(B84="","",MAX(Settings!$B$17-1,$A$6:A83)+1)</x:f>
      </x:c>
      <x:c r="B84" s="105"/>
      <x:c r="C84" s="106"/>
      <x:c r="D84" s="90" t="str">
        <x:f>IF(B84="","",IF(COUNTIFS('Route List'!$A$6:$A$305,B84)=1,IF(E84="Return",INDEX('Route List'!$C$6:$C$305,MATCH(B84,'Route List'!$A$6:$A$305,0)),INDEX('Route List'!$B$6:$B$305,MATCH(B84,'Route List'!$A$6:$A$305,0))),""))</x:f>
      </x:c>
      <x:c r="E84" s="107"/>
      <x:c r="F84" s="108"/>
      <x:c r="G84" s="109" t="str">
        <x:f>IF(F84="","",IF(COUNTIFS(Buses!$A$6:$A$105,F84)=1,INDEX(Buses!$B$6:$B$105,MATCH(F84,Buses!$A$6:$A$105,0)),""))</x:f>
      </x:c>
      <x:c r="H84" s="109" t="str">
        <x:f>IF(G84="","",IF(COUNTIFS(Crew!$A$6:$A$105,G84)&gt;0,INDEX(Crew!$C$6:$C$105,MATCH(G84,Crew!$A$6:$A$105,0)),""))</x:f>
      </x:c>
      <x:c r="I84" s="108"/>
      <x:c r="J84" s="109" t="str">
        <x:f>IF(I84="","",IF(COUNTIFS(Crew!$A$6:$A$105,I84)&gt;0,INDEX(Crew!$C$6:$C$105,MATCH(I84,Crew!$A$6:$A$105,0)),""))</x:f>
      </x:c>
      <x:c r="K84" s="108"/>
      <x:c r="L84" s="109" t="str">
        <x:f>IF(K84="","",IF(COUNTIFS(Crew!$A$6:$A$105,K84)&gt;0,INDEX(Crew!$C$6:$C$105,MATCH(K84,Crew!$A$6:$A$105,0)),""))</x:f>
      </x:c>
      <x:c r="M84" s="90" t="str">
        <x:f>IF(B84="","",62)</x:f>
      </x:c>
      <x:c r="N84" s="107" t="str">
        <x:f>IF(B84="","",SUMIFS(Collections!$G$6:$G$505,Collections!$D$6:$D$505,A84))</x:f>
      </x:c>
      <x:c r="O84" s="98" t="str">
        <x:f>IF(B84="","",SUMIFS(Collections!$J$6:$J$505,Collections!$D$6:$D$505,A84))</x:f>
      </x:c>
      <x:c r="P84" s="98" t="str">
        <x:f>IF(B84="","",SUMIFS(Collections!$K$6:$K$505,Collections!$D$6:$D$505,A84))</x:f>
      </x:c>
      <x:c r="Q84" s="98" t="str">
        <x:f>IF(B84="","",SUMIFS(Collections!$L$6:$L$505,Collections!$D$6:$D$505,A84))</x:f>
      </x:c>
      <x:c r="R84" s="98" t="str">
        <x:f>IF(B84="","",SUMIFS(Collections!$M$6:$M$505,Collections!$D$6:$D$505,A84))</x:f>
      </x:c>
      <x:c r="S84" s="98" t="str">
        <x:f>IF(B84="","",SUMIFS(Collections!$N$6:$N$505,Collections!$D$6:$D$505,A84))</x:f>
      </x:c>
      <x:c r="T84" s="110" t="str">
        <x:f>IF(A84="","",IF(M84&gt;0,N84/M84,""))</x:f>
      </x:c>
    </x:row>
    <x:row r="85" ht="28" customHeight="1">
      <x:c r="A85" s="97" t="str">
        <x:f>IF(B85="","",MAX(Settings!$B$17-1,$A$6:A84)+1)</x:f>
      </x:c>
      <x:c r="B85" s="105"/>
      <x:c r="C85" s="106"/>
      <x:c r="D85" s="90" t="str">
        <x:f>IF(B85="","",IF(COUNTIFS('Route List'!$A$6:$A$305,B85)=1,IF(E85="Return",INDEX('Route List'!$C$6:$C$305,MATCH(B85,'Route List'!$A$6:$A$305,0)),INDEX('Route List'!$B$6:$B$305,MATCH(B85,'Route List'!$A$6:$A$305,0))),""))</x:f>
      </x:c>
      <x:c r="E85" s="107"/>
      <x:c r="F85" s="108"/>
      <x:c r="G85" s="109" t="str">
        <x:f>IF(F85="","",IF(COUNTIFS(Buses!$A$6:$A$105,F85)=1,INDEX(Buses!$B$6:$B$105,MATCH(F85,Buses!$A$6:$A$105,0)),""))</x:f>
      </x:c>
      <x:c r="H85" s="109" t="str">
        <x:f>IF(G85="","",IF(COUNTIFS(Crew!$A$6:$A$105,G85)&gt;0,INDEX(Crew!$C$6:$C$105,MATCH(G85,Crew!$A$6:$A$105,0)),""))</x:f>
      </x:c>
      <x:c r="I85" s="108"/>
      <x:c r="J85" s="109" t="str">
        <x:f>IF(I85="","",IF(COUNTIFS(Crew!$A$6:$A$105,I85)&gt;0,INDEX(Crew!$C$6:$C$105,MATCH(I85,Crew!$A$6:$A$105,0)),""))</x:f>
      </x:c>
      <x:c r="K85" s="108"/>
      <x:c r="L85" s="109" t="str">
        <x:f>IF(K85="","",IF(COUNTIFS(Crew!$A$6:$A$105,K85)&gt;0,INDEX(Crew!$C$6:$C$105,MATCH(K85,Crew!$A$6:$A$105,0)),""))</x:f>
      </x:c>
      <x:c r="M85" s="90" t="str">
        <x:f>IF(B85="","",62)</x:f>
      </x:c>
      <x:c r="N85" s="107" t="str">
        <x:f>IF(B85="","",SUMIFS(Collections!$G$6:$G$505,Collections!$D$6:$D$505,A85))</x:f>
      </x:c>
      <x:c r="O85" s="98" t="str">
        <x:f>IF(B85="","",SUMIFS(Collections!$J$6:$J$505,Collections!$D$6:$D$505,A85))</x:f>
      </x:c>
      <x:c r="P85" s="98" t="str">
        <x:f>IF(B85="","",SUMIFS(Collections!$K$6:$K$505,Collections!$D$6:$D$505,A85))</x:f>
      </x:c>
      <x:c r="Q85" s="98" t="str">
        <x:f>IF(B85="","",SUMIFS(Collections!$L$6:$L$505,Collections!$D$6:$D$505,A85))</x:f>
      </x:c>
      <x:c r="R85" s="98" t="str">
        <x:f>IF(B85="","",SUMIFS(Collections!$M$6:$M$505,Collections!$D$6:$D$505,A85))</x:f>
      </x:c>
      <x:c r="S85" s="98" t="str">
        <x:f>IF(B85="","",SUMIFS(Collections!$N$6:$N$505,Collections!$D$6:$D$505,A85))</x:f>
      </x:c>
      <x:c r="T85" s="110" t="str">
        <x:f>IF(A85="","",IF(M85&gt;0,N85/M85,""))</x:f>
      </x:c>
    </x:row>
    <x:row r="86" ht="28" customHeight="1">
      <x:c r="A86" s="97" t="str">
        <x:f>IF(B86="","",MAX(Settings!$B$17-1,$A$6:A85)+1)</x:f>
      </x:c>
      <x:c r="B86" s="105"/>
      <x:c r="C86" s="106"/>
      <x:c r="D86" s="90" t="str">
        <x:f>IF(B86="","",IF(COUNTIFS('Route List'!$A$6:$A$305,B86)=1,IF(E86="Return",INDEX('Route List'!$C$6:$C$305,MATCH(B86,'Route List'!$A$6:$A$305,0)),INDEX('Route List'!$B$6:$B$305,MATCH(B86,'Route List'!$A$6:$A$305,0))),""))</x:f>
      </x:c>
      <x:c r="E86" s="107"/>
      <x:c r="F86" s="108"/>
      <x:c r="G86" s="109" t="str">
        <x:f>IF(F86="","",IF(COUNTIFS(Buses!$A$6:$A$105,F86)=1,INDEX(Buses!$B$6:$B$105,MATCH(F86,Buses!$A$6:$A$105,0)),""))</x:f>
      </x:c>
      <x:c r="H86" s="109" t="str">
        <x:f>IF(G86="","",IF(COUNTIFS(Crew!$A$6:$A$105,G86)&gt;0,INDEX(Crew!$C$6:$C$105,MATCH(G86,Crew!$A$6:$A$105,0)),""))</x:f>
      </x:c>
      <x:c r="I86" s="108"/>
      <x:c r="J86" s="109" t="str">
        <x:f>IF(I86="","",IF(COUNTIFS(Crew!$A$6:$A$105,I86)&gt;0,INDEX(Crew!$C$6:$C$105,MATCH(I86,Crew!$A$6:$A$105,0)),""))</x:f>
      </x:c>
      <x:c r="K86" s="108"/>
      <x:c r="L86" s="109" t="str">
        <x:f>IF(K86="","",IF(COUNTIFS(Crew!$A$6:$A$105,K86)&gt;0,INDEX(Crew!$C$6:$C$105,MATCH(K86,Crew!$A$6:$A$105,0)),""))</x:f>
      </x:c>
      <x:c r="M86" s="90" t="str">
        <x:f>IF(B86="","",62)</x:f>
      </x:c>
      <x:c r="N86" s="107" t="str">
        <x:f>IF(B86="","",SUMIFS(Collections!$G$6:$G$505,Collections!$D$6:$D$505,A86))</x:f>
      </x:c>
      <x:c r="O86" s="98" t="str">
        <x:f>IF(B86="","",SUMIFS(Collections!$J$6:$J$505,Collections!$D$6:$D$505,A86))</x:f>
      </x:c>
      <x:c r="P86" s="98" t="str">
        <x:f>IF(B86="","",SUMIFS(Collections!$K$6:$K$505,Collections!$D$6:$D$505,A86))</x:f>
      </x:c>
      <x:c r="Q86" s="98" t="str">
        <x:f>IF(B86="","",SUMIFS(Collections!$L$6:$L$505,Collections!$D$6:$D$505,A86))</x:f>
      </x:c>
      <x:c r="R86" s="98" t="str">
        <x:f>IF(B86="","",SUMIFS(Collections!$M$6:$M$505,Collections!$D$6:$D$505,A86))</x:f>
      </x:c>
      <x:c r="S86" s="98" t="str">
        <x:f>IF(B86="","",SUMIFS(Collections!$N$6:$N$505,Collections!$D$6:$D$505,A86))</x:f>
      </x:c>
      <x:c r="T86" s="110" t="str">
        <x:f>IF(A86="","",IF(M86&gt;0,N86/M86,""))</x:f>
      </x:c>
    </x:row>
    <x:row r="87" ht="28" customHeight="1">
      <x:c r="A87" s="97" t="str">
        <x:f>IF(B87="","",MAX(Settings!$B$17-1,$A$6:A86)+1)</x:f>
      </x:c>
      <x:c r="B87" s="105"/>
      <x:c r="C87" s="106"/>
      <x:c r="D87" s="90" t="str">
        <x:f>IF(B87="","",IF(COUNTIFS('Route List'!$A$6:$A$305,B87)=1,IF(E87="Return",INDEX('Route List'!$C$6:$C$305,MATCH(B87,'Route List'!$A$6:$A$305,0)),INDEX('Route List'!$B$6:$B$305,MATCH(B87,'Route List'!$A$6:$A$305,0))),""))</x:f>
      </x:c>
      <x:c r="E87" s="107"/>
      <x:c r="F87" s="108"/>
      <x:c r="G87" s="109" t="str">
        <x:f>IF(F87="","",IF(COUNTIFS(Buses!$A$6:$A$105,F87)=1,INDEX(Buses!$B$6:$B$105,MATCH(F87,Buses!$A$6:$A$105,0)),""))</x:f>
      </x:c>
      <x:c r="H87" s="109" t="str">
        <x:f>IF(G87="","",IF(COUNTIFS(Crew!$A$6:$A$105,G87)&gt;0,INDEX(Crew!$C$6:$C$105,MATCH(G87,Crew!$A$6:$A$105,0)),""))</x:f>
      </x:c>
      <x:c r="I87" s="108"/>
      <x:c r="J87" s="109" t="str">
        <x:f>IF(I87="","",IF(COUNTIFS(Crew!$A$6:$A$105,I87)&gt;0,INDEX(Crew!$C$6:$C$105,MATCH(I87,Crew!$A$6:$A$105,0)),""))</x:f>
      </x:c>
      <x:c r="K87" s="108"/>
      <x:c r="L87" s="109" t="str">
        <x:f>IF(K87="","",IF(COUNTIFS(Crew!$A$6:$A$105,K87)&gt;0,INDEX(Crew!$C$6:$C$105,MATCH(K87,Crew!$A$6:$A$105,0)),""))</x:f>
      </x:c>
      <x:c r="M87" s="90" t="str">
        <x:f>IF(B87="","",62)</x:f>
      </x:c>
      <x:c r="N87" s="107" t="str">
        <x:f>IF(B87="","",SUMIFS(Collections!$G$6:$G$505,Collections!$D$6:$D$505,A87))</x:f>
      </x:c>
      <x:c r="O87" s="98" t="str">
        <x:f>IF(B87="","",SUMIFS(Collections!$J$6:$J$505,Collections!$D$6:$D$505,A87))</x:f>
      </x:c>
      <x:c r="P87" s="98" t="str">
        <x:f>IF(B87="","",SUMIFS(Collections!$K$6:$K$505,Collections!$D$6:$D$505,A87))</x:f>
      </x:c>
      <x:c r="Q87" s="98" t="str">
        <x:f>IF(B87="","",SUMIFS(Collections!$L$6:$L$505,Collections!$D$6:$D$505,A87))</x:f>
      </x:c>
      <x:c r="R87" s="98" t="str">
        <x:f>IF(B87="","",SUMIFS(Collections!$M$6:$M$505,Collections!$D$6:$D$505,A87))</x:f>
      </x:c>
      <x:c r="S87" s="98" t="str">
        <x:f>IF(B87="","",SUMIFS(Collections!$N$6:$N$505,Collections!$D$6:$D$505,A87))</x:f>
      </x:c>
      <x:c r="T87" s="110" t="str">
        <x:f>IF(A87="","",IF(M87&gt;0,N87/M87,""))</x:f>
      </x:c>
    </x:row>
    <x:row r="88" ht="28" customHeight="1">
      <x:c r="A88" s="97" t="str">
        <x:f>IF(B88="","",MAX(Settings!$B$17-1,$A$6:A87)+1)</x:f>
      </x:c>
      <x:c r="B88" s="105"/>
      <x:c r="C88" s="106"/>
      <x:c r="D88" s="90" t="str">
        <x:f>IF(B88="","",IF(COUNTIFS('Route List'!$A$6:$A$305,B88)=1,IF(E88="Return",INDEX('Route List'!$C$6:$C$305,MATCH(B88,'Route List'!$A$6:$A$305,0)),INDEX('Route List'!$B$6:$B$305,MATCH(B88,'Route List'!$A$6:$A$305,0))),""))</x:f>
      </x:c>
      <x:c r="E88" s="107"/>
      <x:c r="F88" s="108"/>
      <x:c r="G88" s="109" t="str">
        <x:f>IF(F88="","",IF(COUNTIFS(Buses!$A$6:$A$105,F88)=1,INDEX(Buses!$B$6:$B$105,MATCH(F88,Buses!$A$6:$A$105,0)),""))</x:f>
      </x:c>
      <x:c r="H88" s="109" t="str">
        <x:f>IF(G88="","",IF(COUNTIFS(Crew!$A$6:$A$105,G88)&gt;0,INDEX(Crew!$C$6:$C$105,MATCH(G88,Crew!$A$6:$A$105,0)),""))</x:f>
      </x:c>
      <x:c r="I88" s="108"/>
      <x:c r="J88" s="109" t="str">
        <x:f>IF(I88="","",IF(COUNTIFS(Crew!$A$6:$A$105,I88)&gt;0,INDEX(Crew!$C$6:$C$105,MATCH(I88,Crew!$A$6:$A$105,0)),""))</x:f>
      </x:c>
      <x:c r="K88" s="108"/>
      <x:c r="L88" s="109" t="str">
        <x:f>IF(K88="","",IF(COUNTIFS(Crew!$A$6:$A$105,K88)&gt;0,INDEX(Crew!$C$6:$C$105,MATCH(K88,Crew!$A$6:$A$105,0)),""))</x:f>
      </x:c>
      <x:c r="M88" s="90" t="str">
        <x:f>IF(B88="","",62)</x:f>
      </x:c>
      <x:c r="N88" s="107" t="str">
        <x:f>IF(B88="","",SUMIFS(Collections!$G$6:$G$505,Collections!$D$6:$D$505,A88))</x:f>
      </x:c>
      <x:c r="O88" s="98" t="str">
        <x:f>IF(B88="","",SUMIFS(Collections!$J$6:$J$505,Collections!$D$6:$D$505,A88))</x:f>
      </x:c>
      <x:c r="P88" s="98" t="str">
        <x:f>IF(B88="","",SUMIFS(Collections!$K$6:$K$505,Collections!$D$6:$D$505,A88))</x:f>
      </x:c>
      <x:c r="Q88" s="98" t="str">
        <x:f>IF(B88="","",SUMIFS(Collections!$L$6:$L$505,Collections!$D$6:$D$505,A88))</x:f>
      </x:c>
      <x:c r="R88" s="98" t="str">
        <x:f>IF(B88="","",SUMIFS(Collections!$M$6:$M$505,Collections!$D$6:$D$505,A88))</x:f>
      </x:c>
      <x:c r="S88" s="98" t="str">
        <x:f>IF(B88="","",SUMIFS(Collections!$N$6:$N$505,Collections!$D$6:$D$505,A88))</x:f>
      </x:c>
      <x:c r="T88" s="110" t="str">
        <x:f>IF(A88="","",IF(M88&gt;0,N88/M88,""))</x:f>
      </x:c>
    </x:row>
    <x:row r="89" ht="28" customHeight="1">
      <x:c r="A89" s="97" t="str">
        <x:f>IF(B89="","",MAX(Settings!$B$17-1,$A$6:A88)+1)</x:f>
      </x:c>
      <x:c r="B89" s="105"/>
      <x:c r="C89" s="106"/>
      <x:c r="D89" s="90" t="str">
        <x:f>IF(B89="","",IF(COUNTIFS('Route List'!$A$6:$A$305,B89)=1,IF(E89="Return",INDEX('Route List'!$C$6:$C$305,MATCH(B89,'Route List'!$A$6:$A$305,0)),INDEX('Route List'!$B$6:$B$305,MATCH(B89,'Route List'!$A$6:$A$305,0))),""))</x:f>
      </x:c>
      <x:c r="E89" s="107"/>
      <x:c r="F89" s="108"/>
      <x:c r="G89" s="109" t="str">
        <x:f>IF(F89="","",IF(COUNTIFS(Buses!$A$6:$A$105,F89)=1,INDEX(Buses!$B$6:$B$105,MATCH(F89,Buses!$A$6:$A$105,0)),""))</x:f>
      </x:c>
      <x:c r="H89" s="109" t="str">
        <x:f>IF(G89="","",IF(COUNTIFS(Crew!$A$6:$A$105,G89)&gt;0,INDEX(Crew!$C$6:$C$105,MATCH(G89,Crew!$A$6:$A$105,0)),""))</x:f>
      </x:c>
      <x:c r="I89" s="108"/>
      <x:c r="J89" s="109" t="str">
        <x:f>IF(I89="","",IF(COUNTIFS(Crew!$A$6:$A$105,I89)&gt;0,INDEX(Crew!$C$6:$C$105,MATCH(I89,Crew!$A$6:$A$105,0)),""))</x:f>
      </x:c>
      <x:c r="K89" s="108"/>
      <x:c r="L89" s="109" t="str">
        <x:f>IF(K89="","",IF(COUNTIFS(Crew!$A$6:$A$105,K89)&gt;0,INDEX(Crew!$C$6:$C$105,MATCH(K89,Crew!$A$6:$A$105,0)),""))</x:f>
      </x:c>
      <x:c r="M89" s="90" t="str">
        <x:f>IF(B89="","",62)</x:f>
      </x:c>
      <x:c r="N89" s="107" t="str">
        <x:f>IF(B89="","",SUMIFS(Collections!$G$6:$G$505,Collections!$D$6:$D$505,A89))</x:f>
      </x:c>
      <x:c r="O89" s="98" t="str">
        <x:f>IF(B89="","",SUMIFS(Collections!$J$6:$J$505,Collections!$D$6:$D$505,A89))</x:f>
      </x:c>
      <x:c r="P89" s="98" t="str">
        <x:f>IF(B89="","",SUMIFS(Collections!$K$6:$K$505,Collections!$D$6:$D$505,A89))</x:f>
      </x:c>
      <x:c r="Q89" s="98" t="str">
        <x:f>IF(B89="","",SUMIFS(Collections!$L$6:$L$505,Collections!$D$6:$D$505,A89))</x:f>
      </x:c>
      <x:c r="R89" s="98" t="str">
        <x:f>IF(B89="","",SUMIFS(Collections!$M$6:$M$505,Collections!$D$6:$D$505,A89))</x:f>
      </x:c>
      <x:c r="S89" s="98" t="str">
        <x:f>IF(B89="","",SUMIFS(Collections!$N$6:$N$505,Collections!$D$6:$D$505,A89))</x:f>
      </x:c>
      <x:c r="T89" s="110" t="str">
        <x:f>IF(A89="","",IF(M89&gt;0,N89/M89,""))</x:f>
      </x:c>
    </x:row>
    <x:row r="90" ht="28" customHeight="1">
      <x:c r="A90" s="97" t="str">
        <x:f>IF(B90="","",MAX(Settings!$B$17-1,$A$6:A89)+1)</x:f>
      </x:c>
      <x:c r="B90" s="105"/>
      <x:c r="C90" s="106"/>
      <x:c r="D90" s="90" t="str">
        <x:f>IF(B90="","",IF(COUNTIFS('Route List'!$A$6:$A$305,B90)=1,IF(E90="Return",INDEX('Route List'!$C$6:$C$305,MATCH(B90,'Route List'!$A$6:$A$305,0)),INDEX('Route List'!$B$6:$B$305,MATCH(B90,'Route List'!$A$6:$A$305,0))),""))</x:f>
      </x:c>
      <x:c r="E90" s="107"/>
      <x:c r="F90" s="108"/>
      <x:c r="G90" s="109" t="str">
        <x:f>IF(F90="","",IF(COUNTIFS(Buses!$A$6:$A$105,F90)=1,INDEX(Buses!$B$6:$B$105,MATCH(F90,Buses!$A$6:$A$105,0)),""))</x:f>
      </x:c>
      <x:c r="H90" s="109" t="str">
        <x:f>IF(G90="","",IF(COUNTIFS(Crew!$A$6:$A$105,G90)&gt;0,INDEX(Crew!$C$6:$C$105,MATCH(G90,Crew!$A$6:$A$105,0)),""))</x:f>
      </x:c>
      <x:c r="I90" s="108"/>
      <x:c r="J90" s="109" t="str">
        <x:f>IF(I90="","",IF(COUNTIFS(Crew!$A$6:$A$105,I90)&gt;0,INDEX(Crew!$C$6:$C$105,MATCH(I90,Crew!$A$6:$A$105,0)),""))</x:f>
      </x:c>
      <x:c r="K90" s="108"/>
      <x:c r="L90" s="109" t="str">
        <x:f>IF(K90="","",IF(COUNTIFS(Crew!$A$6:$A$105,K90)&gt;0,INDEX(Crew!$C$6:$C$105,MATCH(K90,Crew!$A$6:$A$105,0)),""))</x:f>
      </x:c>
      <x:c r="M90" s="90" t="str">
        <x:f>IF(B90="","",62)</x:f>
      </x:c>
      <x:c r="N90" s="107" t="str">
        <x:f>IF(B90="","",SUMIFS(Collections!$G$6:$G$505,Collections!$D$6:$D$505,A90))</x:f>
      </x:c>
      <x:c r="O90" s="98" t="str">
        <x:f>IF(B90="","",SUMIFS(Collections!$J$6:$J$505,Collections!$D$6:$D$505,A90))</x:f>
      </x:c>
      <x:c r="P90" s="98" t="str">
        <x:f>IF(B90="","",SUMIFS(Collections!$K$6:$K$505,Collections!$D$6:$D$505,A90))</x:f>
      </x:c>
      <x:c r="Q90" s="98" t="str">
        <x:f>IF(B90="","",SUMIFS(Collections!$L$6:$L$505,Collections!$D$6:$D$505,A90))</x:f>
      </x:c>
      <x:c r="R90" s="98" t="str">
        <x:f>IF(B90="","",SUMIFS(Collections!$M$6:$M$505,Collections!$D$6:$D$505,A90))</x:f>
      </x:c>
      <x:c r="S90" s="98" t="str">
        <x:f>IF(B90="","",SUMIFS(Collections!$N$6:$N$505,Collections!$D$6:$D$505,A90))</x:f>
      </x:c>
      <x:c r="T90" s="110" t="str">
        <x:f>IF(A90="","",IF(M90&gt;0,N90/M90,""))</x:f>
      </x:c>
    </x:row>
    <x:row r="91" ht="28" customHeight="1">
      <x:c r="A91" s="97" t="str">
        <x:f>IF(B91="","",MAX(Settings!$B$17-1,$A$6:A90)+1)</x:f>
      </x:c>
      <x:c r="B91" s="105"/>
      <x:c r="C91" s="106"/>
      <x:c r="D91" s="90" t="str">
        <x:f>IF(B91="","",IF(COUNTIFS('Route List'!$A$6:$A$305,B91)=1,IF(E91="Return",INDEX('Route List'!$C$6:$C$305,MATCH(B91,'Route List'!$A$6:$A$305,0)),INDEX('Route List'!$B$6:$B$305,MATCH(B91,'Route List'!$A$6:$A$305,0))),""))</x:f>
      </x:c>
      <x:c r="E91" s="107"/>
      <x:c r="F91" s="108"/>
      <x:c r="G91" s="109" t="str">
        <x:f>IF(F91="","",IF(COUNTIFS(Buses!$A$6:$A$105,F91)=1,INDEX(Buses!$B$6:$B$105,MATCH(F91,Buses!$A$6:$A$105,0)),""))</x:f>
      </x:c>
      <x:c r="H91" s="109" t="str">
        <x:f>IF(G91="","",IF(COUNTIFS(Crew!$A$6:$A$105,G91)&gt;0,INDEX(Crew!$C$6:$C$105,MATCH(G91,Crew!$A$6:$A$105,0)),""))</x:f>
      </x:c>
      <x:c r="I91" s="108"/>
      <x:c r="J91" s="109" t="str">
        <x:f>IF(I91="","",IF(COUNTIFS(Crew!$A$6:$A$105,I91)&gt;0,INDEX(Crew!$C$6:$C$105,MATCH(I91,Crew!$A$6:$A$105,0)),""))</x:f>
      </x:c>
      <x:c r="K91" s="108"/>
      <x:c r="L91" s="109" t="str">
        <x:f>IF(K91="","",IF(COUNTIFS(Crew!$A$6:$A$105,K91)&gt;0,INDEX(Crew!$C$6:$C$105,MATCH(K91,Crew!$A$6:$A$105,0)),""))</x:f>
      </x:c>
      <x:c r="M91" s="90" t="str">
        <x:f>IF(B91="","",62)</x:f>
      </x:c>
      <x:c r="N91" s="107" t="str">
        <x:f>IF(B91="","",SUMIFS(Collections!$G$6:$G$505,Collections!$D$6:$D$505,A91))</x:f>
      </x:c>
      <x:c r="O91" s="98" t="str">
        <x:f>IF(B91="","",SUMIFS(Collections!$J$6:$J$505,Collections!$D$6:$D$505,A91))</x:f>
      </x:c>
      <x:c r="P91" s="98" t="str">
        <x:f>IF(B91="","",SUMIFS(Collections!$K$6:$K$505,Collections!$D$6:$D$505,A91))</x:f>
      </x:c>
      <x:c r="Q91" s="98" t="str">
        <x:f>IF(B91="","",SUMIFS(Collections!$L$6:$L$505,Collections!$D$6:$D$505,A91))</x:f>
      </x:c>
      <x:c r="R91" s="98" t="str">
        <x:f>IF(B91="","",SUMIFS(Collections!$M$6:$M$505,Collections!$D$6:$D$505,A91))</x:f>
      </x:c>
      <x:c r="S91" s="98" t="str">
        <x:f>IF(B91="","",SUMIFS(Collections!$N$6:$N$505,Collections!$D$6:$D$505,A91))</x:f>
      </x:c>
      <x:c r="T91" s="110" t="str">
        <x:f>IF(A91="","",IF(M91&gt;0,N91/M91,""))</x:f>
      </x:c>
    </x:row>
    <x:row r="92" ht="28" customHeight="1">
      <x:c r="A92" s="97" t="str">
        <x:f>IF(B92="","",MAX(Settings!$B$17-1,$A$6:A91)+1)</x:f>
      </x:c>
      <x:c r="B92" s="105"/>
      <x:c r="C92" s="106"/>
      <x:c r="D92" s="90" t="str">
        <x:f>IF(B92="","",IF(COUNTIFS('Route List'!$A$6:$A$305,B92)=1,IF(E92="Return",INDEX('Route List'!$C$6:$C$305,MATCH(B92,'Route List'!$A$6:$A$305,0)),INDEX('Route List'!$B$6:$B$305,MATCH(B92,'Route List'!$A$6:$A$305,0))),""))</x:f>
      </x:c>
      <x:c r="E92" s="107"/>
      <x:c r="F92" s="108"/>
      <x:c r="G92" s="109" t="str">
        <x:f>IF(F92="","",IF(COUNTIFS(Buses!$A$6:$A$105,F92)=1,INDEX(Buses!$B$6:$B$105,MATCH(F92,Buses!$A$6:$A$105,0)),""))</x:f>
      </x:c>
      <x:c r="H92" s="109" t="str">
        <x:f>IF(G92="","",IF(COUNTIFS(Crew!$A$6:$A$105,G92)&gt;0,INDEX(Crew!$C$6:$C$105,MATCH(G92,Crew!$A$6:$A$105,0)),""))</x:f>
      </x:c>
      <x:c r="I92" s="108"/>
      <x:c r="J92" s="109" t="str">
        <x:f>IF(I92="","",IF(COUNTIFS(Crew!$A$6:$A$105,I92)&gt;0,INDEX(Crew!$C$6:$C$105,MATCH(I92,Crew!$A$6:$A$105,0)),""))</x:f>
      </x:c>
      <x:c r="K92" s="108"/>
      <x:c r="L92" s="109" t="str">
        <x:f>IF(K92="","",IF(COUNTIFS(Crew!$A$6:$A$105,K92)&gt;0,INDEX(Crew!$C$6:$C$105,MATCH(K92,Crew!$A$6:$A$105,0)),""))</x:f>
      </x:c>
      <x:c r="M92" s="90" t="str">
        <x:f>IF(B92="","",62)</x:f>
      </x:c>
      <x:c r="N92" s="107" t="str">
        <x:f>IF(B92="","",SUMIFS(Collections!$G$6:$G$505,Collections!$D$6:$D$505,A92))</x:f>
      </x:c>
      <x:c r="O92" s="98" t="str">
        <x:f>IF(B92="","",SUMIFS(Collections!$J$6:$J$505,Collections!$D$6:$D$505,A92))</x:f>
      </x:c>
      <x:c r="P92" s="98" t="str">
        <x:f>IF(B92="","",SUMIFS(Collections!$K$6:$K$505,Collections!$D$6:$D$505,A92))</x:f>
      </x:c>
      <x:c r="Q92" s="98" t="str">
        <x:f>IF(B92="","",SUMIFS(Collections!$L$6:$L$505,Collections!$D$6:$D$505,A92))</x:f>
      </x:c>
      <x:c r="R92" s="98" t="str">
        <x:f>IF(B92="","",SUMIFS(Collections!$M$6:$M$505,Collections!$D$6:$D$505,A92))</x:f>
      </x:c>
      <x:c r="S92" s="98" t="str">
        <x:f>IF(B92="","",SUMIFS(Collections!$N$6:$N$505,Collections!$D$6:$D$505,A92))</x:f>
      </x:c>
      <x:c r="T92" s="110" t="str">
        <x:f>IF(A92="","",IF(M92&gt;0,N92/M92,""))</x:f>
      </x:c>
    </x:row>
    <x:row r="93" ht="28" customHeight="1">
      <x:c r="A93" s="97" t="str">
        <x:f>IF(B93="","",MAX(Settings!$B$17-1,$A$6:A92)+1)</x:f>
      </x:c>
      <x:c r="B93" s="105"/>
      <x:c r="C93" s="106"/>
      <x:c r="D93" s="90" t="str">
        <x:f>IF(B93="","",IF(COUNTIFS('Route List'!$A$6:$A$305,B93)=1,IF(E93="Return",INDEX('Route List'!$C$6:$C$305,MATCH(B93,'Route List'!$A$6:$A$305,0)),INDEX('Route List'!$B$6:$B$305,MATCH(B93,'Route List'!$A$6:$A$305,0))),""))</x:f>
      </x:c>
      <x:c r="E93" s="107"/>
      <x:c r="F93" s="108"/>
      <x:c r="G93" s="109" t="str">
        <x:f>IF(F93="","",IF(COUNTIFS(Buses!$A$6:$A$105,F93)=1,INDEX(Buses!$B$6:$B$105,MATCH(F93,Buses!$A$6:$A$105,0)),""))</x:f>
      </x:c>
      <x:c r="H93" s="109" t="str">
        <x:f>IF(G93="","",IF(COUNTIFS(Crew!$A$6:$A$105,G93)&gt;0,INDEX(Crew!$C$6:$C$105,MATCH(G93,Crew!$A$6:$A$105,0)),""))</x:f>
      </x:c>
      <x:c r="I93" s="108"/>
      <x:c r="J93" s="109" t="str">
        <x:f>IF(I93="","",IF(COUNTIFS(Crew!$A$6:$A$105,I93)&gt;0,INDEX(Crew!$C$6:$C$105,MATCH(I93,Crew!$A$6:$A$105,0)),""))</x:f>
      </x:c>
      <x:c r="K93" s="108"/>
      <x:c r="L93" s="109" t="str">
        <x:f>IF(K93="","",IF(COUNTIFS(Crew!$A$6:$A$105,K93)&gt;0,INDEX(Crew!$C$6:$C$105,MATCH(K93,Crew!$A$6:$A$105,0)),""))</x:f>
      </x:c>
      <x:c r="M93" s="90" t="str">
        <x:f>IF(B93="","",62)</x:f>
      </x:c>
      <x:c r="N93" s="107" t="str">
        <x:f>IF(B93="","",SUMIFS(Collections!$G$6:$G$505,Collections!$D$6:$D$505,A93))</x:f>
      </x:c>
      <x:c r="O93" s="98" t="str">
        <x:f>IF(B93="","",SUMIFS(Collections!$J$6:$J$505,Collections!$D$6:$D$505,A93))</x:f>
      </x:c>
      <x:c r="P93" s="98" t="str">
        <x:f>IF(B93="","",SUMIFS(Collections!$K$6:$K$505,Collections!$D$6:$D$505,A93))</x:f>
      </x:c>
      <x:c r="Q93" s="98" t="str">
        <x:f>IF(B93="","",SUMIFS(Collections!$L$6:$L$505,Collections!$D$6:$D$505,A93))</x:f>
      </x:c>
      <x:c r="R93" s="98" t="str">
        <x:f>IF(B93="","",SUMIFS(Collections!$M$6:$M$505,Collections!$D$6:$D$505,A93))</x:f>
      </x:c>
      <x:c r="S93" s="98" t="str">
        <x:f>IF(B93="","",SUMIFS(Collections!$N$6:$N$505,Collections!$D$6:$D$505,A93))</x:f>
      </x:c>
      <x:c r="T93" s="110" t="str">
        <x:f>IF(A93="","",IF(M93&gt;0,N93/M93,""))</x:f>
      </x:c>
    </x:row>
    <x:row r="94" ht="28" customHeight="1">
      <x:c r="A94" s="97" t="str">
        <x:f>IF(B94="","",MAX(Settings!$B$17-1,$A$6:A93)+1)</x:f>
      </x:c>
      <x:c r="B94" s="105"/>
      <x:c r="C94" s="106"/>
      <x:c r="D94" s="90" t="str">
        <x:f>IF(B94="","",IF(COUNTIFS('Route List'!$A$6:$A$305,B94)=1,IF(E94="Return",INDEX('Route List'!$C$6:$C$305,MATCH(B94,'Route List'!$A$6:$A$305,0)),INDEX('Route List'!$B$6:$B$305,MATCH(B94,'Route List'!$A$6:$A$305,0))),""))</x:f>
      </x:c>
      <x:c r="E94" s="107"/>
      <x:c r="F94" s="108"/>
      <x:c r="G94" s="109" t="str">
        <x:f>IF(F94="","",IF(COUNTIFS(Buses!$A$6:$A$105,F94)=1,INDEX(Buses!$B$6:$B$105,MATCH(F94,Buses!$A$6:$A$105,0)),""))</x:f>
      </x:c>
      <x:c r="H94" s="109" t="str">
        <x:f>IF(G94="","",IF(COUNTIFS(Crew!$A$6:$A$105,G94)&gt;0,INDEX(Crew!$C$6:$C$105,MATCH(G94,Crew!$A$6:$A$105,0)),""))</x:f>
      </x:c>
      <x:c r="I94" s="108"/>
      <x:c r="J94" s="109" t="str">
        <x:f>IF(I94="","",IF(COUNTIFS(Crew!$A$6:$A$105,I94)&gt;0,INDEX(Crew!$C$6:$C$105,MATCH(I94,Crew!$A$6:$A$105,0)),""))</x:f>
      </x:c>
      <x:c r="K94" s="108"/>
      <x:c r="L94" s="109" t="str">
        <x:f>IF(K94="","",IF(COUNTIFS(Crew!$A$6:$A$105,K94)&gt;0,INDEX(Crew!$C$6:$C$105,MATCH(K94,Crew!$A$6:$A$105,0)),""))</x:f>
      </x:c>
      <x:c r="M94" s="90" t="str">
        <x:f>IF(B94="","",62)</x:f>
      </x:c>
      <x:c r="N94" s="107" t="str">
        <x:f>IF(B94="","",SUMIFS(Collections!$G$6:$G$505,Collections!$D$6:$D$505,A94))</x:f>
      </x:c>
      <x:c r="O94" s="98" t="str">
        <x:f>IF(B94="","",SUMIFS(Collections!$J$6:$J$505,Collections!$D$6:$D$505,A94))</x:f>
      </x:c>
      <x:c r="P94" s="98" t="str">
        <x:f>IF(B94="","",SUMIFS(Collections!$K$6:$K$505,Collections!$D$6:$D$505,A94))</x:f>
      </x:c>
      <x:c r="Q94" s="98" t="str">
        <x:f>IF(B94="","",SUMIFS(Collections!$L$6:$L$505,Collections!$D$6:$D$505,A94))</x:f>
      </x:c>
      <x:c r="R94" s="98" t="str">
        <x:f>IF(B94="","",SUMIFS(Collections!$M$6:$M$505,Collections!$D$6:$D$505,A94))</x:f>
      </x:c>
      <x:c r="S94" s="98" t="str">
        <x:f>IF(B94="","",SUMIFS(Collections!$N$6:$N$505,Collections!$D$6:$D$505,A94))</x:f>
      </x:c>
      <x:c r="T94" s="110" t="str">
        <x:f>IF(A94="","",IF(M94&gt;0,N94/M94,""))</x:f>
      </x:c>
    </x:row>
    <x:row r="95" ht="28" customHeight="1">
      <x:c r="A95" s="97" t="str">
        <x:f>IF(B95="","",MAX(Settings!$B$17-1,$A$6:A94)+1)</x:f>
      </x:c>
      <x:c r="B95" s="105"/>
      <x:c r="C95" s="106"/>
      <x:c r="D95" s="90" t="str">
        <x:f>IF(B95="","",IF(COUNTIFS('Route List'!$A$6:$A$305,B95)=1,IF(E95="Return",INDEX('Route List'!$C$6:$C$305,MATCH(B95,'Route List'!$A$6:$A$305,0)),INDEX('Route List'!$B$6:$B$305,MATCH(B95,'Route List'!$A$6:$A$305,0))),""))</x:f>
      </x:c>
      <x:c r="E95" s="107"/>
      <x:c r="F95" s="108"/>
      <x:c r="G95" s="109" t="str">
        <x:f>IF(F95="","",IF(COUNTIFS(Buses!$A$6:$A$105,F95)=1,INDEX(Buses!$B$6:$B$105,MATCH(F95,Buses!$A$6:$A$105,0)),""))</x:f>
      </x:c>
      <x:c r="H95" s="109" t="str">
        <x:f>IF(G95="","",IF(COUNTIFS(Crew!$A$6:$A$105,G95)&gt;0,INDEX(Crew!$C$6:$C$105,MATCH(G95,Crew!$A$6:$A$105,0)),""))</x:f>
      </x:c>
      <x:c r="I95" s="108"/>
      <x:c r="J95" s="109" t="str">
        <x:f>IF(I95="","",IF(COUNTIFS(Crew!$A$6:$A$105,I95)&gt;0,INDEX(Crew!$C$6:$C$105,MATCH(I95,Crew!$A$6:$A$105,0)),""))</x:f>
      </x:c>
      <x:c r="K95" s="108"/>
      <x:c r="L95" s="109" t="str">
        <x:f>IF(K95="","",IF(COUNTIFS(Crew!$A$6:$A$105,K95)&gt;0,INDEX(Crew!$C$6:$C$105,MATCH(K95,Crew!$A$6:$A$105,0)),""))</x:f>
      </x:c>
      <x:c r="M95" s="90" t="str">
        <x:f>IF(B95="","",62)</x:f>
      </x:c>
      <x:c r="N95" s="107" t="str">
        <x:f>IF(B95="","",SUMIFS(Collections!$G$6:$G$505,Collections!$D$6:$D$505,A95))</x:f>
      </x:c>
      <x:c r="O95" s="98" t="str">
        <x:f>IF(B95="","",SUMIFS(Collections!$J$6:$J$505,Collections!$D$6:$D$505,A95))</x:f>
      </x:c>
      <x:c r="P95" s="98" t="str">
        <x:f>IF(B95="","",SUMIFS(Collections!$K$6:$K$505,Collections!$D$6:$D$505,A95))</x:f>
      </x:c>
      <x:c r="Q95" s="98" t="str">
        <x:f>IF(B95="","",SUMIFS(Collections!$L$6:$L$505,Collections!$D$6:$D$505,A95))</x:f>
      </x:c>
      <x:c r="R95" s="98" t="str">
        <x:f>IF(B95="","",SUMIFS(Collections!$M$6:$M$505,Collections!$D$6:$D$505,A95))</x:f>
      </x:c>
      <x:c r="S95" s="98" t="str">
        <x:f>IF(B95="","",SUMIFS(Collections!$N$6:$N$505,Collections!$D$6:$D$505,A95))</x:f>
      </x:c>
      <x:c r="T95" s="110" t="str">
        <x:f>IF(A95="","",IF(M95&gt;0,N95/M95,""))</x:f>
      </x:c>
    </x:row>
    <x:row r="96" ht="28" customHeight="1">
      <x:c r="A96" s="97" t="str">
        <x:f>IF(B96="","",MAX(Settings!$B$17-1,$A$6:A95)+1)</x:f>
      </x:c>
      <x:c r="B96" s="105"/>
      <x:c r="C96" s="106"/>
      <x:c r="D96" s="90" t="str">
        <x:f>IF(B96="","",IF(COUNTIFS('Route List'!$A$6:$A$305,B96)=1,IF(E96="Return",INDEX('Route List'!$C$6:$C$305,MATCH(B96,'Route List'!$A$6:$A$305,0)),INDEX('Route List'!$B$6:$B$305,MATCH(B96,'Route List'!$A$6:$A$305,0))),""))</x:f>
      </x:c>
      <x:c r="E96" s="107"/>
      <x:c r="F96" s="108"/>
      <x:c r="G96" s="109" t="str">
        <x:f>IF(F96="","",IF(COUNTIFS(Buses!$A$6:$A$105,F96)=1,INDEX(Buses!$B$6:$B$105,MATCH(F96,Buses!$A$6:$A$105,0)),""))</x:f>
      </x:c>
      <x:c r="H96" s="109" t="str">
        <x:f>IF(G96="","",IF(COUNTIFS(Crew!$A$6:$A$105,G96)&gt;0,INDEX(Crew!$C$6:$C$105,MATCH(G96,Crew!$A$6:$A$105,0)),""))</x:f>
      </x:c>
      <x:c r="I96" s="108"/>
      <x:c r="J96" s="109" t="str">
        <x:f>IF(I96="","",IF(COUNTIFS(Crew!$A$6:$A$105,I96)&gt;0,INDEX(Crew!$C$6:$C$105,MATCH(I96,Crew!$A$6:$A$105,0)),""))</x:f>
      </x:c>
      <x:c r="K96" s="108"/>
      <x:c r="L96" s="109" t="str">
        <x:f>IF(K96="","",IF(COUNTIFS(Crew!$A$6:$A$105,K96)&gt;0,INDEX(Crew!$C$6:$C$105,MATCH(K96,Crew!$A$6:$A$105,0)),""))</x:f>
      </x:c>
      <x:c r="M96" s="90" t="str">
        <x:f>IF(B96="","",62)</x:f>
      </x:c>
      <x:c r="N96" s="107" t="str">
        <x:f>IF(B96="","",SUMIFS(Collections!$G$6:$G$505,Collections!$D$6:$D$505,A96))</x:f>
      </x:c>
      <x:c r="O96" s="98" t="str">
        <x:f>IF(B96="","",SUMIFS(Collections!$J$6:$J$505,Collections!$D$6:$D$505,A96))</x:f>
      </x:c>
      <x:c r="P96" s="98" t="str">
        <x:f>IF(B96="","",SUMIFS(Collections!$K$6:$K$505,Collections!$D$6:$D$505,A96))</x:f>
      </x:c>
      <x:c r="Q96" s="98" t="str">
        <x:f>IF(B96="","",SUMIFS(Collections!$L$6:$L$505,Collections!$D$6:$D$505,A96))</x:f>
      </x:c>
      <x:c r="R96" s="98" t="str">
        <x:f>IF(B96="","",SUMIFS(Collections!$M$6:$M$505,Collections!$D$6:$D$505,A96))</x:f>
      </x:c>
      <x:c r="S96" s="98" t="str">
        <x:f>IF(B96="","",SUMIFS(Collections!$N$6:$N$505,Collections!$D$6:$D$505,A96))</x:f>
      </x:c>
      <x:c r="T96" s="110" t="str">
        <x:f>IF(A96="","",IF(M96&gt;0,N96/M96,""))</x:f>
      </x:c>
    </x:row>
    <x:row r="97" ht="28" customHeight="1">
      <x:c r="A97" s="97" t="str">
        <x:f>IF(B97="","",MAX(Settings!$B$17-1,$A$6:A96)+1)</x:f>
      </x:c>
      <x:c r="B97" s="105"/>
      <x:c r="C97" s="106"/>
      <x:c r="D97" s="90" t="str">
        <x:f>IF(B97="","",IF(COUNTIFS('Route List'!$A$6:$A$305,B97)=1,IF(E97="Return",INDEX('Route List'!$C$6:$C$305,MATCH(B97,'Route List'!$A$6:$A$305,0)),INDEX('Route List'!$B$6:$B$305,MATCH(B97,'Route List'!$A$6:$A$305,0))),""))</x:f>
      </x:c>
      <x:c r="E97" s="107"/>
      <x:c r="F97" s="108"/>
      <x:c r="G97" s="109" t="str">
        <x:f>IF(F97="","",IF(COUNTIFS(Buses!$A$6:$A$105,F97)=1,INDEX(Buses!$B$6:$B$105,MATCH(F97,Buses!$A$6:$A$105,0)),""))</x:f>
      </x:c>
      <x:c r="H97" s="109" t="str">
        <x:f>IF(G97="","",IF(COUNTIFS(Crew!$A$6:$A$105,G97)&gt;0,INDEX(Crew!$C$6:$C$105,MATCH(G97,Crew!$A$6:$A$105,0)),""))</x:f>
      </x:c>
      <x:c r="I97" s="108"/>
      <x:c r="J97" s="109" t="str">
        <x:f>IF(I97="","",IF(COUNTIFS(Crew!$A$6:$A$105,I97)&gt;0,INDEX(Crew!$C$6:$C$105,MATCH(I97,Crew!$A$6:$A$105,0)),""))</x:f>
      </x:c>
      <x:c r="K97" s="108"/>
      <x:c r="L97" s="109" t="str">
        <x:f>IF(K97="","",IF(COUNTIFS(Crew!$A$6:$A$105,K97)&gt;0,INDEX(Crew!$C$6:$C$105,MATCH(K97,Crew!$A$6:$A$105,0)),""))</x:f>
      </x:c>
      <x:c r="M97" s="90" t="str">
        <x:f>IF(B97="","",62)</x:f>
      </x:c>
      <x:c r="N97" s="107" t="str">
        <x:f>IF(B97="","",SUMIFS(Collections!$G$6:$G$505,Collections!$D$6:$D$505,A97))</x:f>
      </x:c>
      <x:c r="O97" s="98" t="str">
        <x:f>IF(B97="","",SUMIFS(Collections!$J$6:$J$505,Collections!$D$6:$D$505,A97))</x:f>
      </x:c>
      <x:c r="P97" s="98" t="str">
        <x:f>IF(B97="","",SUMIFS(Collections!$K$6:$K$505,Collections!$D$6:$D$505,A97))</x:f>
      </x:c>
      <x:c r="Q97" s="98" t="str">
        <x:f>IF(B97="","",SUMIFS(Collections!$L$6:$L$505,Collections!$D$6:$D$505,A97))</x:f>
      </x:c>
      <x:c r="R97" s="98" t="str">
        <x:f>IF(B97="","",SUMIFS(Collections!$M$6:$M$505,Collections!$D$6:$D$505,A97))</x:f>
      </x:c>
      <x:c r="S97" s="98" t="str">
        <x:f>IF(B97="","",SUMIFS(Collections!$N$6:$N$505,Collections!$D$6:$D$505,A97))</x:f>
      </x:c>
      <x:c r="T97" s="110" t="str">
        <x:f>IF(A97="","",IF(M97&gt;0,N97/M97,""))</x:f>
      </x:c>
    </x:row>
    <x:row r="98" ht="28" customHeight="1">
      <x:c r="A98" s="97" t="str">
        <x:f>IF(B98="","",MAX(Settings!$B$17-1,$A$6:A97)+1)</x:f>
      </x:c>
      <x:c r="B98" s="105"/>
      <x:c r="C98" s="106"/>
      <x:c r="D98" s="90" t="str">
        <x:f>IF(B98="","",IF(COUNTIFS('Route List'!$A$6:$A$305,B98)=1,IF(E98="Return",INDEX('Route List'!$C$6:$C$305,MATCH(B98,'Route List'!$A$6:$A$305,0)),INDEX('Route List'!$B$6:$B$305,MATCH(B98,'Route List'!$A$6:$A$305,0))),""))</x:f>
      </x:c>
      <x:c r="E98" s="107"/>
      <x:c r="F98" s="108"/>
      <x:c r="G98" s="109" t="str">
        <x:f>IF(F98="","",IF(COUNTIFS(Buses!$A$6:$A$105,F98)=1,INDEX(Buses!$B$6:$B$105,MATCH(F98,Buses!$A$6:$A$105,0)),""))</x:f>
      </x:c>
      <x:c r="H98" s="109" t="str">
        <x:f>IF(G98="","",IF(COUNTIFS(Crew!$A$6:$A$105,G98)&gt;0,INDEX(Crew!$C$6:$C$105,MATCH(G98,Crew!$A$6:$A$105,0)),""))</x:f>
      </x:c>
      <x:c r="I98" s="108"/>
      <x:c r="J98" s="109" t="str">
        <x:f>IF(I98="","",IF(COUNTIFS(Crew!$A$6:$A$105,I98)&gt;0,INDEX(Crew!$C$6:$C$105,MATCH(I98,Crew!$A$6:$A$105,0)),""))</x:f>
      </x:c>
      <x:c r="K98" s="108"/>
      <x:c r="L98" s="109" t="str">
        <x:f>IF(K98="","",IF(COUNTIFS(Crew!$A$6:$A$105,K98)&gt;0,INDEX(Crew!$C$6:$C$105,MATCH(K98,Crew!$A$6:$A$105,0)),""))</x:f>
      </x:c>
      <x:c r="M98" s="90" t="str">
        <x:f>IF(B98="","",62)</x:f>
      </x:c>
      <x:c r="N98" s="107" t="str">
        <x:f>IF(B98="","",SUMIFS(Collections!$G$6:$G$505,Collections!$D$6:$D$505,A98))</x:f>
      </x:c>
      <x:c r="O98" s="98" t="str">
        <x:f>IF(B98="","",SUMIFS(Collections!$J$6:$J$505,Collections!$D$6:$D$505,A98))</x:f>
      </x:c>
      <x:c r="P98" s="98" t="str">
        <x:f>IF(B98="","",SUMIFS(Collections!$K$6:$K$505,Collections!$D$6:$D$505,A98))</x:f>
      </x:c>
      <x:c r="Q98" s="98" t="str">
        <x:f>IF(B98="","",SUMIFS(Collections!$L$6:$L$505,Collections!$D$6:$D$505,A98))</x:f>
      </x:c>
      <x:c r="R98" s="98" t="str">
        <x:f>IF(B98="","",SUMIFS(Collections!$M$6:$M$505,Collections!$D$6:$D$505,A98))</x:f>
      </x:c>
      <x:c r="S98" s="98" t="str">
        <x:f>IF(B98="","",SUMIFS(Collections!$N$6:$N$505,Collections!$D$6:$D$505,A98))</x:f>
      </x:c>
      <x:c r="T98" s="110" t="str">
        <x:f>IF(A98="","",IF(M98&gt;0,N98/M98,""))</x:f>
      </x:c>
    </x:row>
    <x:row r="99" ht="28" customHeight="1">
      <x:c r="A99" s="97" t="str">
        <x:f>IF(B99="","",MAX(Settings!$B$17-1,$A$6:A98)+1)</x:f>
      </x:c>
      <x:c r="B99" s="105"/>
      <x:c r="C99" s="106"/>
      <x:c r="D99" s="90" t="str">
        <x:f>IF(B99="","",IF(COUNTIFS('Route List'!$A$6:$A$305,B99)=1,IF(E99="Return",INDEX('Route List'!$C$6:$C$305,MATCH(B99,'Route List'!$A$6:$A$305,0)),INDEX('Route List'!$B$6:$B$305,MATCH(B99,'Route List'!$A$6:$A$305,0))),""))</x:f>
      </x:c>
      <x:c r="E99" s="107"/>
      <x:c r="F99" s="108"/>
      <x:c r="G99" s="109" t="str">
        <x:f>IF(F99="","",IF(COUNTIFS(Buses!$A$6:$A$105,F99)=1,INDEX(Buses!$B$6:$B$105,MATCH(F99,Buses!$A$6:$A$105,0)),""))</x:f>
      </x:c>
      <x:c r="H99" s="109" t="str">
        <x:f>IF(G99="","",IF(COUNTIFS(Crew!$A$6:$A$105,G99)&gt;0,INDEX(Crew!$C$6:$C$105,MATCH(G99,Crew!$A$6:$A$105,0)),""))</x:f>
      </x:c>
      <x:c r="I99" s="108"/>
      <x:c r="J99" s="109" t="str">
        <x:f>IF(I99="","",IF(COUNTIFS(Crew!$A$6:$A$105,I99)&gt;0,INDEX(Crew!$C$6:$C$105,MATCH(I99,Crew!$A$6:$A$105,0)),""))</x:f>
      </x:c>
      <x:c r="K99" s="108"/>
      <x:c r="L99" s="109" t="str">
        <x:f>IF(K99="","",IF(COUNTIFS(Crew!$A$6:$A$105,K99)&gt;0,INDEX(Crew!$C$6:$C$105,MATCH(K99,Crew!$A$6:$A$105,0)),""))</x:f>
      </x:c>
      <x:c r="M99" s="90" t="str">
        <x:f>IF(B99="","",62)</x:f>
      </x:c>
      <x:c r="N99" s="107" t="str">
        <x:f>IF(B99="","",SUMIFS(Collections!$G$6:$G$505,Collections!$D$6:$D$505,A99))</x:f>
      </x:c>
      <x:c r="O99" s="98" t="str">
        <x:f>IF(B99="","",SUMIFS(Collections!$J$6:$J$505,Collections!$D$6:$D$505,A99))</x:f>
      </x:c>
      <x:c r="P99" s="98" t="str">
        <x:f>IF(B99="","",SUMIFS(Collections!$K$6:$K$505,Collections!$D$6:$D$505,A99))</x:f>
      </x:c>
      <x:c r="Q99" s="98" t="str">
        <x:f>IF(B99="","",SUMIFS(Collections!$L$6:$L$505,Collections!$D$6:$D$505,A99))</x:f>
      </x:c>
      <x:c r="R99" s="98" t="str">
        <x:f>IF(B99="","",SUMIFS(Collections!$M$6:$M$505,Collections!$D$6:$D$505,A99))</x:f>
      </x:c>
      <x:c r="S99" s="98" t="str">
        <x:f>IF(B99="","",SUMIFS(Collections!$N$6:$N$505,Collections!$D$6:$D$505,A99))</x:f>
      </x:c>
      <x:c r="T99" s="110" t="str">
        <x:f>IF(A99="","",IF(M99&gt;0,N99/M99,""))</x:f>
      </x:c>
    </x:row>
    <x:row r="100" ht="28" customHeight="1">
      <x:c r="A100" s="97" t="str">
        <x:f>IF(B100="","",MAX(Settings!$B$17-1,$A$6:A99)+1)</x:f>
      </x:c>
      <x:c r="B100" s="105"/>
      <x:c r="C100" s="106"/>
      <x:c r="D100" s="90" t="str">
        <x:f>IF(B100="","",IF(COUNTIFS('Route List'!$A$6:$A$305,B100)=1,IF(E100="Return",INDEX('Route List'!$C$6:$C$305,MATCH(B100,'Route List'!$A$6:$A$305,0)),INDEX('Route List'!$B$6:$B$305,MATCH(B100,'Route List'!$A$6:$A$305,0))),""))</x:f>
      </x:c>
      <x:c r="E100" s="107"/>
      <x:c r="F100" s="108"/>
      <x:c r="G100" s="109" t="str">
        <x:f>IF(F100="","",IF(COUNTIFS(Buses!$A$6:$A$105,F100)=1,INDEX(Buses!$B$6:$B$105,MATCH(F100,Buses!$A$6:$A$105,0)),""))</x:f>
      </x:c>
      <x:c r="H100" s="109" t="str">
        <x:f>IF(G100="","",IF(COUNTIFS(Crew!$A$6:$A$105,G100)&gt;0,INDEX(Crew!$C$6:$C$105,MATCH(G100,Crew!$A$6:$A$105,0)),""))</x:f>
      </x:c>
      <x:c r="I100" s="108"/>
      <x:c r="J100" s="109" t="str">
        <x:f>IF(I100="","",IF(COUNTIFS(Crew!$A$6:$A$105,I100)&gt;0,INDEX(Crew!$C$6:$C$105,MATCH(I100,Crew!$A$6:$A$105,0)),""))</x:f>
      </x:c>
      <x:c r="K100" s="108"/>
      <x:c r="L100" s="109" t="str">
        <x:f>IF(K100="","",IF(COUNTIFS(Crew!$A$6:$A$105,K100)&gt;0,INDEX(Crew!$C$6:$C$105,MATCH(K100,Crew!$A$6:$A$105,0)),""))</x:f>
      </x:c>
      <x:c r="M100" s="90" t="str">
        <x:f>IF(B100="","",62)</x:f>
      </x:c>
      <x:c r="N100" s="107" t="str">
        <x:f>IF(B100="","",SUMIFS(Collections!$G$6:$G$505,Collections!$D$6:$D$505,A100))</x:f>
      </x:c>
      <x:c r="O100" s="98" t="str">
        <x:f>IF(B100="","",SUMIFS(Collections!$J$6:$J$505,Collections!$D$6:$D$505,A100))</x:f>
      </x:c>
      <x:c r="P100" s="98" t="str">
        <x:f>IF(B100="","",SUMIFS(Collections!$K$6:$K$505,Collections!$D$6:$D$505,A100))</x:f>
      </x:c>
      <x:c r="Q100" s="98" t="str">
        <x:f>IF(B100="","",SUMIFS(Collections!$L$6:$L$505,Collections!$D$6:$D$505,A100))</x:f>
      </x:c>
      <x:c r="R100" s="98" t="str">
        <x:f>IF(B100="","",SUMIFS(Collections!$M$6:$M$505,Collections!$D$6:$D$505,A100))</x:f>
      </x:c>
      <x:c r="S100" s="98" t="str">
        <x:f>IF(B100="","",SUMIFS(Collections!$N$6:$N$505,Collections!$D$6:$D$505,A100))</x:f>
      </x:c>
      <x:c r="T100" s="110" t="str">
        <x:f>IF(A100="","",IF(M100&gt;0,N100/M100,""))</x:f>
      </x:c>
    </x:row>
    <x:row r="101" ht="28" customHeight="1">
      <x:c r="A101" s="97" t="str">
        <x:f>IF(B101="","",MAX(Settings!$B$17-1,$A$6:A100)+1)</x:f>
      </x:c>
      <x:c r="B101" s="105"/>
      <x:c r="C101" s="106"/>
      <x:c r="D101" s="90" t="str">
        <x:f>IF(B101="","",IF(COUNTIFS('Route List'!$A$6:$A$305,B101)=1,IF(E101="Return",INDEX('Route List'!$C$6:$C$305,MATCH(B101,'Route List'!$A$6:$A$305,0)),INDEX('Route List'!$B$6:$B$305,MATCH(B101,'Route List'!$A$6:$A$305,0))),""))</x:f>
      </x:c>
      <x:c r="E101" s="107"/>
      <x:c r="F101" s="108"/>
      <x:c r="G101" s="109" t="str">
        <x:f>IF(F101="","",IF(COUNTIFS(Buses!$A$6:$A$105,F101)=1,INDEX(Buses!$B$6:$B$105,MATCH(F101,Buses!$A$6:$A$105,0)),""))</x:f>
      </x:c>
      <x:c r="H101" s="109" t="str">
        <x:f>IF(G101="","",IF(COUNTIFS(Crew!$A$6:$A$105,G101)&gt;0,INDEX(Crew!$C$6:$C$105,MATCH(G101,Crew!$A$6:$A$105,0)),""))</x:f>
      </x:c>
      <x:c r="I101" s="108"/>
      <x:c r="J101" s="109" t="str">
        <x:f>IF(I101="","",IF(COUNTIFS(Crew!$A$6:$A$105,I101)&gt;0,INDEX(Crew!$C$6:$C$105,MATCH(I101,Crew!$A$6:$A$105,0)),""))</x:f>
      </x:c>
      <x:c r="K101" s="108"/>
      <x:c r="L101" s="109" t="str">
        <x:f>IF(K101="","",IF(COUNTIFS(Crew!$A$6:$A$105,K101)&gt;0,INDEX(Crew!$C$6:$C$105,MATCH(K101,Crew!$A$6:$A$105,0)),""))</x:f>
      </x:c>
      <x:c r="M101" s="90" t="str">
        <x:f>IF(B101="","",62)</x:f>
      </x:c>
      <x:c r="N101" s="107" t="str">
        <x:f>IF(B101="","",SUMIFS(Collections!$G$6:$G$505,Collections!$D$6:$D$505,A101))</x:f>
      </x:c>
      <x:c r="O101" s="98" t="str">
        <x:f>IF(B101="","",SUMIFS(Collections!$J$6:$J$505,Collections!$D$6:$D$505,A101))</x:f>
      </x:c>
      <x:c r="P101" s="98" t="str">
        <x:f>IF(B101="","",SUMIFS(Collections!$K$6:$K$505,Collections!$D$6:$D$505,A101))</x:f>
      </x:c>
      <x:c r="Q101" s="98" t="str">
        <x:f>IF(B101="","",SUMIFS(Collections!$L$6:$L$505,Collections!$D$6:$D$505,A101))</x:f>
      </x:c>
      <x:c r="R101" s="98" t="str">
        <x:f>IF(B101="","",SUMIFS(Collections!$M$6:$M$505,Collections!$D$6:$D$505,A101))</x:f>
      </x:c>
      <x:c r="S101" s="98" t="str">
        <x:f>IF(B101="","",SUMIFS(Collections!$N$6:$N$505,Collections!$D$6:$D$505,A101))</x:f>
      </x:c>
      <x:c r="T101" s="110" t="str">
        <x:f>IF(A101="","",IF(M101&gt;0,N101/M101,""))</x:f>
      </x:c>
    </x:row>
    <x:row r="102" ht="28" customHeight="1">
      <x:c r="A102" s="97" t="str">
        <x:f>IF(B102="","",MAX(Settings!$B$17-1,$A$6:A101)+1)</x:f>
      </x:c>
      <x:c r="B102" s="105"/>
      <x:c r="C102" s="106"/>
      <x:c r="D102" s="90" t="str">
        <x:f>IF(B102="","",IF(COUNTIFS('Route List'!$A$6:$A$305,B102)=1,IF(E102="Return",INDEX('Route List'!$C$6:$C$305,MATCH(B102,'Route List'!$A$6:$A$305,0)),INDEX('Route List'!$B$6:$B$305,MATCH(B102,'Route List'!$A$6:$A$305,0))),""))</x:f>
      </x:c>
      <x:c r="E102" s="107"/>
      <x:c r="F102" s="108"/>
      <x:c r="G102" s="109" t="str">
        <x:f>IF(F102="","",IF(COUNTIFS(Buses!$A$6:$A$105,F102)=1,INDEX(Buses!$B$6:$B$105,MATCH(F102,Buses!$A$6:$A$105,0)),""))</x:f>
      </x:c>
      <x:c r="H102" s="109" t="str">
        <x:f>IF(G102="","",IF(COUNTIFS(Crew!$A$6:$A$105,G102)&gt;0,INDEX(Crew!$C$6:$C$105,MATCH(G102,Crew!$A$6:$A$105,0)),""))</x:f>
      </x:c>
      <x:c r="I102" s="108"/>
      <x:c r="J102" s="109" t="str">
        <x:f>IF(I102="","",IF(COUNTIFS(Crew!$A$6:$A$105,I102)&gt;0,INDEX(Crew!$C$6:$C$105,MATCH(I102,Crew!$A$6:$A$105,0)),""))</x:f>
      </x:c>
      <x:c r="K102" s="108"/>
      <x:c r="L102" s="109" t="str">
        <x:f>IF(K102="","",IF(COUNTIFS(Crew!$A$6:$A$105,K102)&gt;0,INDEX(Crew!$C$6:$C$105,MATCH(K102,Crew!$A$6:$A$105,0)),""))</x:f>
      </x:c>
      <x:c r="M102" s="90" t="str">
        <x:f>IF(B102="","",62)</x:f>
      </x:c>
      <x:c r="N102" s="107" t="str">
        <x:f>IF(B102="","",SUMIFS(Collections!$G$6:$G$505,Collections!$D$6:$D$505,A102))</x:f>
      </x:c>
      <x:c r="O102" s="98" t="str">
        <x:f>IF(B102="","",SUMIFS(Collections!$J$6:$J$505,Collections!$D$6:$D$505,A102))</x:f>
      </x:c>
      <x:c r="P102" s="98" t="str">
        <x:f>IF(B102="","",SUMIFS(Collections!$K$6:$K$505,Collections!$D$6:$D$505,A102))</x:f>
      </x:c>
      <x:c r="Q102" s="98" t="str">
        <x:f>IF(B102="","",SUMIFS(Collections!$L$6:$L$505,Collections!$D$6:$D$505,A102))</x:f>
      </x:c>
      <x:c r="R102" s="98" t="str">
        <x:f>IF(B102="","",SUMIFS(Collections!$M$6:$M$505,Collections!$D$6:$D$505,A102))</x:f>
      </x:c>
      <x:c r="S102" s="98" t="str">
        <x:f>IF(B102="","",SUMIFS(Collections!$N$6:$N$505,Collections!$D$6:$D$505,A102))</x:f>
      </x:c>
      <x:c r="T102" s="110" t="str">
        <x:f>IF(A102="","",IF(M102&gt;0,N102/M102,""))</x:f>
      </x:c>
    </x:row>
    <x:row r="103" ht="28" customHeight="1">
      <x:c r="A103" s="97" t="str">
        <x:f>IF(B103="","",MAX(Settings!$B$17-1,$A$6:A102)+1)</x:f>
      </x:c>
      <x:c r="B103" s="105"/>
      <x:c r="C103" s="106"/>
      <x:c r="D103" s="90" t="str">
        <x:f>IF(B103="","",IF(COUNTIFS('Route List'!$A$6:$A$305,B103)=1,IF(E103="Return",INDEX('Route List'!$C$6:$C$305,MATCH(B103,'Route List'!$A$6:$A$305,0)),INDEX('Route List'!$B$6:$B$305,MATCH(B103,'Route List'!$A$6:$A$305,0))),""))</x:f>
      </x:c>
      <x:c r="E103" s="107"/>
      <x:c r="F103" s="108"/>
      <x:c r="G103" s="109" t="str">
        <x:f>IF(F103="","",IF(COUNTIFS(Buses!$A$6:$A$105,F103)=1,INDEX(Buses!$B$6:$B$105,MATCH(F103,Buses!$A$6:$A$105,0)),""))</x:f>
      </x:c>
      <x:c r="H103" s="109" t="str">
        <x:f>IF(G103="","",IF(COUNTIFS(Crew!$A$6:$A$105,G103)&gt;0,INDEX(Crew!$C$6:$C$105,MATCH(G103,Crew!$A$6:$A$105,0)),""))</x:f>
      </x:c>
      <x:c r="I103" s="108"/>
      <x:c r="J103" s="109" t="str">
        <x:f>IF(I103="","",IF(COUNTIFS(Crew!$A$6:$A$105,I103)&gt;0,INDEX(Crew!$C$6:$C$105,MATCH(I103,Crew!$A$6:$A$105,0)),""))</x:f>
      </x:c>
      <x:c r="K103" s="108"/>
      <x:c r="L103" s="109" t="str">
        <x:f>IF(K103="","",IF(COUNTIFS(Crew!$A$6:$A$105,K103)&gt;0,INDEX(Crew!$C$6:$C$105,MATCH(K103,Crew!$A$6:$A$105,0)),""))</x:f>
      </x:c>
      <x:c r="M103" s="90" t="str">
        <x:f>IF(B103="","",62)</x:f>
      </x:c>
      <x:c r="N103" s="107" t="str">
        <x:f>IF(B103="","",SUMIFS(Collections!$G$6:$G$505,Collections!$D$6:$D$505,A103))</x:f>
      </x:c>
      <x:c r="O103" s="98" t="str">
        <x:f>IF(B103="","",SUMIFS(Collections!$J$6:$J$505,Collections!$D$6:$D$505,A103))</x:f>
      </x:c>
      <x:c r="P103" s="98" t="str">
        <x:f>IF(B103="","",SUMIFS(Collections!$K$6:$K$505,Collections!$D$6:$D$505,A103))</x:f>
      </x:c>
      <x:c r="Q103" s="98" t="str">
        <x:f>IF(B103="","",SUMIFS(Collections!$L$6:$L$505,Collections!$D$6:$D$505,A103))</x:f>
      </x:c>
      <x:c r="R103" s="98" t="str">
        <x:f>IF(B103="","",SUMIFS(Collections!$M$6:$M$505,Collections!$D$6:$D$505,A103))</x:f>
      </x:c>
      <x:c r="S103" s="98" t="str">
        <x:f>IF(B103="","",SUMIFS(Collections!$N$6:$N$505,Collections!$D$6:$D$505,A103))</x:f>
      </x:c>
      <x:c r="T103" s="110" t="str">
        <x:f>IF(A103="","",IF(M103&gt;0,N103/M103,""))</x:f>
      </x:c>
    </x:row>
    <x:row r="104" ht="28" customHeight="1">
      <x:c r="A104" s="97" t="str">
        <x:f>IF(B104="","",MAX(Settings!$B$17-1,$A$6:A103)+1)</x:f>
      </x:c>
      <x:c r="B104" s="105"/>
      <x:c r="C104" s="106"/>
      <x:c r="D104" s="90" t="str">
        <x:f>IF(B104="","",IF(COUNTIFS('Route List'!$A$6:$A$305,B104)=1,IF(E104="Return",INDEX('Route List'!$C$6:$C$305,MATCH(B104,'Route List'!$A$6:$A$305,0)),INDEX('Route List'!$B$6:$B$305,MATCH(B104,'Route List'!$A$6:$A$305,0))),""))</x:f>
      </x:c>
      <x:c r="E104" s="107"/>
      <x:c r="F104" s="108"/>
      <x:c r="G104" s="109" t="str">
        <x:f>IF(F104="","",IF(COUNTIFS(Buses!$A$6:$A$105,F104)=1,INDEX(Buses!$B$6:$B$105,MATCH(F104,Buses!$A$6:$A$105,0)),""))</x:f>
      </x:c>
      <x:c r="H104" s="109" t="str">
        <x:f>IF(G104="","",IF(COUNTIFS(Crew!$A$6:$A$105,G104)&gt;0,INDEX(Crew!$C$6:$C$105,MATCH(G104,Crew!$A$6:$A$105,0)),""))</x:f>
      </x:c>
      <x:c r="I104" s="108"/>
      <x:c r="J104" s="109" t="str">
        <x:f>IF(I104="","",IF(COUNTIFS(Crew!$A$6:$A$105,I104)&gt;0,INDEX(Crew!$C$6:$C$105,MATCH(I104,Crew!$A$6:$A$105,0)),""))</x:f>
      </x:c>
      <x:c r="K104" s="108"/>
      <x:c r="L104" s="109" t="str">
        <x:f>IF(K104="","",IF(COUNTIFS(Crew!$A$6:$A$105,K104)&gt;0,INDEX(Crew!$C$6:$C$105,MATCH(K104,Crew!$A$6:$A$105,0)),""))</x:f>
      </x:c>
      <x:c r="M104" s="90" t="str">
        <x:f>IF(B104="","",62)</x:f>
      </x:c>
      <x:c r="N104" s="107" t="str">
        <x:f>IF(B104="","",SUMIFS(Collections!$G$6:$G$505,Collections!$D$6:$D$505,A104))</x:f>
      </x:c>
      <x:c r="O104" s="98" t="str">
        <x:f>IF(B104="","",SUMIFS(Collections!$J$6:$J$505,Collections!$D$6:$D$505,A104))</x:f>
      </x:c>
      <x:c r="P104" s="98" t="str">
        <x:f>IF(B104="","",SUMIFS(Collections!$K$6:$K$505,Collections!$D$6:$D$505,A104))</x:f>
      </x:c>
      <x:c r="Q104" s="98" t="str">
        <x:f>IF(B104="","",SUMIFS(Collections!$L$6:$L$505,Collections!$D$6:$D$505,A104))</x:f>
      </x:c>
      <x:c r="R104" s="98" t="str">
        <x:f>IF(B104="","",SUMIFS(Collections!$M$6:$M$505,Collections!$D$6:$D$505,A104))</x:f>
      </x:c>
      <x:c r="S104" s="98" t="str">
        <x:f>IF(B104="","",SUMIFS(Collections!$N$6:$N$505,Collections!$D$6:$D$505,A104))</x:f>
      </x:c>
      <x:c r="T104" s="110" t="str">
        <x:f>IF(A104="","",IF(M104&gt;0,N104/M104,""))</x:f>
      </x:c>
    </x:row>
    <x:row r="105" ht="28" customHeight="1">
      <x:c r="A105" s="97" t="str">
        <x:f>IF(B105="","",MAX(Settings!$B$17-1,$A$6:A104)+1)</x:f>
      </x:c>
      <x:c r="B105" s="105"/>
      <x:c r="C105" s="106"/>
      <x:c r="D105" s="90" t="str">
        <x:f>IF(B105="","",IF(COUNTIFS('Route List'!$A$6:$A$305,B105)=1,IF(E105="Return",INDEX('Route List'!$C$6:$C$305,MATCH(B105,'Route List'!$A$6:$A$305,0)),INDEX('Route List'!$B$6:$B$305,MATCH(B105,'Route List'!$A$6:$A$305,0))),""))</x:f>
      </x:c>
      <x:c r="E105" s="107"/>
      <x:c r="F105" s="108"/>
      <x:c r="G105" s="109" t="str">
        <x:f>IF(F105="","",IF(COUNTIFS(Buses!$A$6:$A$105,F105)=1,INDEX(Buses!$B$6:$B$105,MATCH(F105,Buses!$A$6:$A$105,0)),""))</x:f>
      </x:c>
      <x:c r="H105" s="109" t="str">
        <x:f>IF(G105="","",IF(COUNTIFS(Crew!$A$6:$A$105,G105)&gt;0,INDEX(Crew!$C$6:$C$105,MATCH(G105,Crew!$A$6:$A$105,0)),""))</x:f>
      </x:c>
      <x:c r="I105" s="108"/>
      <x:c r="J105" s="109" t="str">
        <x:f>IF(I105="","",IF(COUNTIFS(Crew!$A$6:$A$105,I105)&gt;0,INDEX(Crew!$C$6:$C$105,MATCH(I105,Crew!$A$6:$A$105,0)),""))</x:f>
      </x:c>
      <x:c r="K105" s="108"/>
      <x:c r="L105" s="109" t="str">
        <x:f>IF(K105="","",IF(COUNTIFS(Crew!$A$6:$A$105,K105)&gt;0,INDEX(Crew!$C$6:$C$105,MATCH(K105,Crew!$A$6:$A$105,0)),""))</x:f>
      </x:c>
      <x:c r="M105" s="90" t="str">
        <x:f>IF(B105="","",62)</x:f>
      </x:c>
      <x:c r="N105" s="107" t="str">
        <x:f>IF(B105="","",SUMIFS(Collections!$G$6:$G$505,Collections!$D$6:$D$505,A105))</x:f>
      </x:c>
      <x:c r="O105" s="98" t="str">
        <x:f>IF(B105="","",SUMIFS(Collections!$J$6:$J$505,Collections!$D$6:$D$505,A105))</x:f>
      </x:c>
      <x:c r="P105" s="98" t="str">
        <x:f>IF(B105="","",SUMIFS(Collections!$K$6:$K$505,Collections!$D$6:$D$505,A105))</x:f>
      </x:c>
      <x:c r="Q105" s="98" t="str">
        <x:f>IF(B105="","",SUMIFS(Collections!$L$6:$L$505,Collections!$D$6:$D$505,A105))</x:f>
      </x:c>
      <x:c r="R105" s="98" t="str">
        <x:f>IF(B105="","",SUMIFS(Collections!$M$6:$M$505,Collections!$D$6:$D$505,A105))</x:f>
      </x:c>
      <x:c r="S105" s="98" t="str">
        <x:f>IF(B105="","",SUMIFS(Collections!$N$6:$N$505,Collections!$D$6:$D$505,A105))</x:f>
      </x:c>
      <x:c r="T105" s="110" t="str">
        <x:f>IF(A105="","",IF(M105&gt;0,N105/M105,""))</x:f>
      </x:c>
    </x:row>
    <x:row r="106">
      <x:c r="A106" s="111"/>
      <x:c r="B106" s="111"/>
      <x:c r="C106" s="111"/>
      <x:c r="D106" s="111"/>
      <x:c r="E106" s="111"/>
      <x:c r="F106" s="111"/>
      <x:c r="G106" s="111"/>
      <x:c r="H106" s="111"/>
      <x:c r="I106" s="111"/>
      <x:c r="J106" s="111"/>
      <x:c r="K106" s="111"/>
      <x:c r="L106" s="111"/>
      <x:c r="M106" s="111"/>
      <x:c r="N106" s="111"/>
      <x:c r="O106" s="111"/>
      <x:c r="P106" s="111"/>
      <x:c r="Q106" s="111"/>
      <x:c r="R106" s="111"/>
      <x:c r="S106" s="111"/>
      <x:c r="T106" s="111"/>
    </x:row>
    <x:row r="107">
      <x:c r="A107" s="111"/>
      <x:c r="B107" s="111"/>
      <x:c r="C107" s="111"/>
      <x:c r="D107" s="111"/>
      <x:c r="E107" s="111"/>
      <x:c r="F107" s="111"/>
      <x:c r="G107" s="111"/>
      <x:c r="H107" s="111"/>
      <x:c r="I107" s="111"/>
      <x:c r="J107" s="111"/>
      <x:c r="K107" s="111"/>
      <x:c r="L107" s="111"/>
      <x:c r="M107" s="111"/>
      <x:c r="N107" s="111"/>
      <x:c r="O107" s="111"/>
      <x:c r="P107" s="111"/>
      <x:c r="Q107" s="111"/>
      <x:c r="R107" s="111"/>
      <x:c r="S107" s="111"/>
      <x:c r="T107" s="111"/>
    </x:row>
    <x:row r="108">
      <x:c r="A108" s="111"/>
      <x:c r="B108" s="111"/>
      <x:c r="C108" s="111"/>
      <x:c r="D108" s="111"/>
      <x:c r="E108" s="111"/>
      <x:c r="F108" s="111"/>
      <x:c r="G108" s="111"/>
      <x:c r="H108" s="111"/>
      <x:c r="I108" s="111"/>
      <x:c r="J108" s="111"/>
      <x:c r="K108" s="111"/>
      <x:c r="L108" s="111"/>
      <x:c r="M108" s="111"/>
      <x:c r="N108" s="111"/>
      <x:c r="O108" s="111"/>
      <x:c r="P108" s="111"/>
      <x:c r="Q108" s="111"/>
      <x:c r="R108" s="111"/>
      <x:c r="S108" s="111"/>
      <x:c r="T108" s="111"/>
    </x:row>
    <x:row r="109">
      <x:c r="A109" s="111"/>
      <x:c r="B109" s="111"/>
      <x:c r="C109" s="111"/>
      <x:c r="D109" s="111"/>
      <x:c r="E109" s="111"/>
      <x:c r="F109" s="111"/>
      <x:c r="G109" s="111"/>
      <x:c r="H109" s="111"/>
      <x:c r="I109" s="111"/>
      <x:c r="J109" s="111"/>
      <x:c r="K109" s="111"/>
      <x:c r="L109" s="111"/>
      <x:c r="M109" s="111"/>
      <x:c r="N109" s="111"/>
      <x:c r="O109" s="111"/>
      <x:c r="P109" s="111"/>
      <x:c r="Q109" s="111"/>
      <x:c r="R109" s="111"/>
      <x:c r="S109" s="111"/>
      <x:c r="T109" s="111"/>
    </x:row>
    <x:row r="110">
      <x:c r="A110" s="111"/>
      <x:c r="B110" s="111"/>
      <x:c r="C110" s="111"/>
      <x:c r="D110" s="111"/>
      <x:c r="E110" s="111"/>
      <x:c r="F110" s="111"/>
      <x:c r="G110" s="111"/>
      <x:c r="H110" s="111"/>
      <x:c r="I110" s="111"/>
      <x:c r="J110" s="111"/>
      <x:c r="K110" s="111"/>
      <x:c r="L110" s="111"/>
      <x:c r="M110" s="111"/>
      <x:c r="N110" s="111"/>
      <x:c r="O110" s="111"/>
      <x:c r="P110" s="111"/>
      <x:c r="Q110" s="111"/>
      <x:c r="R110" s="111"/>
      <x:c r="S110" s="111"/>
      <x:c r="T110" s="111"/>
    </x:row>
    <x:row r="111">
      <x:c r="A111" s="111"/>
      <x:c r="B111" s="111"/>
      <x:c r="C111" s="111"/>
      <x:c r="D111" s="111"/>
      <x:c r="E111" s="111"/>
      <x:c r="F111" s="111"/>
      <x:c r="G111" s="111"/>
      <x:c r="H111" s="111"/>
      <x:c r="I111" s="111"/>
      <x:c r="J111" s="111"/>
      <x:c r="K111" s="111"/>
      <x:c r="L111" s="111"/>
      <x:c r="M111" s="111"/>
      <x:c r="N111" s="111"/>
      <x:c r="O111" s="111"/>
      <x:c r="P111" s="111"/>
      <x:c r="Q111" s="111"/>
      <x:c r="R111" s="111"/>
      <x:c r="S111" s="111"/>
      <x:c r="T111" s="111"/>
    </x:row>
    <x:row r="112">
      <x:c r="A112" s="111"/>
      <x:c r="B112" s="111"/>
      <x:c r="C112" s="111"/>
      <x:c r="D112" s="111"/>
      <x:c r="E112" s="111"/>
      <x:c r="F112" s="111"/>
      <x:c r="G112" s="111"/>
      <x:c r="H112" s="111"/>
      <x:c r="I112" s="111"/>
      <x:c r="J112" s="111"/>
      <x:c r="K112" s="111"/>
      <x:c r="L112" s="111"/>
      <x:c r="M112" s="111"/>
      <x:c r="N112" s="111"/>
      <x:c r="O112" s="111"/>
      <x:c r="P112" s="111"/>
      <x:c r="Q112" s="111"/>
      <x:c r="R112" s="111"/>
      <x:c r="S112" s="111"/>
      <x:c r="T112" s="111"/>
    </x:row>
    <x:row r="113">
      <x:c r="A113" s="111"/>
      <x:c r="B113" s="111"/>
      <x:c r="C113" s="111"/>
      <x:c r="D113" s="111"/>
      <x:c r="E113" s="111"/>
      <x:c r="F113" s="111"/>
      <x:c r="G113" s="111"/>
      <x:c r="H113" s="111"/>
      <x:c r="I113" s="111"/>
      <x:c r="J113" s="111"/>
      <x:c r="K113" s="111"/>
      <x:c r="L113" s="111"/>
      <x:c r="M113" s="111"/>
      <x:c r="N113" s="111"/>
      <x:c r="O113" s="111"/>
      <x:c r="P113" s="111"/>
      <x:c r="Q113" s="111"/>
      <x:c r="R113" s="111"/>
      <x:c r="S113" s="111"/>
      <x:c r="T113" s="111"/>
    </x:row>
    <x:row r="114">
      <x:c r="A114" s="111"/>
      <x:c r="B114" s="111"/>
      <x:c r="C114" s="111"/>
      <x:c r="D114" s="111"/>
      <x:c r="E114" s="111"/>
      <x:c r="F114" s="111"/>
      <x:c r="G114" s="111"/>
      <x:c r="H114" s="111"/>
      <x:c r="I114" s="111"/>
      <x:c r="J114" s="111"/>
      <x:c r="K114" s="111"/>
      <x:c r="L114" s="111"/>
      <x:c r="M114" s="111"/>
      <x:c r="N114" s="111"/>
      <x:c r="O114" s="111"/>
      <x:c r="P114" s="111"/>
      <x:c r="Q114" s="111"/>
      <x:c r="R114" s="111"/>
      <x:c r="S114" s="111"/>
      <x:c r="T114" s="111"/>
    </x:row>
    <x:row r="115">
      <x:c r="A115" s="111"/>
      <x:c r="B115" s="111"/>
      <x:c r="C115" s="111"/>
      <x:c r="D115" s="111"/>
      <x:c r="E115" s="111"/>
      <x:c r="F115" s="111"/>
      <x:c r="G115" s="111"/>
      <x:c r="H115" s="111"/>
      <x:c r="I115" s="111"/>
      <x:c r="J115" s="111"/>
      <x:c r="K115" s="111"/>
      <x:c r="L115" s="111"/>
      <x:c r="M115" s="111"/>
      <x:c r="N115" s="111"/>
      <x:c r="O115" s="111"/>
      <x:c r="P115" s="111"/>
      <x:c r="Q115" s="111"/>
      <x:c r="R115" s="111"/>
      <x:c r="S115" s="111"/>
      <x:c r="T115" s="111"/>
    </x:row>
    <x:row r="116">
      <x:c r="A116" s="111"/>
      <x:c r="B116" s="111"/>
      <x:c r="C116" s="111"/>
      <x:c r="D116" s="111"/>
      <x:c r="E116" s="111"/>
      <x:c r="F116" s="111"/>
      <x:c r="G116" s="111"/>
      <x:c r="H116" s="111"/>
      <x:c r="I116" s="111"/>
      <x:c r="J116" s="111"/>
      <x:c r="K116" s="111"/>
      <x:c r="L116" s="111"/>
      <x:c r="M116" s="111"/>
      <x:c r="N116" s="111"/>
      <x:c r="O116" s="111"/>
      <x:c r="P116" s="111"/>
      <x:c r="Q116" s="111"/>
      <x:c r="R116" s="111"/>
      <x:c r="S116" s="111"/>
      <x:c r="T116" s="111"/>
    </x:row>
    <x:row r="117">
      <x:c r="A117" s="111"/>
      <x:c r="B117" s="111"/>
      <x:c r="C117" s="111"/>
      <x:c r="D117" s="111"/>
      <x:c r="E117" s="111"/>
      <x:c r="F117" s="111"/>
      <x:c r="G117" s="111"/>
      <x:c r="H117" s="111"/>
      <x:c r="I117" s="111"/>
      <x:c r="J117" s="111"/>
      <x:c r="K117" s="111"/>
      <x:c r="L117" s="111"/>
      <x:c r="M117" s="111"/>
      <x:c r="N117" s="111"/>
      <x:c r="O117" s="111"/>
      <x:c r="P117" s="111"/>
      <x:c r="Q117" s="111"/>
      <x:c r="R117" s="111"/>
      <x:c r="S117" s="111"/>
      <x:c r="T117" s="111"/>
    </x:row>
    <x:row r="118">
      <x:c r="A118" s="111"/>
      <x:c r="B118" s="111"/>
      <x:c r="C118" s="111"/>
      <x:c r="D118" s="111"/>
      <x:c r="E118" s="111"/>
      <x:c r="F118" s="111"/>
      <x:c r="G118" s="111"/>
      <x:c r="H118" s="111"/>
      <x:c r="I118" s="111"/>
      <x:c r="J118" s="111"/>
      <x:c r="K118" s="111"/>
      <x:c r="L118" s="111"/>
      <x:c r="M118" s="111"/>
      <x:c r="N118" s="111"/>
      <x:c r="O118" s="111"/>
      <x:c r="P118" s="111"/>
      <x:c r="Q118" s="111"/>
      <x:c r="R118" s="111"/>
      <x:c r="S118" s="111"/>
      <x:c r="T118" s="111"/>
    </x:row>
    <x:row r="119">
      <x:c r="A119" s="111"/>
      <x:c r="B119" s="111"/>
      <x:c r="C119" s="111"/>
      <x:c r="D119" s="111"/>
      <x:c r="E119" s="111"/>
      <x:c r="F119" s="111"/>
      <x:c r="G119" s="111"/>
      <x:c r="H119" s="111"/>
      <x:c r="I119" s="111"/>
      <x:c r="J119" s="111"/>
      <x:c r="K119" s="111"/>
      <x:c r="L119" s="111"/>
      <x:c r="M119" s="111"/>
      <x:c r="N119" s="111"/>
      <x:c r="O119" s="111"/>
      <x:c r="P119" s="111"/>
      <x:c r="Q119" s="111"/>
      <x:c r="R119" s="111"/>
      <x:c r="S119" s="111"/>
      <x:c r="T119" s="111"/>
    </x:row>
    <x:row r="120">
      <x:c r="A120" s="111"/>
      <x:c r="B120" s="111"/>
      <x:c r="C120" s="111"/>
      <x:c r="D120" s="111"/>
      <x:c r="E120" s="111"/>
      <x:c r="F120" s="111"/>
      <x:c r="G120" s="111"/>
      <x:c r="H120" s="111"/>
      <x:c r="I120" s="111"/>
      <x:c r="J120" s="111"/>
      <x:c r="K120" s="111"/>
      <x:c r="L120" s="111"/>
      <x:c r="M120" s="111"/>
      <x:c r="N120" s="111"/>
      <x:c r="O120" s="111"/>
      <x:c r="P120" s="111"/>
      <x:c r="Q120" s="111"/>
      <x:c r="R120" s="111"/>
      <x:c r="S120" s="111"/>
      <x:c r="T120" s="111"/>
    </x:row>
    <x:row r="121">
      <x:c r="A121" s="111"/>
      <x:c r="B121" s="111"/>
      <x:c r="C121" s="111"/>
      <x:c r="D121" s="111"/>
      <x:c r="E121" s="111"/>
      <x:c r="F121" s="111"/>
      <x:c r="G121" s="111"/>
      <x:c r="H121" s="111"/>
      <x:c r="I121" s="111"/>
      <x:c r="J121" s="111"/>
      <x:c r="K121" s="111"/>
      <x:c r="L121" s="111"/>
      <x:c r="M121" s="111"/>
      <x:c r="N121" s="111"/>
      <x:c r="O121" s="111"/>
      <x:c r="P121" s="111"/>
      <x:c r="Q121" s="111"/>
      <x:c r="R121" s="111"/>
      <x:c r="S121" s="111"/>
      <x:c r="T121" s="111"/>
    </x:row>
    <x:row r="122">
      <x:c r="A122" s="111"/>
      <x:c r="B122" s="111"/>
      <x:c r="C122" s="111"/>
      <x:c r="D122" s="111"/>
      <x:c r="E122" s="111"/>
      <x:c r="F122" s="111"/>
      <x:c r="G122" s="111"/>
      <x:c r="H122" s="111"/>
      <x:c r="I122" s="111"/>
      <x:c r="J122" s="111"/>
      <x:c r="K122" s="111"/>
      <x:c r="L122" s="111"/>
      <x:c r="M122" s="111"/>
      <x:c r="N122" s="111"/>
      <x:c r="O122" s="111"/>
      <x:c r="P122" s="111"/>
      <x:c r="Q122" s="111"/>
      <x:c r="R122" s="111"/>
      <x:c r="S122" s="111"/>
      <x:c r="T122" s="111"/>
    </x:row>
    <x:row r="123">
      <x:c r="A123" s="111"/>
      <x:c r="B123" s="111"/>
      <x:c r="C123" s="111"/>
      <x:c r="D123" s="111"/>
      <x:c r="E123" s="111"/>
      <x:c r="F123" s="111"/>
      <x:c r="G123" s="111"/>
      <x:c r="H123" s="111"/>
      <x:c r="I123" s="111"/>
      <x:c r="J123" s="111"/>
      <x:c r="K123" s="111"/>
      <x:c r="L123" s="111"/>
      <x:c r="M123" s="111"/>
      <x:c r="N123" s="111"/>
      <x:c r="O123" s="111"/>
      <x:c r="P123" s="111"/>
      <x:c r="Q123" s="111"/>
      <x:c r="R123" s="111"/>
      <x:c r="S123" s="111"/>
      <x:c r="T123" s="111"/>
    </x:row>
    <x:row r="124">
      <x:c r="A124" s="111"/>
      <x:c r="B124" s="111"/>
      <x:c r="C124" s="111"/>
      <x:c r="D124" s="111"/>
      <x:c r="E124" s="111"/>
      <x:c r="F124" s="111"/>
      <x:c r="G124" s="111"/>
      <x:c r="H124" s="111"/>
      <x:c r="I124" s="111"/>
      <x:c r="J124" s="111"/>
      <x:c r="K124" s="111"/>
      <x:c r="L124" s="111"/>
      <x:c r="M124" s="111"/>
      <x:c r="N124" s="111"/>
      <x:c r="O124" s="111"/>
      <x:c r="P124" s="111"/>
      <x:c r="Q124" s="111"/>
      <x:c r="R124" s="111"/>
      <x:c r="S124" s="111"/>
      <x:c r="T124" s="111"/>
    </x:row>
    <x:row r="125">
      <x:c r="A125" s="111"/>
      <x:c r="B125" s="111"/>
      <x:c r="C125" s="111"/>
      <x:c r="D125" s="111"/>
      <x:c r="E125" s="111"/>
      <x:c r="F125" s="111"/>
      <x:c r="G125" s="111"/>
      <x:c r="H125" s="111"/>
      <x:c r="I125" s="111"/>
      <x:c r="J125" s="111"/>
      <x:c r="K125" s="111"/>
      <x:c r="L125" s="111"/>
      <x:c r="M125" s="111"/>
      <x:c r="N125" s="111"/>
      <x:c r="O125" s="111"/>
      <x:c r="P125" s="111"/>
      <x:c r="Q125" s="111"/>
      <x:c r="R125" s="111"/>
      <x:c r="S125" s="111"/>
      <x:c r="T125" s="111"/>
    </x:row>
    <x:row r="126">
      <x:c r="A126" s="111"/>
      <x:c r="B126" s="111"/>
      <x:c r="C126" s="111"/>
      <x:c r="D126" s="111"/>
      <x:c r="E126" s="111"/>
      <x:c r="F126" s="111"/>
      <x:c r="G126" s="111"/>
      <x:c r="H126" s="111"/>
      <x:c r="I126" s="111"/>
      <x:c r="J126" s="111"/>
      <x:c r="K126" s="111"/>
      <x:c r="L126" s="111"/>
      <x:c r="M126" s="111"/>
      <x:c r="N126" s="111"/>
      <x:c r="O126" s="111"/>
      <x:c r="P126" s="111"/>
      <x:c r="Q126" s="111"/>
      <x:c r="R126" s="111"/>
      <x:c r="S126" s="111"/>
      <x:c r="T126" s="111"/>
    </x:row>
    <x:row r="127">
      <x:c r="A127" s="111"/>
      <x:c r="B127" s="111"/>
      <x:c r="C127" s="111"/>
      <x:c r="D127" s="111"/>
      <x:c r="E127" s="111"/>
      <x:c r="F127" s="111"/>
      <x:c r="G127" s="111"/>
      <x:c r="H127" s="111"/>
      <x:c r="I127" s="111"/>
      <x:c r="J127" s="111"/>
      <x:c r="K127" s="111"/>
      <x:c r="L127" s="111"/>
      <x:c r="M127" s="111"/>
      <x:c r="N127" s="111"/>
      <x:c r="O127" s="111"/>
      <x:c r="P127" s="111"/>
      <x:c r="Q127" s="111"/>
      <x:c r="R127" s="111"/>
      <x:c r="S127" s="111"/>
      <x:c r="T127" s="111"/>
    </x:row>
    <x:row r="128">
      <x:c r="A128" s="111"/>
      <x:c r="B128" s="111"/>
      <x:c r="C128" s="111"/>
      <x:c r="D128" s="111"/>
      <x:c r="E128" s="111"/>
      <x:c r="F128" s="111"/>
      <x:c r="G128" s="111"/>
      <x:c r="H128" s="111"/>
      <x:c r="I128" s="111"/>
      <x:c r="J128" s="111"/>
      <x:c r="K128" s="111"/>
      <x:c r="L128" s="111"/>
      <x:c r="M128" s="111"/>
      <x:c r="N128" s="111"/>
      <x:c r="O128" s="111"/>
      <x:c r="P128" s="111"/>
      <x:c r="Q128" s="111"/>
      <x:c r="R128" s="111"/>
      <x:c r="S128" s="111"/>
      <x:c r="T128" s="111"/>
    </x:row>
    <x:row r="129">
      <x:c r="A129" s="111"/>
      <x:c r="B129" s="111"/>
      <x:c r="C129" s="111"/>
      <x:c r="D129" s="111"/>
      <x:c r="E129" s="111"/>
      <x:c r="F129" s="111"/>
      <x:c r="G129" s="111"/>
      <x:c r="H129" s="111"/>
      <x:c r="I129" s="111"/>
      <x:c r="J129" s="111"/>
      <x:c r="K129" s="111"/>
      <x:c r="L129" s="111"/>
      <x:c r="M129" s="111"/>
      <x:c r="N129" s="111"/>
      <x:c r="O129" s="111"/>
      <x:c r="P129" s="111"/>
      <x:c r="Q129" s="111"/>
      <x:c r="R129" s="111"/>
      <x:c r="S129" s="111"/>
      <x:c r="T129" s="111"/>
    </x:row>
    <x:row r="130">
      <x:c r="A130" s="111"/>
      <x:c r="B130" s="111"/>
      <x:c r="C130" s="111"/>
      <x:c r="D130" s="111"/>
      <x:c r="E130" s="111"/>
      <x:c r="F130" s="111"/>
      <x:c r="G130" s="111"/>
      <x:c r="H130" s="111"/>
      <x:c r="I130" s="111"/>
      <x:c r="J130" s="111"/>
      <x:c r="K130" s="111"/>
      <x:c r="L130" s="111"/>
      <x:c r="M130" s="111"/>
      <x:c r="N130" s="111"/>
      <x:c r="O130" s="111"/>
      <x:c r="P130" s="111"/>
      <x:c r="Q130" s="111"/>
      <x:c r="R130" s="111"/>
      <x:c r="S130" s="111"/>
      <x:c r="T130" s="111"/>
    </x:row>
    <x:row r="131">
      <x:c r="A131" s="111"/>
      <x:c r="B131" s="111"/>
      <x:c r="C131" s="111"/>
      <x:c r="D131" s="111"/>
      <x:c r="E131" s="111"/>
      <x:c r="F131" s="111"/>
      <x:c r="G131" s="111"/>
      <x:c r="H131" s="111"/>
      <x:c r="I131" s="111"/>
      <x:c r="J131" s="111"/>
      <x:c r="K131" s="111"/>
      <x:c r="L131" s="111"/>
      <x:c r="M131" s="111"/>
      <x:c r="N131" s="111"/>
      <x:c r="O131" s="111"/>
      <x:c r="P131" s="111"/>
      <x:c r="Q131" s="111"/>
      <x:c r="R131" s="111"/>
      <x:c r="S131" s="111"/>
      <x:c r="T131" s="111"/>
    </x:row>
    <x:row r="132">
      <x:c r="A132" s="111"/>
      <x:c r="B132" s="111"/>
      <x:c r="C132" s="111"/>
      <x:c r="D132" s="111"/>
      <x:c r="E132" s="111"/>
      <x:c r="F132" s="111"/>
      <x:c r="G132" s="111"/>
      <x:c r="H132" s="111"/>
      <x:c r="I132" s="111"/>
      <x:c r="J132" s="111"/>
      <x:c r="K132" s="111"/>
      <x:c r="L132" s="111"/>
      <x:c r="M132" s="111"/>
      <x:c r="N132" s="111"/>
      <x:c r="O132" s="111"/>
      <x:c r="P132" s="111"/>
      <x:c r="Q132" s="111"/>
      <x:c r="R132" s="111"/>
      <x:c r="S132" s="111"/>
      <x:c r="T132" s="111"/>
    </x:row>
    <x:row r="133">
      <x:c r="A133" s="111"/>
      <x:c r="B133" s="111"/>
      <x:c r="C133" s="111"/>
      <x:c r="D133" s="111"/>
      <x:c r="E133" s="111"/>
      <x:c r="F133" s="111"/>
      <x:c r="G133" s="111"/>
      <x:c r="H133" s="111"/>
      <x:c r="I133" s="111"/>
      <x:c r="J133" s="111"/>
      <x:c r="K133" s="111"/>
      <x:c r="L133" s="111"/>
      <x:c r="M133" s="111"/>
      <x:c r="N133" s="111"/>
      <x:c r="O133" s="111"/>
      <x:c r="P133" s="111"/>
      <x:c r="Q133" s="111"/>
      <x:c r="R133" s="111"/>
      <x:c r="S133" s="111"/>
      <x:c r="T133" s="111"/>
    </x:row>
    <x:row r="134">
      <x:c r="A134" s="111"/>
      <x:c r="B134" s="111"/>
      <x:c r="C134" s="111"/>
      <x:c r="D134" s="111"/>
      <x:c r="E134" s="111"/>
      <x:c r="F134" s="111"/>
      <x:c r="G134" s="111"/>
      <x:c r="H134" s="111"/>
      <x:c r="I134" s="111"/>
      <x:c r="J134" s="111"/>
      <x:c r="K134" s="111"/>
      <x:c r="L134" s="111"/>
      <x:c r="M134" s="111"/>
      <x:c r="N134" s="111"/>
      <x:c r="O134" s="111"/>
      <x:c r="P134" s="111"/>
      <x:c r="Q134" s="111"/>
      <x:c r="R134" s="111"/>
      <x:c r="S134" s="111"/>
      <x:c r="T134" s="111"/>
    </x:row>
    <x:row r="135">
      <x:c r="A135" s="111"/>
      <x:c r="B135" s="111"/>
      <x:c r="C135" s="111"/>
      <x:c r="D135" s="111"/>
      <x:c r="E135" s="111"/>
      <x:c r="F135" s="111"/>
      <x:c r="G135" s="111"/>
      <x:c r="H135" s="111"/>
      <x:c r="I135" s="111"/>
      <x:c r="J135" s="111"/>
      <x:c r="K135" s="111"/>
      <x:c r="L135" s="111"/>
      <x:c r="M135" s="111"/>
      <x:c r="N135" s="111"/>
      <x:c r="O135" s="111"/>
      <x:c r="P135" s="111"/>
      <x:c r="Q135" s="111"/>
      <x:c r="R135" s="111"/>
      <x:c r="S135" s="111"/>
      <x:c r="T135" s="111"/>
    </x:row>
    <x:row r="136">
      <x:c r="A136" s="111"/>
      <x:c r="B136" s="111"/>
      <x:c r="C136" s="111"/>
      <x:c r="D136" s="111"/>
      <x:c r="E136" s="111"/>
      <x:c r="F136" s="111"/>
      <x:c r="G136" s="111"/>
      <x:c r="H136" s="111"/>
      <x:c r="I136" s="111"/>
      <x:c r="J136" s="111"/>
      <x:c r="K136" s="111"/>
      <x:c r="L136" s="111"/>
      <x:c r="M136" s="111"/>
      <x:c r="N136" s="111"/>
      <x:c r="O136" s="111"/>
      <x:c r="P136" s="111"/>
      <x:c r="Q136" s="111"/>
      <x:c r="R136" s="111"/>
      <x:c r="S136" s="111"/>
      <x:c r="T136" s="111"/>
    </x:row>
    <x:row r="137">
      <x:c r="A137" s="111"/>
      <x:c r="B137" s="111"/>
      <x:c r="C137" s="111"/>
      <x:c r="D137" s="111"/>
      <x:c r="E137" s="111"/>
      <x:c r="F137" s="111"/>
      <x:c r="G137" s="111"/>
      <x:c r="H137" s="111"/>
      <x:c r="I137" s="111"/>
      <x:c r="J137" s="111"/>
      <x:c r="K137" s="111"/>
      <x:c r="L137" s="111"/>
      <x:c r="M137" s="111"/>
      <x:c r="N137" s="111"/>
      <x:c r="O137" s="111"/>
      <x:c r="P137" s="111"/>
      <x:c r="Q137" s="111"/>
      <x:c r="R137" s="111"/>
      <x:c r="S137" s="111"/>
      <x:c r="T137" s="111"/>
    </x:row>
    <x:row r="138">
      <x:c r="A138" s="111"/>
      <x:c r="B138" s="111"/>
      <x:c r="C138" s="111"/>
      <x:c r="D138" s="111"/>
      <x:c r="E138" s="111"/>
      <x:c r="F138" s="111"/>
      <x:c r="G138" s="111"/>
      <x:c r="H138" s="111"/>
      <x:c r="I138" s="111"/>
      <x:c r="J138" s="111"/>
      <x:c r="K138" s="111"/>
      <x:c r="L138" s="111"/>
      <x:c r="M138" s="111"/>
      <x:c r="N138" s="111"/>
      <x:c r="O138" s="111"/>
      <x:c r="P138" s="111"/>
      <x:c r="Q138" s="111"/>
      <x:c r="R138" s="111"/>
      <x:c r="S138" s="111"/>
      <x:c r="T138" s="111"/>
    </x:row>
    <x:row r="139">
      <x:c r="A139" s="111"/>
      <x:c r="B139" s="111"/>
      <x:c r="C139" s="111"/>
      <x:c r="D139" s="111"/>
      <x:c r="E139" s="111"/>
      <x:c r="F139" s="111"/>
      <x:c r="G139" s="111"/>
      <x:c r="H139" s="111"/>
      <x:c r="I139" s="111"/>
      <x:c r="J139" s="111"/>
      <x:c r="K139" s="111"/>
      <x:c r="L139" s="111"/>
      <x:c r="M139" s="111"/>
      <x:c r="N139" s="111"/>
      <x:c r="O139" s="111"/>
      <x:c r="P139" s="111"/>
      <x:c r="Q139" s="111"/>
      <x:c r="R139" s="111"/>
      <x:c r="S139" s="111"/>
      <x:c r="T139" s="111"/>
    </x:row>
    <x:row r="140">
      <x:c r="A140" s="111"/>
      <x:c r="B140" s="111"/>
      <x:c r="C140" s="111"/>
      <x:c r="D140" s="111"/>
      <x:c r="E140" s="111"/>
      <x:c r="F140" s="111"/>
      <x:c r="G140" s="111"/>
      <x:c r="H140" s="111"/>
      <x:c r="I140" s="111"/>
      <x:c r="J140" s="111"/>
      <x:c r="K140" s="111"/>
      <x:c r="L140" s="111"/>
      <x:c r="M140" s="111"/>
      <x:c r="N140" s="111"/>
      <x:c r="O140" s="111"/>
      <x:c r="P140" s="111"/>
      <x:c r="Q140" s="111"/>
      <x:c r="R140" s="111"/>
      <x:c r="S140" s="111"/>
      <x:c r="T140" s="111"/>
    </x:row>
    <x:row r="141">
      <x:c r="A141" s="111"/>
      <x:c r="B141" s="111"/>
      <x:c r="C141" s="111"/>
      <x:c r="D141" s="111"/>
      <x:c r="E141" s="111"/>
      <x:c r="F141" s="111"/>
      <x:c r="G141" s="111"/>
      <x:c r="H141" s="111"/>
      <x:c r="I141" s="111"/>
      <x:c r="J141" s="111"/>
      <x:c r="K141" s="111"/>
      <x:c r="L141" s="111"/>
      <x:c r="M141" s="111"/>
      <x:c r="N141" s="111"/>
      <x:c r="O141" s="111"/>
      <x:c r="P141" s="111"/>
      <x:c r="Q141" s="111"/>
      <x:c r="R141" s="111"/>
      <x:c r="S141" s="111"/>
      <x:c r="T141" s="111"/>
    </x:row>
    <x:row r="142">
      <x:c r="A142" s="111"/>
      <x:c r="B142" s="111"/>
      <x:c r="C142" s="111"/>
      <x:c r="D142" s="111"/>
      <x:c r="E142" s="111"/>
      <x:c r="F142" s="111"/>
      <x:c r="G142" s="111"/>
      <x:c r="H142" s="111"/>
      <x:c r="I142" s="111"/>
      <x:c r="J142" s="111"/>
      <x:c r="K142" s="111"/>
      <x:c r="L142" s="111"/>
      <x:c r="M142" s="111"/>
      <x:c r="N142" s="111"/>
      <x:c r="O142" s="111"/>
      <x:c r="P142" s="111"/>
      <x:c r="Q142" s="111"/>
      <x:c r="R142" s="111"/>
      <x:c r="S142" s="111"/>
      <x:c r="T142" s="111"/>
    </x:row>
    <x:row r="143">
      <x:c r="A143" s="111"/>
      <x:c r="B143" s="111"/>
      <x:c r="C143" s="111"/>
      <x:c r="D143" s="111"/>
      <x:c r="E143" s="111"/>
      <x:c r="F143" s="111"/>
      <x:c r="G143" s="111"/>
      <x:c r="H143" s="111"/>
      <x:c r="I143" s="111"/>
      <x:c r="J143" s="111"/>
      <x:c r="K143" s="111"/>
      <x:c r="L143" s="111"/>
      <x:c r="M143" s="111"/>
      <x:c r="N143" s="111"/>
      <x:c r="O143" s="111"/>
      <x:c r="P143" s="111"/>
      <x:c r="Q143" s="111"/>
      <x:c r="R143" s="111"/>
      <x:c r="S143" s="111"/>
      <x:c r="T143" s="111"/>
    </x:row>
    <x:row r="144">
      <x:c r="A144" s="111"/>
      <x:c r="B144" s="111"/>
      <x:c r="C144" s="111"/>
      <x:c r="D144" s="111"/>
      <x:c r="E144" s="111"/>
      <x:c r="F144" s="111"/>
      <x:c r="G144" s="111"/>
      <x:c r="H144" s="111"/>
      <x:c r="I144" s="111"/>
      <x:c r="J144" s="111"/>
      <x:c r="K144" s="111"/>
      <x:c r="L144" s="111"/>
      <x:c r="M144" s="111"/>
      <x:c r="N144" s="111"/>
      <x:c r="O144" s="111"/>
      <x:c r="P144" s="111"/>
      <x:c r="Q144" s="111"/>
      <x:c r="R144" s="111"/>
      <x:c r="S144" s="111"/>
      <x:c r="T144" s="111"/>
    </x:row>
    <x:row r="145">
      <x:c r="A145" s="111"/>
      <x:c r="B145" s="111"/>
      <x:c r="C145" s="111"/>
      <x:c r="D145" s="111"/>
      <x:c r="E145" s="111"/>
      <x:c r="F145" s="111"/>
      <x:c r="G145" s="111"/>
      <x:c r="H145" s="111"/>
      <x:c r="I145" s="111"/>
      <x:c r="J145" s="111"/>
      <x:c r="K145" s="111"/>
      <x:c r="L145" s="111"/>
      <x:c r="M145" s="111"/>
      <x:c r="N145" s="111"/>
      <x:c r="O145" s="111"/>
      <x:c r="P145" s="111"/>
      <x:c r="Q145" s="111"/>
      <x:c r="R145" s="111"/>
      <x:c r="S145" s="111"/>
      <x:c r="T145" s="111"/>
    </x:row>
    <x:row r="146">
      <x:c r="A146" s="111"/>
      <x:c r="B146" s="111"/>
      <x:c r="C146" s="111"/>
      <x:c r="D146" s="111"/>
      <x:c r="E146" s="111"/>
      <x:c r="F146" s="111"/>
      <x:c r="G146" s="111"/>
      <x:c r="H146" s="111"/>
      <x:c r="I146" s="111"/>
      <x:c r="J146" s="111"/>
      <x:c r="K146" s="111"/>
      <x:c r="L146" s="111"/>
      <x:c r="M146" s="111"/>
      <x:c r="N146" s="111"/>
      <x:c r="O146" s="111"/>
      <x:c r="P146" s="111"/>
      <x:c r="Q146" s="111"/>
      <x:c r="R146" s="111"/>
      <x:c r="S146" s="111"/>
      <x:c r="T146" s="111"/>
    </x:row>
    <x:row r="147">
      <x:c r="A147" s="111"/>
      <x:c r="B147" s="111"/>
      <x:c r="C147" s="111"/>
      <x:c r="D147" s="111"/>
      <x:c r="E147" s="111"/>
      <x:c r="F147" s="111"/>
      <x:c r="G147" s="111"/>
      <x:c r="H147" s="111"/>
      <x:c r="I147" s="111"/>
      <x:c r="J147" s="111"/>
      <x:c r="K147" s="111"/>
      <x:c r="L147" s="111"/>
      <x:c r="M147" s="111"/>
      <x:c r="N147" s="111"/>
      <x:c r="O147" s="111"/>
      <x:c r="P147" s="111"/>
      <x:c r="Q147" s="111"/>
      <x:c r="R147" s="111"/>
      <x:c r="S147" s="111"/>
      <x:c r="T147" s="111"/>
    </x:row>
    <x:row r="148">
      <x:c r="A148" s="111"/>
      <x:c r="B148" s="111"/>
      <x:c r="C148" s="111"/>
      <x:c r="D148" s="111"/>
      <x:c r="E148" s="111"/>
      <x:c r="F148" s="111"/>
      <x:c r="G148" s="111"/>
      <x:c r="H148" s="111"/>
      <x:c r="I148" s="111"/>
      <x:c r="J148" s="111"/>
      <x:c r="K148" s="111"/>
      <x:c r="L148" s="111"/>
      <x:c r="M148" s="111"/>
      <x:c r="N148" s="111"/>
      <x:c r="O148" s="111"/>
      <x:c r="P148" s="111"/>
      <x:c r="Q148" s="111"/>
      <x:c r="R148" s="111"/>
      <x:c r="S148" s="111"/>
      <x:c r="T148" s="111"/>
    </x:row>
    <x:row r="149">
      <x:c r="A149" s="111"/>
      <x:c r="B149" s="111"/>
      <x:c r="C149" s="111"/>
      <x:c r="D149" s="111"/>
      <x:c r="E149" s="111"/>
      <x:c r="F149" s="111"/>
      <x:c r="G149" s="111"/>
      <x:c r="H149" s="111"/>
      <x:c r="I149" s="111"/>
      <x:c r="J149" s="111"/>
      <x:c r="K149" s="111"/>
      <x:c r="L149" s="111"/>
      <x:c r="M149" s="111"/>
      <x:c r="N149" s="111"/>
      <x:c r="O149" s="111"/>
      <x:c r="P149" s="111"/>
      <x:c r="Q149" s="111"/>
      <x:c r="R149" s="111"/>
      <x:c r="S149" s="111"/>
      <x:c r="T149" s="111"/>
    </x:row>
    <x:row r="150">
      <x:c r="A150" s="111"/>
      <x:c r="B150" s="111"/>
      <x:c r="C150" s="111"/>
      <x:c r="D150" s="111"/>
      <x:c r="E150" s="111"/>
      <x:c r="F150" s="111"/>
      <x:c r="G150" s="111"/>
      <x:c r="H150" s="111"/>
      <x:c r="I150" s="111"/>
      <x:c r="J150" s="111"/>
      <x:c r="K150" s="111"/>
      <x:c r="L150" s="111"/>
      <x:c r="M150" s="111"/>
      <x:c r="N150" s="111"/>
      <x:c r="O150" s="111"/>
      <x:c r="P150" s="111"/>
      <x:c r="Q150" s="111"/>
      <x:c r="R150" s="111"/>
      <x:c r="S150" s="111"/>
      <x:c r="T150" s="111"/>
    </x:row>
    <x:row r="151">
      <x:c r="A151" s="111"/>
      <x:c r="B151" s="111"/>
      <x:c r="C151" s="111"/>
      <x:c r="D151" s="111"/>
      <x:c r="E151" s="111"/>
      <x:c r="F151" s="111"/>
      <x:c r="G151" s="111"/>
      <x:c r="H151" s="111"/>
      <x:c r="I151" s="111"/>
      <x:c r="J151" s="111"/>
      <x:c r="K151" s="111"/>
      <x:c r="L151" s="111"/>
      <x:c r="M151" s="111"/>
      <x:c r="N151" s="111"/>
      <x:c r="O151" s="111"/>
      <x:c r="P151" s="111"/>
      <x:c r="Q151" s="111"/>
      <x:c r="R151" s="111"/>
      <x:c r="S151" s="111"/>
      <x:c r="T151" s="111"/>
    </x:row>
    <x:row r="152">
      <x:c r="A152" s="111"/>
      <x:c r="B152" s="111"/>
      <x:c r="C152" s="111"/>
      <x:c r="D152" s="111"/>
      <x:c r="E152" s="111"/>
      <x:c r="F152" s="111"/>
      <x:c r="G152" s="111"/>
      <x:c r="H152" s="111"/>
      <x:c r="I152" s="111"/>
      <x:c r="J152" s="111"/>
      <x:c r="K152" s="111"/>
      <x:c r="L152" s="111"/>
      <x:c r="M152" s="111"/>
      <x:c r="N152" s="111"/>
      <x:c r="O152" s="111"/>
      <x:c r="P152" s="111"/>
      <x:c r="Q152" s="111"/>
      <x:c r="R152" s="111"/>
      <x:c r="S152" s="111"/>
      <x:c r="T152" s="111"/>
    </x:row>
    <x:row r="153">
      <x:c r="A153" s="111"/>
      <x:c r="B153" s="111"/>
      <x:c r="C153" s="111"/>
      <x:c r="D153" s="111"/>
      <x:c r="E153" s="111"/>
      <x:c r="F153" s="111"/>
      <x:c r="G153" s="111"/>
      <x:c r="H153" s="111"/>
      <x:c r="I153" s="111"/>
      <x:c r="J153" s="111"/>
      <x:c r="K153" s="111"/>
      <x:c r="L153" s="111"/>
      <x:c r="M153" s="111"/>
      <x:c r="N153" s="111"/>
      <x:c r="O153" s="111"/>
      <x:c r="P153" s="111"/>
      <x:c r="Q153" s="111"/>
      <x:c r="R153" s="111"/>
      <x:c r="S153" s="111"/>
      <x:c r="T153" s="111"/>
    </x:row>
    <x:row r="154">
      <x:c r="A154" s="111"/>
      <x:c r="B154" s="111"/>
      <x:c r="C154" s="111"/>
      <x:c r="D154" s="111"/>
      <x:c r="E154" s="111"/>
      <x:c r="F154" s="111"/>
      <x:c r="G154" s="111"/>
      <x:c r="H154" s="111"/>
      <x:c r="I154" s="111"/>
      <x:c r="J154" s="111"/>
      <x:c r="K154" s="111"/>
      <x:c r="L154" s="111"/>
      <x:c r="M154" s="111"/>
      <x:c r="N154" s="111"/>
      <x:c r="O154" s="111"/>
      <x:c r="P154" s="111"/>
      <x:c r="Q154" s="111"/>
      <x:c r="R154" s="111"/>
      <x:c r="S154" s="111"/>
      <x:c r="T154" s="111"/>
    </x:row>
    <x:row r="155">
      <x:c r="A155" s="111"/>
      <x:c r="B155" s="111"/>
      <x:c r="C155" s="111"/>
      <x:c r="D155" s="111"/>
      <x:c r="E155" s="111"/>
      <x:c r="F155" s="111"/>
      <x:c r="G155" s="111"/>
      <x:c r="H155" s="111"/>
      <x:c r="I155" s="111"/>
      <x:c r="J155" s="111"/>
      <x:c r="K155" s="111"/>
      <x:c r="L155" s="111"/>
      <x:c r="M155" s="111"/>
      <x:c r="N155" s="111"/>
      <x:c r="O155" s="111"/>
      <x:c r="P155" s="111"/>
      <x:c r="Q155" s="111"/>
      <x:c r="R155" s="111"/>
      <x:c r="S155" s="111"/>
      <x:c r="T155" s="111"/>
    </x:row>
    <x:row r="156">
      <x:c r="A156" s="111"/>
      <x:c r="B156" s="111"/>
      <x:c r="C156" s="111"/>
      <x:c r="D156" s="111"/>
      <x:c r="E156" s="111"/>
      <x:c r="F156" s="111"/>
      <x:c r="G156" s="111"/>
      <x:c r="H156" s="111"/>
      <x:c r="I156" s="111"/>
      <x:c r="J156" s="111"/>
      <x:c r="K156" s="111"/>
      <x:c r="L156" s="111"/>
      <x:c r="M156" s="111"/>
      <x:c r="N156" s="111"/>
      <x:c r="O156" s="111"/>
      <x:c r="P156" s="111"/>
      <x:c r="Q156" s="111"/>
      <x:c r="R156" s="111"/>
      <x:c r="S156" s="111"/>
      <x:c r="T156" s="111"/>
    </x:row>
    <x:row r="157">
      <x:c r="A157" s="111"/>
      <x:c r="B157" s="111"/>
      <x:c r="C157" s="111"/>
      <x:c r="D157" s="111"/>
      <x:c r="E157" s="111"/>
      <x:c r="F157" s="111"/>
      <x:c r="G157" s="111"/>
      <x:c r="H157" s="111"/>
      <x:c r="I157" s="111"/>
      <x:c r="J157" s="111"/>
      <x:c r="K157" s="111"/>
      <x:c r="L157" s="111"/>
      <x:c r="M157" s="111"/>
      <x:c r="N157" s="111"/>
      <x:c r="O157" s="111"/>
      <x:c r="P157" s="111"/>
      <x:c r="Q157" s="111"/>
      <x:c r="R157" s="111"/>
      <x:c r="S157" s="111"/>
      <x:c r="T157" s="111"/>
    </x:row>
    <x:row r="158">
      <x:c r="A158" s="111"/>
      <x:c r="B158" s="111"/>
      <x:c r="C158" s="111"/>
      <x:c r="D158" s="111"/>
      <x:c r="E158" s="111"/>
      <x:c r="F158" s="111"/>
      <x:c r="G158" s="111"/>
      <x:c r="H158" s="111"/>
      <x:c r="I158" s="111"/>
      <x:c r="J158" s="111"/>
      <x:c r="K158" s="111"/>
      <x:c r="L158" s="111"/>
      <x:c r="M158" s="111"/>
      <x:c r="N158" s="111"/>
      <x:c r="O158" s="111"/>
      <x:c r="P158" s="111"/>
      <x:c r="Q158" s="111"/>
      <x:c r="R158" s="111"/>
      <x:c r="S158" s="111"/>
      <x:c r="T158" s="111"/>
    </x:row>
    <x:row r="159">
      <x:c r="A159" s="111"/>
      <x:c r="B159" s="111"/>
      <x:c r="C159" s="111"/>
      <x:c r="D159" s="111"/>
      <x:c r="E159" s="111"/>
      <x:c r="F159" s="111"/>
      <x:c r="G159" s="111"/>
      <x:c r="H159" s="111"/>
      <x:c r="I159" s="111"/>
      <x:c r="J159" s="111"/>
      <x:c r="K159" s="111"/>
      <x:c r="L159" s="111"/>
      <x:c r="M159" s="111"/>
      <x:c r="N159" s="111"/>
      <x:c r="O159" s="111"/>
      <x:c r="P159" s="111"/>
      <x:c r="Q159" s="111"/>
      <x:c r="R159" s="111"/>
      <x:c r="S159" s="111"/>
      <x:c r="T159" s="111"/>
    </x:row>
    <x:row r="160">
      <x:c r="A160" s="111"/>
      <x:c r="B160" s="111"/>
      <x:c r="C160" s="111"/>
      <x:c r="D160" s="111"/>
      <x:c r="E160" s="111"/>
      <x:c r="F160" s="111"/>
      <x:c r="G160" s="111"/>
      <x:c r="H160" s="111"/>
      <x:c r="I160" s="111"/>
      <x:c r="J160" s="111"/>
      <x:c r="K160" s="111"/>
      <x:c r="L160" s="111"/>
      <x:c r="M160" s="111"/>
      <x:c r="N160" s="111"/>
      <x:c r="O160" s="111"/>
      <x:c r="P160" s="111"/>
      <x:c r="Q160" s="111"/>
      <x:c r="R160" s="111"/>
      <x:c r="S160" s="111"/>
      <x:c r="T160" s="111"/>
    </x:row>
    <x:row r="161">
      <x:c r="A161" s="111"/>
      <x:c r="B161" s="111"/>
      <x:c r="C161" s="111"/>
      <x:c r="D161" s="111"/>
      <x:c r="E161" s="111"/>
      <x:c r="F161" s="111"/>
      <x:c r="G161" s="111"/>
      <x:c r="H161" s="111"/>
      <x:c r="I161" s="111"/>
      <x:c r="J161" s="111"/>
      <x:c r="K161" s="111"/>
      <x:c r="L161" s="111"/>
      <x:c r="M161" s="111"/>
      <x:c r="N161" s="111"/>
      <x:c r="O161" s="111"/>
      <x:c r="P161" s="111"/>
      <x:c r="Q161" s="111"/>
      <x:c r="R161" s="111"/>
      <x:c r="S161" s="111"/>
      <x:c r="T161" s="111"/>
    </x:row>
    <x:row r="162">
      <x:c r="A162" s="111"/>
      <x:c r="B162" s="111"/>
      <x:c r="C162" s="111"/>
      <x:c r="D162" s="111"/>
      <x:c r="E162" s="111"/>
      <x:c r="F162" s="111"/>
      <x:c r="G162" s="111"/>
      <x:c r="H162" s="111"/>
      <x:c r="I162" s="111"/>
      <x:c r="J162" s="111"/>
      <x:c r="K162" s="111"/>
      <x:c r="L162" s="111"/>
      <x:c r="M162" s="111"/>
      <x:c r="N162" s="111"/>
      <x:c r="O162" s="111"/>
      <x:c r="P162" s="111"/>
      <x:c r="Q162" s="111"/>
      <x:c r="R162" s="111"/>
      <x:c r="S162" s="111"/>
      <x:c r="T162" s="111"/>
    </x:row>
    <x:row r="163">
      <x:c r="A163" s="111"/>
      <x:c r="B163" s="111"/>
      <x:c r="C163" s="111"/>
      <x:c r="D163" s="111"/>
      <x:c r="E163" s="111"/>
      <x:c r="F163" s="111"/>
      <x:c r="G163" s="111"/>
      <x:c r="H163" s="111"/>
      <x:c r="I163" s="111"/>
      <x:c r="J163" s="111"/>
      <x:c r="K163" s="111"/>
      <x:c r="L163" s="111"/>
      <x:c r="M163" s="111"/>
      <x:c r="N163" s="111"/>
      <x:c r="O163" s="111"/>
      <x:c r="P163" s="111"/>
      <x:c r="Q163" s="111"/>
      <x:c r="R163" s="111"/>
      <x:c r="S163" s="111"/>
      <x:c r="T163" s="111"/>
    </x:row>
    <x:row r="164">
      <x:c r="A164" s="111"/>
      <x:c r="B164" s="111"/>
      <x:c r="C164" s="111"/>
      <x:c r="D164" s="111"/>
      <x:c r="E164" s="111"/>
      <x:c r="F164" s="111"/>
      <x:c r="G164" s="111"/>
      <x:c r="H164" s="111"/>
      <x:c r="I164" s="111"/>
      <x:c r="J164" s="111"/>
      <x:c r="K164" s="111"/>
      <x:c r="L164" s="111"/>
      <x:c r="M164" s="111"/>
      <x:c r="N164" s="111"/>
      <x:c r="O164" s="111"/>
      <x:c r="P164" s="111"/>
      <x:c r="Q164" s="111"/>
      <x:c r="R164" s="111"/>
      <x:c r="S164" s="111"/>
      <x:c r="T164" s="111"/>
    </x:row>
    <x:row r="165">
      <x:c r="A165" s="111"/>
      <x:c r="B165" s="111"/>
      <x:c r="C165" s="111"/>
      <x:c r="D165" s="111"/>
      <x:c r="E165" s="111"/>
      <x:c r="F165" s="111"/>
      <x:c r="G165" s="111"/>
      <x:c r="H165" s="111"/>
      <x:c r="I165" s="111"/>
      <x:c r="J165" s="111"/>
      <x:c r="K165" s="111"/>
      <x:c r="L165" s="111"/>
      <x:c r="M165" s="111"/>
      <x:c r="N165" s="111"/>
      <x:c r="O165" s="111"/>
      <x:c r="P165" s="111"/>
      <x:c r="Q165" s="111"/>
      <x:c r="R165" s="111"/>
      <x:c r="S165" s="111"/>
      <x:c r="T165" s="111"/>
    </x:row>
    <x:row r="166">
      <x:c r="A166" s="111"/>
      <x:c r="B166" s="111"/>
      <x:c r="C166" s="111"/>
      <x:c r="D166" s="111"/>
      <x:c r="E166" s="111"/>
      <x:c r="F166" s="111"/>
      <x:c r="G166" s="111"/>
      <x:c r="H166" s="111"/>
      <x:c r="I166" s="111"/>
      <x:c r="J166" s="111"/>
      <x:c r="K166" s="111"/>
      <x:c r="L166" s="111"/>
      <x:c r="M166" s="111"/>
      <x:c r="N166" s="111"/>
      <x:c r="O166" s="111"/>
      <x:c r="P166" s="111"/>
      <x:c r="Q166" s="111"/>
      <x:c r="R166" s="111"/>
      <x:c r="S166" s="111"/>
      <x:c r="T166" s="111"/>
    </x:row>
    <x:row r="167">
      <x:c r="A167" s="111"/>
      <x:c r="B167" s="111"/>
      <x:c r="C167" s="111"/>
      <x:c r="D167" s="111"/>
      <x:c r="E167" s="111"/>
      <x:c r="F167" s="111"/>
      <x:c r="G167" s="111"/>
      <x:c r="H167" s="111"/>
      <x:c r="I167" s="111"/>
      <x:c r="J167" s="111"/>
      <x:c r="K167" s="111"/>
      <x:c r="L167" s="111"/>
      <x:c r="M167" s="111"/>
      <x:c r="N167" s="111"/>
      <x:c r="O167" s="111"/>
      <x:c r="P167" s="111"/>
      <x:c r="Q167" s="111"/>
      <x:c r="R167" s="111"/>
      <x:c r="S167" s="111"/>
      <x:c r="T167" s="111"/>
    </x:row>
    <x:row r="168">
      <x:c r="A168" s="111"/>
      <x:c r="B168" s="111"/>
      <x:c r="C168" s="111"/>
      <x:c r="D168" s="111"/>
      <x:c r="E168" s="111"/>
      <x:c r="F168" s="111"/>
      <x:c r="G168" s="111"/>
      <x:c r="H168" s="111"/>
      <x:c r="I168" s="111"/>
      <x:c r="J168" s="111"/>
      <x:c r="K168" s="111"/>
      <x:c r="L168" s="111"/>
      <x:c r="M168" s="111"/>
      <x:c r="N168" s="111"/>
      <x:c r="O168" s="111"/>
      <x:c r="P168" s="111"/>
      <x:c r="Q168" s="111"/>
      <x:c r="R168" s="111"/>
      <x:c r="S168" s="111"/>
      <x:c r="T168" s="111"/>
    </x:row>
    <x:row r="169">
      <x:c r="A169" s="111"/>
      <x:c r="B169" s="111"/>
      <x:c r="C169" s="111"/>
      <x:c r="D169" s="111"/>
      <x:c r="E169" s="111"/>
      <x:c r="F169" s="111"/>
      <x:c r="G169" s="111"/>
      <x:c r="H169" s="111"/>
      <x:c r="I169" s="111"/>
      <x:c r="J169" s="111"/>
      <x:c r="K169" s="111"/>
      <x:c r="L169" s="111"/>
      <x:c r="M169" s="111"/>
      <x:c r="N169" s="111"/>
      <x:c r="O169" s="111"/>
      <x:c r="P169" s="111"/>
      <x:c r="Q169" s="111"/>
      <x:c r="R169" s="111"/>
      <x:c r="S169" s="111"/>
      <x:c r="T169" s="111"/>
    </x:row>
    <x:row r="170">
      <x:c r="A170" s="111"/>
      <x:c r="B170" s="111"/>
      <x:c r="C170" s="111"/>
      <x:c r="D170" s="111"/>
      <x:c r="E170" s="111"/>
      <x:c r="F170" s="111"/>
      <x:c r="G170" s="111"/>
      <x:c r="H170" s="111"/>
      <x:c r="I170" s="111"/>
      <x:c r="J170" s="111"/>
      <x:c r="K170" s="111"/>
      <x:c r="L170" s="111"/>
      <x:c r="M170" s="111"/>
      <x:c r="N170" s="111"/>
      <x:c r="O170" s="111"/>
      <x:c r="P170" s="111"/>
      <x:c r="Q170" s="111"/>
      <x:c r="R170" s="111"/>
      <x:c r="S170" s="111"/>
      <x:c r="T170" s="111"/>
    </x:row>
    <x:row r="171">
      <x:c r="A171" s="111"/>
      <x:c r="B171" s="111"/>
      <x:c r="C171" s="111"/>
      <x:c r="D171" s="111"/>
      <x:c r="E171" s="111"/>
      <x:c r="F171" s="111"/>
      <x:c r="G171" s="111"/>
      <x:c r="H171" s="111"/>
      <x:c r="I171" s="111"/>
      <x:c r="J171" s="111"/>
      <x:c r="K171" s="111"/>
      <x:c r="L171" s="111"/>
      <x:c r="M171" s="111"/>
      <x:c r="N171" s="111"/>
      <x:c r="O171" s="111"/>
      <x:c r="P171" s="111"/>
      <x:c r="Q171" s="111"/>
      <x:c r="R171" s="111"/>
      <x:c r="S171" s="111"/>
      <x:c r="T171" s="111"/>
    </x:row>
    <x:row r="172">
      <x:c r="A172" s="111"/>
      <x:c r="B172" s="111"/>
      <x:c r="C172" s="111"/>
      <x:c r="D172" s="111"/>
      <x:c r="E172" s="111"/>
      <x:c r="F172" s="111"/>
      <x:c r="G172" s="111"/>
      <x:c r="H172" s="111"/>
      <x:c r="I172" s="111"/>
      <x:c r="J172" s="111"/>
      <x:c r="K172" s="111"/>
      <x:c r="L172" s="111"/>
      <x:c r="M172" s="111"/>
      <x:c r="N172" s="111"/>
      <x:c r="O172" s="111"/>
      <x:c r="P172" s="111"/>
      <x:c r="Q172" s="111"/>
      <x:c r="R172" s="111"/>
      <x:c r="S172" s="111"/>
      <x:c r="T172" s="111"/>
    </x:row>
    <x:row r="173">
      <x:c r="A173" s="111"/>
      <x:c r="B173" s="111"/>
      <x:c r="C173" s="111"/>
      <x:c r="D173" s="111"/>
      <x:c r="E173" s="111"/>
      <x:c r="F173" s="111"/>
      <x:c r="G173" s="111"/>
      <x:c r="H173" s="111"/>
      <x:c r="I173" s="111"/>
      <x:c r="J173" s="111"/>
      <x:c r="K173" s="111"/>
      <x:c r="L173" s="111"/>
      <x:c r="M173" s="111"/>
      <x:c r="N173" s="111"/>
      <x:c r="O173" s="111"/>
      <x:c r="P173" s="111"/>
      <x:c r="Q173" s="111"/>
      <x:c r="R173" s="111"/>
      <x:c r="S173" s="111"/>
      <x:c r="T173" s="111"/>
    </x:row>
    <x:row r="174">
      <x:c r="A174" s="111"/>
      <x:c r="B174" s="111"/>
      <x:c r="C174" s="111"/>
      <x:c r="D174" s="111"/>
      <x:c r="E174" s="111"/>
      <x:c r="F174" s="111"/>
      <x:c r="G174" s="111"/>
      <x:c r="H174" s="111"/>
      <x:c r="I174" s="111"/>
      <x:c r="J174" s="111"/>
      <x:c r="K174" s="111"/>
      <x:c r="L174" s="111"/>
      <x:c r="M174" s="111"/>
      <x:c r="N174" s="111"/>
      <x:c r="O174" s="111"/>
      <x:c r="P174" s="111"/>
      <x:c r="Q174" s="111"/>
      <x:c r="R174" s="111"/>
      <x:c r="S174" s="111"/>
      <x:c r="T174" s="111"/>
    </x:row>
    <x:row r="175">
      <x:c r="A175" s="111"/>
      <x:c r="B175" s="111"/>
      <x:c r="C175" s="111"/>
      <x:c r="D175" s="111"/>
      <x:c r="E175" s="111"/>
      <x:c r="F175" s="111"/>
      <x:c r="G175" s="111"/>
      <x:c r="H175" s="111"/>
      <x:c r="I175" s="111"/>
      <x:c r="J175" s="111"/>
      <x:c r="K175" s="111"/>
      <x:c r="L175" s="111"/>
      <x:c r="M175" s="111"/>
      <x:c r="N175" s="111"/>
      <x:c r="O175" s="111"/>
      <x:c r="P175" s="111"/>
      <x:c r="Q175" s="111"/>
      <x:c r="R175" s="111"/>
      <x:c r="S175" s="111"/>
      <x:c r="T175" s="111"/>
    </x:row>
    <x:row r="176">
      <x:c r="A176" s="111"/>
      <x:c r="B176" s="111"/>
      <x:c r="C176" s="111"/>
      <x:c r="D176" s="111"/>
      <x:c r="E176" s="111"/>
      <x:c r="F176" s="111"/>
      <x:c r="G176" s="111"/>
      <x:c r="H176" s="111"/>
      <x:c r="I176" s="111"/>
      <x:c r="J176" s="111"/>
      <x:c r="K176" s="111"/>
      <x:c r="L176" s="111"/>
      <x:c r="M176" s="111"/>
      <x:c r="N176" s="111"/>
      <x:c r="O176" s="111"/>
      <x:c r="P176" s="111"/>
      <x:c r="Q176" s="111"/>
      <x:c r="R176" s="111"/>
      <x:c r="S176" s="111"/>
      <x:c r="T176" s="111"/>
    </x:row>
    <x:row r="177">
      <x:c r="A177" s="111"/>
      <x:c r="B177" s="111"/>
      <x:c r="C177" s="111"/>
      <x:c r="D177" s="111"/>
      <x:c r="E177" s="111"/>
      <x:c r="F177" s="111"/>
      <x:c r="G177" s="111"/>
      <x:c r="H177" s="111"/>
      <x:c r="I177" s="111"/>
      <x:c r="J177" s="111"/>
      <x:c r="K177" s="111"/>
      <x:c r="L177" s="111"/>
      <x:c r="M177" s="111"/>
      <x:c r="N177" s="111"/>
      <x:c r="O177" s="111"/>
      <x:c r="P177" s="111"/>
      <x:c r="Q177" s="111"/>
      <x:c r="R177" s="111"/>
      <x:c r="S177" s="111"/>
      <x:c r="T177" s="111"/>
    </x:row>
    <x:row r="178">
      <x:c r="A178" s="111"/>
      <x:c r="B178" s="111"/>
      <x:c r="C178" s="111"/>
      <x:c r="D178" s="111"/>
      <x:c r="E178" s="111"/>
      <x:c r="F178" s="111"/>
      <x:c r="G178" s="111"/>
      <x:c r="H178" s="111"/>
      <x:c r="I178" s="111"/>
      <x:c r="J178" s="111"/>
      <x:c r="K178" s="111"/>
      <x:c r="L178" s="111"/>
      <x:c r="M178" s="111"/>
      <x:c r="N178" s="111"/>
      <x:c r="O178" s="111"/>
      <x:c r="P178" s="111"/>
      <x:c r="Q178" s="111"/>
      <x:c r="R178" s="111"/>
      <x:c r="S178" s="111"/>
      <x:c r="T178" s="111"/>
    </x:row>
    <x:row r="179">
      <x:c r="A179" s="111"/>
      <x:c r="B179" s="111"/>
      <x:c r="C179" s="111"/>
      <x:c r="D179" s="111"/>
      <x:c r="E179" s="111"/>
      <x:c r="F179" s="111"/>
      <x:c r="G179" s="111"/>
      <x:c r="H179" s="111"/>
      <x:c r="I179" s="111"/>
      <x:c r="J179" s="111"/>
      <x:c r="K179" s="111"/>
      <x:c r="L179" s="111"/>
      <x:c r="M179" s="111"/>
      <x:c r="N179" s="111"/>
      <x:c r="O179" s="111"/>
      <x:c r="P179" s="111"/>
      <x:c r="Q179" s="111"/>
      <x:c r="R179" s="111"/>
      <x:c r="S179" s="111"/>
      <x:c r="T179" s="111"/>
    </x:row>
    <x:row r="180">
      <x:c r="A180" s="111"/>
      <x:c r="B180" s="111"/>
      <x:c r="C180" s="111"/>
      <x:c r="D180" s="111"/>
      <x:c r="E180" s="111"/>
      <x:c r="F180" s="111"/>
      <x:c r="G180" s="111"/>
      <x:c r="H180" s="111"/>
      <x:c r="I180" s="111"/>
      <x:c r="J180" s="111"/>
      <x:c r="K180" s="111"/>
      <x:c r="L180" s="111"/>
      <x:c r="M180" s="111"/>
      <x:c r="N180" s="111"/>
      <x:c r="O180" s="111"/>
      <x:c r="P180" s="111"/>
      <x:c r="Q180" s="111"/>
      <x:c r="R180" s="111"/>
      <x:c r="S180" s="111"/>
      <x:c r="T180" s="111"/>
    </x:row>
    <x:row r="181">
      <x:c r="A181" s="111"/>
      <x:c r="B181" s="111"/>
      <x:c r="C181" s="111"/>
      <x:c r="D181" s="111"/>
      <x:c r="E181" s="111"/>
      <x:c r="F181" s="111"/>
      <x:c r="G181" s="111"/>
      <x:c r="H181" s="111"/>
      <x:c r="I181" s="111"/>
      <x:c r="J181" s="111"/>
      <x:c r="K181" s="111"/>
      <x:c r="L181" s="111"/>
      <x:c r="M181" s="111"/>
      <x:c r="N181" s="111"/>
      <x:c r="O181" s="111"/>
      <x:c r="P181" s="111"/>
      <x:c r="Q181" s="111"/>
      <x:c r="R181" s="111"/>
      <x:c r="S181" s="111"/>
      <x:c r="T181" s="111"/>
    </x:row>
    <x:row r="182">
      <x:c r="A182" s="111"/>
      <x:c r="B182" s="111"/>
      <x:c r="C182" s="111"/>
      <x:c r="D182" s="111"/>
      <x:c r="E182" s="111"/>
      <x:c r="F182" s="111"/>
      <x:c r="G182" s="111"/>
      <x:c r="H182" s="111"/>
      <x:c r="I182" s="111"/>
      <x:c r="J182" s="111"/>
      <x:c r="K182" s="111"/>
      <x:c r="L182" s="111"/>
      <x:c r="M182" s="111"/>
      <x:c r="N182" s="111"/>
      <x:c r="O182" s="111"/>
      <x:c r="P182" s="111"/>
      <x:c r="Q182" s="111"/>
      <x:c r="R182" s="111"/>
      <x:c r="S182" s="111"/>
      <x:c r="T182" s="111"/>
    </x:row>
    <x:row r="183">
      <x:c r="A183" s="111"/>
      <x:c r="B183" s="111"/>
      <x:c r="C183" s="111"/>
      <x:c r="D183" s="111"/>
      <x:c r="E183" s="111"/>
      <x:c r="F183" s="111"/>
      <x:c r="G183" s="111"/>
      <x:c r="H183" s="111"/>
      <x:c r="I183" s="111"/>
      <x:c r="J183" s="111"/>
      <x:c r="K183" s="111"/>
      <x:c r="L183" s="111"/>
      <x:c r="M183" s="111"/>
      <x:c r="N183" s="111"/>
      <x:c r="O183" s="111"/>
      <x:c r="P183" s="111"/>
      <x:c r="Q183" s="111"/>
      <x:c r="R183" s="111"/>
      <x:c r="S183" s="111"/>
      <x:c r="T183" s="111"/>
    </x:row>
    <x:row r="184">
      <x:c r="A184" s="111"/>
      <x:c r="B184" s="111"/>
      <x:c r="C184" s="111"/>
      <x:c r="D184" s="111"/>
      <x:c r="E184" s="111"/>
      <x:c r="F184" s="111"/>
      <x:c r="G184" s="111"/>
      <x:c r="H184" s="111"/>
      <x:c r="I184" s="111"/>
      <x:c r="J184" s="111"/>
      <x:c r="K184" s="111"/>
      <x:c r="L184" s="111"/>
      <x:c r="M184" s="111"/>
      <x:c r="N184" s="111"/>
      <x:c r="O184" s="111"/>
      <x:c r="P184" s="111"/>
      <x:c r="Q184" s="111"/>
      <x:c r="R184" s="111"/>
      <x:c r="S184" s="111"/>
      <x:c r="T184" s="111"/>
    </x:row>
    <x:row r="185">
      <x:c r="A185" s="111"/>
      <x:c r="B185" s="111"/>
      <x:c r="C185" s="111"/>
      <x:c r="D185" s="111"/>
      <x:c r="E185" s="111"/>
      <x:c r="F185" s="111"/>
      <x:c r="G185" s="111"/>
      <x:c r="H185" s="111"/>
      <x:c r="I185" s="111"/>
      <x:c r="J185" s="111"/>
      <x:c r="K185" s="111"/>
      <x:c r="L185" s="111"/>
      <x:c r="M185" s="111"/>
      <x:c r="N185" s="111"/>
      <x:c r="O185" s="111"/>
      <x:c r="P185" s="111"/>
      <x:c r="Q185" s="111"/>
      <x:c r="R185" s="111"/>
      <x:c r="S185" s="111"/>
      <x:c r="T185" s="111"/>
    </x:row>
    <x:row r="186">
      <x:c r="A186" s="111"/>
      <x:c r="B186" s="111"/>
      <x:c r="C186" s="111"/>
      <x:c r="D186" s="111"/>
      <x:c r="E186" s="111"/>
      <x:c r="F186" s="111"/>
      <x:c r="G186" s="111"/>
      <x:c r="H186" s="111"/>
      <x:c r="I186" s="111"/>
      <x:c r="J186" s="111"/>
      <x:c r="K186" s="111"/>
      <x:c r="L186" s="111"/>
      <x:c r="M186" s="111"/>
      <x:c r="N186" s="111"/>
      <x:c r="O186" s="111"/>
      <x:c r="P186" s="111"/>
      <x:c r="Q186" s="111"/>
      <x:c r="R186" s="111"/>
      <x:c r="S186" s="111"/>
      <x:c r="T186" s="111"/>
    </x:row>
    <x:row r="187">
      <x:c r="A187" s="111"/>
      <x:c r="B187" s="111"/>
      <x:c r="C187" s="111"/>
      <x:c r="D187" s="111"/>
      <x:c r="E187" s="111"/>
      <x:c r="F187" s="111"/>
      <x:c r="G187" s="111"/>
      <x:c r="H187" s="111"/>
      <x:c r="I187" s="111"/>
      <x:c r="J187" s="111"/>
      <x:c r="K187" s="111"/>
      <x:c r="L187" s="111"/>
      <x:c r="M187" s="111"/>
      <x:c r="N187" s="111"/>
      <x:c r="O187" s="111"/>
      <x:c r="P187" s="111"/>
      <x:c r="Q187" s="111"/>
      <x:c r="R187" s="111"/>
      <x:c r="S187" s="111"/>
      <x:c r="T187" s="111"/>
    </x:row>
    <x:row r="188">
      <x:c r="A188" s="111"/>
      <x:c r="B188" s="111"/>
      <x:c r="C188" s="111"/>
      <x:c r="D188" s="111"/>
      <x:c r="E188" s="111"/>
      <x:c r="F188" s="111"/>
      <x:c r="G188" s="111"/>
      <x:c r="H188" s="111"/>
      <x:c r="I188" s="111"/>
      <x:c r="J188" s="111"/>
      <x:c r="K188" s="111"/>
      <x:c r="L188" s="111"/>
      <x:c r="M188" s="111"/>
      <x:c r="N188" s="111"/>
      <x:c r="O188" s="111"/>
      <x:c r="P188" s="111"/>
      <x:c r="Q188" s="111"/>
      <x:c r="R188" s="111"/>
      <x:c r="S188" s="111"/>
      <x:c r="T188" s="111"/>
    </x:row>
    <x:row r="189">
      <x:c r="A189" s="111"/>
      <x:c r="B189" s="111"/>
      <x:c r="C189" s="111"/>
      <x:c r="D189" s="111"/>
      <x:c r="E189" s="111"/>
      <x:c r="F189" s="111"/>
      <x:c r="G189" s="111"/>
      <x:c r="H189" s="111"/>
      <x:c r="I189" s="111"/>
      <x:c r="J189" s="111"/>
      <x:c r="K189" s="111"/>
      <x:c r="L189" s="111"/>
      <x:c r="M189" s="111"/>
      <x:c r="N189" s="111"/>
      <x:c r="O189" s="111"/>
      <x:c r="P189" s="111"/>
      <x:c r="Q189" s="111"/>
      <x:c r="R189" s="111"/>
      <x:c r="S189" s="111"/>
      <x:c r="T189" s="111"/>
    </x:row>
    <x:row r="190">
      <x:c r="A190" s="111"/>
      <x:c r="B190" s="111"/>
      <x:c r="C190" s="111"/>
      <x:c r="D190" s="111"/>
      <x:c r="E190" s="111"/>
      <x:c r="F190" s="111"/>
      <x:c r="G190" s="111"/>
      <x:c r="H190" s="111"/>
      <x:c r="I190" s="111"/>
      <x:c r="J190" s="111"/>
      <x:c r="K190" s="111"/>
      <x:c r="L190" s="111"/>
      <x:c r="M190" s="111"/>
      <x:c r="N190" s="111"/>
      <x:c r="O190" s="111"/>
      <x:c r="P190" s="111"/>
      <x:c r="Q190" s="111"/>
      <x:c r="R190" s="111"/>
      <x:c r="S190" s="111"/>
      <x:c r="T190" s="111"/>
    </x:row>
    <x:row r="191">
      <x:c r="A191" s="111"/>
      <x:c r="B191" s="111"/>
      <x:c r="C191" s="111"/>
      <x:c r="D191" s="111"/>
      <x:c r="E191" s="111"/>
      <x:c r="F191" s="111"/>
      <x:c r="G191" s="111"/>
      <x:c r="H191" s="111"/>
      <x:c r="I191" s="111"/>
      <x:c r="J191" s="111"/>
      <x:c r="K191" s="111"/>
      <x:c r="L191" s="111"/>
      <x:c r="M191" s="111"/>
      <x:c r="N191" s="111"/>
      <x:c r="O191" s="111"/>
      <x:c r="P191" s="111"/>
      <x:c r="Q191" s="111"/>
      <x:c r="R191" s="111"/>
      <x:c r="S191" s="111"/>
      <x:c r="T191" s="111"/>
    </x:row>
    <x:row r="192">
      <x:c r="A192" s="111"/>
      <x:c r="B192" s="111"/>
      <x:c r="C192" s="111"/>
      <x:c r="D192" s="111"/>
      <x:c r="E192" s="111"/>
      <x:c r="F192" s="111"/>
      <x:c r="G192" s="111"/>
      <x:c r="H192" s="111"/>
      <x:c r="I192" s="111"/>
      <x:c r="J192" s="111"/>
      <x:c r="K192" s="111"/>
      <x:c r="L192" s="111"/>
      <x:c r="M192" s="111"/>
      <x:c r="N192" s="111"/>
      <x:c r="O192" s="111"/>
      <x:c r="P192" s="111"/>
      <x:c r="Q192" s="111"/>
      <x:c r="R192" s="111"/>
      <x:c r="S192" s="111"/>
      <x:c r="T192" s="111"/>
    </x:row>
    <x:row r="193">
      <x:c r="A193" s="111"/>
      <x:c r="B193" s="111"/>
      <x:c r="C193" s="111"/>
      <x:c r="D193" s="111"/>
      <x:c r="E193" s="111"/>
      <x:c r="F193" s="111"/>
      <x:c r="G193" s="111"/>
      <x:c r="H193" s="111"/>
      <x:c r="I193" s="111"/>
      <x:c r="J193" s="111"/>
      <x:c r="K193" s="111"/>
      <x:c r="L193" s="111"/>
      <x:c r="M193" s="111"/>
      <x:c r="N193" s="111"/>
      <x:c r="O193" s="111"/>
      <x:c r="P193" s="111"/>
      <x:c r="Q193" s="111"/>
      <x:c r="R193" s="111"/>
      <x:c r="S193" s="111"/>
      <x:c r="T193" s="111"/>
    </x:row>
    <x:row r="194">
      <x:c r="A194" s="111"/>
      <x:c r="B194" s="111"/>
      <x:c r="C194" s="111"/>
      <x:c r="D194" s="111"/>
      <x:c r="E194" s="111"/>
      <x:c r="F194" s="111"/>
      <x:c r="G194" s="111"/>
      <x:c r="H194" s="111"/>
      <x:c r="I194" s="111"/>
      <x:c r="J194" s="111"/>
      <x:c r="K194" s="111"/>
      <x:c r="L194" s="111"/>
      <x:c r="M194" s="111"/>
      <x:c r="N194" s="111"/>
      <x:c r="O194" s="111"/>
      <x:c r="P194" s="111"/>
      <x:c r="Q194" s="111"/>
      <x:c r="R194" s="111"/>
      <x:c r="S194" s="111"/>
      <x:c r="T194" s="111"/>
    </x:row>
    <x:row r="195">
      <x:c r="A195" s="111"/>
      <x:c r="B195" s="111"/>
      <x:c r="C195" s="111"/>
      <x:c r="D195" s="111"/>
      <x:c r="E195" s="111"/>
      <x:c r="F195" s="111"/>
      <x:c r="G195" s="111"/>
      <x:c r="H195" s="111"/>
      <x:c r="I195" s="111"/>
      <x:c r="J195" s="111"/>
      <x:c r="K195" s="111"/>
      <x:c r="L195" s="111"/>
      <x:c r="M195" s="111"/>
      <x:c r="N195" s="111"/>
      <x:c r="O195" s="111"/>
      <x:c r="P195" s="111"/>
      <x:c r="Q195" s="111"/>
      <x:c r="R195" s="111"/>
      <x:c r="S195" s="111"/>
      <x:c r="T195" s="111"/>
    </x:row>
    <x:row r="196">
      <x:c r="A196" s="111"/>
      <x:c r="B196" s="111"/>
      <x:c r="C196" s="111"/>
      <x:c r="D196" s="111"/>
      <x:c r="E196" s="111"/>
      <x:c r="F196" s="111"/>
      <x:c r="G196" s="111"/>
      <x:c r="H196" s="111"/>
      <x:c r="I196" s="111"/>
      <x:c r="J196" s="111"/>
      <x:c r="K196" s="111"/>
      <x:c r="L196" s="111"/>
      <x:c r="M196" s="111"/>
      <x:c r="N196" s="111"/>
      <x:c r="O196" s="111"/>
      <x:c r="P196" s="111"/>
      <x:c r="Q196" s="111"/>
      <x:c r="R196" s="111"/>
      <x:c r="S196" s="111"/>
      <x:c r="T196" s="111"/>
    </x:row>
    <x:row r="197">
      <x:c r="A197" s="111"/>
      <x:c r="B197" s="111"/>
      <x:c r="C197" s="111"/>
      <x:c r="D197" s="111"/>
      <x:c r="E197" s="111"/>
      <x:c r="F197" s="111"/>
      <x:c r="G197" s="111"/>
      <x:c r="H197" s="111"/>
      <x:c r="I197" s="111"/>
      <x:c r="J197" s="111"/>
      <x:c r="K197" s="111"/>
      <x:c r="L197" s="111"/>
      <x:c r="M197" s="111"/>
      <x:c r="N197" s="111"/>
      <x:c r="O197" s="111"/>
      <x:c r="P197" s="111"/>
      <x:c r="Q197" s="111"/>
      <x:c r="R197" s="111"/>
      <x:c r="S197" s="111"/>
      <x:c r="T197" s="111"/>
    </x:row>
    <x:row r="198">
      <x:c r="A198" s="111"/>
      <x:c r="B198" s="111"/>
      <x:c r="C198" s="111"/>
      <x:c r="D198" s="111"/>
      <x:c r="E198" s="111"/>
      <x:c r="F198" s="111"/>
      <x:c r="G198" s="111"/>
      <x:c r="H198" s="111"/>
      <x:c r="I198" s="111"/>
      <x:c r="J198" s="111"/>
      <x:c r="K198" s="111"/>
      <x:c r="L198" s="111"/>
      <x:c r="M198" s="111"/>
      <x:c r="N198" s="111"/>
      <x:c r="O198" s="111"/>
      <x:c r="P198" s="111"/>
      <x:c r="Q198" s="111"/>
      <x:c r="R198" s="111"/>
      <x:c r="S198" s="111"/>
      <x:c r="T198" s="111"/>
    </x:row>
    <x:row r="199">
      <x:c r="A199" s="111"/>
      <x:c r="B199" s="111"/>
      <x:c r="C199" s="111"/>
      <x:c r="D199" s="111"/>
      <x:c r="E199" s="111"/>
      <x:c r="F199" s="111"/>
      <x:c r="G199" s="111"/>
      <x:c r="H199" s="111"/>
      <x:c r="I199" s="111"/>
      <x:c r="J199" s="111"/>
      <x:c r="K199" s="111"/>
      <x:c r="L199" s="111"/>
      <x:c r="M199" s="111"/>
      <x:c r="N199" s="111"/>
      <x:c r="O199" s="111"/>
      <x:c r="P199" s="111"/>
      <x:c r="Q199" s="111"/>
      <x:c r="R199" s="111"/>
      <x:c r="S199" s="111"/>
      <x:c r="T199" s="111"/>
    </x:row>
    <x:row r="200">
      <x:c r="A200" s="111"/>
      <x:c r="B200" s="111"/>
      <x:c r="C200" s="111"/>
      <x:c r="D200" s="111"/>
      <x:c r="E200" s="111"/>
      <x:c r="F200" s="111"/>
      <x:c r="G200" s="111"/>
      <x:c r="H200" s="111"/>
      <x:c r="I200" s="111"/>
      <x:c r="J200" s="111"/>
      <x:c r="K200" s="111"/>
      <x:c r="L200" s="111"/>
      <x:c r="M200" s="111"/>
      <x:c r="N200" s="111"/>
      <x:c r="O200" s="111"/>
      <x:c r="P200" s="111"/>
      <x:c r="Q200" s="111"/>
      <x:c r="R200" s="111"/>
      <x:c r="S200" s="111"/>
      <x:c r="T200" s="111"/>
    </x:row>
    <x:row r="201">
      <x:c r="A201" s="111"/>
      <x:c r="B201" s="111"/>
      <x:c r="C201" s="111"/>
      <x:c r="D201" s="111"/>
      <x:c r="E201" s="111"/>
      <x:c r="F201" s="111"/>
      <x:c r="G201" s="111"/>
      <x:c r="H201" s="111"/>
      <x:c r="I201" s="111"/>
      <x:c r="J201" s="111"/>
      <x:c r="K201" s="111"/>
      <x:c r="L201" s="111"/>
      <x:c r="M201" s="111"/>
      <x:c r="N201" s="111"/>
      <x:c r="O201" s="111"/>
      <x:c r="P201" s="111"/>
      <x:c r="Q201" s="111"/>
      <x:c r="R201" s="111"/>
      <x:c r="S201" s="111"/>
      <x:c r="T201" s="111"/>
    </x:row>
    <x:row r="202">
      <x:c r="A202" s="111"/>
      <x:c r="B202" s="111"/>
      <x:c r="C202" s="111"/>
      <x:c r="D202" s="111"/>
      <x:c r="E202" s="111"/>
      <x:c r="F202" s="111"/>
      <x:c r="G202" s="111"/>
      <x:c r="H202" s="111"/>
      <x:c r="I202" s="111"/>
      <x:c r="J202" s="111"/>
      <x:c r="K202" s="111"/>
      <x:c r="L202" s="111"/>
      <x:c r="M202" s="111"/>
      <x:c r="N202" s="111"/>
      <x:c r="O202" s="111"/>
      <x:c r="P202" s="111"/>
      <x:c r="Q202" s="111"/>
      <x:c r="R202" s="111"/>
      <x:c r="S202" s="111"/>
      <x:c r="T202" s="111"/>
    </x:row>
    <x:row r="203">
      <x:c r="A203" s="111"/>
      <x:c r="B203" s="111"/>
      <x:c r="C203" s="111"/>
      <x:c r="D203" s="111"/>
      <x:c r="E203" s="111"/>
      <x:c r="F203" s="111"/>
      <x:c r="G203" s="111"/>
      <x:c r="H203" s="111"/>
      <x:c r="I203" s="111"/>
      <x:c r="J203" s="111"/>
      <x:c r="K203" s="111"/>
      <x:c r="L203" s="111"/>
      <x:c r="M203" s="111"/>
      <x:c r="N203" s="111"/>
      <x:c r="O203" s="111"/>
      <x:c r="P203" s="111"/>
      <x:c r="Q203" s="111"/>
      <x:c r="R203" s="111"/>
      <x:c r="S203" s="111"/>
      <x:c r="T203" s="111"/>
    </x:row>
    <x:row r="204">
      <x:c r="A204" s="111"/>
      <x:c r="B204" s="111"/>
      <x:c r="C204" s="111"/>
      <x:c r="D204" s="111"/>
      <x:c r="E204" s="111"/>
      <x:c r="F204" s="111"/>
      <x:c r="G204" s="111"/>
      <x:c r="H204" s="111"/>
      <x:c r="I204" s="111"/>
      <x:c r="J204" s="111"/>
      <x:c r="K204" s="111"/>
      <x:c r="L204" s="111"/>
      <x:c r="M204" s="111"/>
      <x:c r="N204" s="111"/>
      <x:c r="O204" s="111"/>
      <x:c r="P204" s="111"/>
      <x:c r="Q204" s="111"/>
      <x:c r="R204" s="111"/>
      <x:c r="S204" s="111"/>
      <x:c r="T204" s="111"/>
    </x:row>
    <x:row r="205">
      <x:c r="A205" s="111"/>
      <x:c r="B205" s="111"/>
      <x:c r="C205" s="111"/>
      <x:c r="D205" s="111"/>
      <x:c r="E205" s="111"/>
      <x:c r="F205" s="111"/>
      <x:c r="G205" s="111"/>
      <x:c r="H205" s="111"/>
      <x:c r="I205" s="111"/>
      <x:c r="J205" s="111"/>
      <x:c r="K205" s="111"/>
      <x:c r="L205" s="111"/>
      <x:c r="M205" s="111"/>
      <x:c r="N205" s="111"/>
      <x:c r="O205" s="111"/>
      <x:c r="P205" s="111"/>
      <x:c r="Q205" s="111"/>
      <x:c r="R205" s="111"/>
      <x:c r="S205" s="111"/>
      <x:c r="T205" s="111"/>
    </x:row>
  </x:sheetData>
  <x:conditionalFormatting sqref="S6:S105">
    <x:cfRule type="expression" dxfId="0" priority="1">
      <x:formula>AND(ISNUMBER(S6),S6&gt;0)</x:formula>
    </x:cfRule>
  </x:conditionalFormatting>
  <x:dataValidations count="7">
    <x:dataValidation type="list" sqref="B6:B105">
      <x:formula1>CoachChoices</x:formula1>
    </x:dataValidation>
    <x:dataValidation type="list" sqref="D6:D105">
      <x:formula1>RouteChoices</x:formula1>
    </x:dataValidation>
    <x:dataValidation type="list" sqref="F6:F105">
      <x:formula1>BusChoices</x:formula1>
    </x:dataValidation>
    <x:dataValidation type="list" sqref="G6:G105">
      <x:formula1>DriverChoices</x:formula1>
    </x:dataValidation>
    <x:dataValidation type="list" sqref="I6:I105">
      <x:formula1>GuideChoices</x:formula1>
    </x:dataValidation>
    <x:dataValidation type="list" sqref="K6:K105">
      <x:formula1>ConductorChoices</x:formula1>
    </x:dataValidation>
    <x:dataValidation type="list" sqref="E6:E105">
      <x:formula1>"Going,Return"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6e73c4acd84ee4"/>
  </x:tableParts>
</x:worksheet>
</file>

<file path=xl/worksheets/sheet3.xml><?xml version="1.0" encoding="utf-8"?>
<x:worksheet xmlns:x="http://schemas.openxmlformats.org/spreadsheetml/2006/main">
  <x:sheetPr>
    <x:tabColor rgb="FF59646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3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28" customHeight="1">
      <x:c r="A1" s="90"/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</x:row>
    <x:row r="2" ht="28" customHeight="1">
      <x:c r="A2" s="112" t="str">
        <x:v>Collections</x:v>
      </x:c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  <x:c r="M2" s="90"/>
      <x:c r="N2" s="90"/>
    </x:row>
    <x:row r="3" ht="28" customHeight="1">
      <x:c r="A3" s="90" t="str">
        <x:v>Enter records in yellow cells.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  <x:c r="M3" s="90"/>
      <x:c r="N3" s="90"/>
    </x:row>
    <x:row r="4" ht="28" customHeight="1">
      <x:c r="A4" s="90"/>
      <x:c r="B4" s="90"/>
      <x:c r="C4" s="90"/>
      <x:c r="D4" s="90"/>
      <x:c r="E4" s="90"/>
      <x:c r="F4" s="90"/>
      <x:c r="G4" s="90"/>
      <x:c r="H4" s="90"/>
      <x:c r="I4" s="90"/>
      <x:c r="J4" s="90"/>
      <x:c r="K4" s="90"/>
      <x:c r="L4" s="90"/>
      <x:c r="M4" s="90"/>
      <x:c r="N4" s="90"/>
    </x:row>
    <x:row r="5" ht="60" customHeight="1">
      <x:c r="A5" s="96" t="str">
        <x:v>Date</x:v>
      </x:c>
      <x:c r="B5" s="96" t="str">
        <x:v>Coach number</x:v>
      </x:c>
      <x:c r="C5" s="96" t="str">
        <x:v>Route</x:v>
      </x:c>
      <x:c r="D5" s="96" t="str">
        <x:v>Trip number</x:v>
      </x:c>
      <x:c r="E5" s="96" t="str">
        <x:v>Counter</x:v>
      </x:c>
      <x:c r="F5" s="96" t="str">
        <x:v>Counter type</x:v>
      </x:c>
      <x:c r="G5" s="96" t="str">
        <x:v>Tickets sold</x:v>
      </x:c>
      <x:c r="H5" s="96" t="str">
        <x:v>Fare / ticket</x:v>
      </x:c>
      <x:c r="I5" s="96" t="str">
        <x:v>Commission / ticket</x:v>
      </x:c>
      <x:c r="J5" s="96" t="str">
        <x:v>Total fare</x:v>
      </x:c>
      <x:c r="K5" s="96" t="str">
        <x:v>Total commission</x:v>
      </x:c>
      <x:c r="L5" s="96" t="str">
        <x:v>Total income</x:v>
      </x:c>
      <x:c r="M5" s="96" t="str">
        <x:v>Total deposits</x:v>
      </x:c>
      <x:c r="N5" s="96" t="str">
        <x:v>Counter outstanding</x:v>
      </x:c>
    </x:row>
    <x:row r="6" ht="28" customHeight="1">
      <x:c r="A6" s="113" t="str">
        <x:f>IF(D6="","",IF(COUNTIFS(Trips!$A$6:$A$105,D6)=1,INDEX(Trips!$C$6:$C$105,MATCH(D6,Trips!$A$6:$A$105,0)),""))</x:f>
      </x:c>
      <x:c r="B6" s="90" t="str">
        <x:f>IF(D6="","",IF(COUNTIFS(Trips!$A$6:$A$105,D6)=1,INDEX(Trips!$B$6:$B$105,MATCH(D6,Trips!$A$6:$A$105,0)),""))</x:f>
      </x:c>
      <x:c r="C6" s="90" t="str">
        <x:f>IF(D6="","",IF(COUNTIFS(Trips!$A$6:$A$105,D6)=1,INDEX(Trips!$D$6:$D$105,MATCH(D6,Trips!$A$6:$A$105,0)),""))</x:f>
      </x:c>
      <x:c r="D6" s="107" t="str">
        <x:f>IF(Trips!B6="","",Trips!A6)</x:f>
      </x:c>
      <x:c r="E6" s="107"/>
      <x:c r="F6" s="90" t="str">
        <x:f>IF(E6="","",IF(COUNTIFS(Counters!$A$6:$A$105,E6)=1,INDEX(Counters!$B$6:$B$105,MATCH(E6,Counters!$A$6:$A$105,0)),""))</x:f>
      </x:c>
      <x:c r="G6" s="107"/>
      <x:c r="H6" s="98" t="str">
        <x:f>IF(C6="","",IF(COUNTIFS('Route List'!$F$6:$F$205,C6)=1,IF(COUNTIFS('Route List'!$F$6:$F$205,C6,'Route List'!$G$6:$G$205,"&lt;&gt;")=1,INDEX('Route List'!$G$6:$G$205,MATCH(C6,'Route List'!$F$6:$F$205,0)),"Enter route fare"),"Enter route fare"))</x:f>
      </x:c>
      <x:c r="I6" s="98" t="str">
        <x:f>IF(F6="","",IF(F6="Own",0,50))</x:f>
      </x:c>
      <x:c r="J6" s="98" t="str">
        <x:f>IF(OR(D6="",E6=""),"",IF(AND(ISNUMBER(G6),ISNUMBER(H6)),ROUND(G6*H6,2),""))</x:f>
      </x:c>
      <x:c r="K6" s="98" t="str">
        <x:f>IF(OR(D6="",E6=""),"",IF(AND(ISNUMBER(G6),ISNUMBER(I6)),ROUND(G6*I6,2),""))</x:f>
      </x:c>
      <x:c r="L6" s="98" t="str">
        <x:f>IF(OR(D6="",E6=""),"",IF(AND(ISNUMBER(J6),ISNUMBER(K6)),J6-K6,""))</x:f>
      </x:c>
      <x:c r="M6" s="114"/>
      <x:c r="N6" s="98" t="str">
        <x:f>IF(OR(D6="",E6=""),"",IF(COUNTIFS($D$6:D6,D6,$E$6:E6,E6)=1,MAX(SUMIFS($L$6:$L$505,$D$6:$D$505,D6,$E$6:$E$505,E6)-SUMIFS($M$6:$M$505,$D$6:$D$505,D6,$E$6:$E$505,E6),0),""))</x:f>
      </x:c>
    </x:row>
    <x:row r="7" ht="28" customHeight="1">
      <x:c r="A7" s="113" t="str">
        <x:f>IF(D7="","",IF(COUNTIFS(Trips!$A$6:$A$105,D7)=1,INDEX(Trips!$C$6:$C$105,MATCH(D7,Trips!$A$6:$A$105,0)),""))</x:f>
      </x:c>
      <x:c r="B7" s="90" t="str">
        <x:f>IF(D7="","",IF(COUNTIFS(Trips!$A$6:$A$105,D7)=1,INDEX(Trips!$B$6:$B$105,MATCH(D7,Trips!$A$6:$A$105,0)),""))</x:f>
      </x:c>
      <x:c r="C7" s="90" t="str">
        <x:f>IF(D7="","",IF(COUNTIFS(Trips!$A$6:$A$105,D7)=1,INDEX(Trips!$D$6:$D$105,MATCH(D7,Trips!$A$6:$A$105,0)),""))</x:f>
      </x:c>
      <x:c r="D7" s="107" t="str">
        <x:f>IF(Trips!B7="","",Trips!A7)</x:f>
      </x:c>
      <x:c r="E7" s="107"/>
      <x:c r="F7" s="90" t="str">
        <x:f>IF(E7="","",IF(COUNTIFS(Counters!$A$6:$A$105,E7)=1,INDEX(Counters!$B$6:$B$105,MATCH(E7,Counters!$A$6:$A$105,0)),""))</x:f>
      </x:c>
      <x:c r="G7" s="107"/>
      <x:c r="H7" s="98" t="str">
        <x:f>IF(C7="","",IF(COUNTIFS('Route List'!$F$6:$F$205,C7)=1,IF(COUNTIFS('Route List'!$F$6:$F$205,C7,'Route List'!$G$6:$G$205,"&lt;&gt;")=1,INDEX('Route List'!$G$6:$G$205,MATCH(C7,'Route List'!$F$6:$F$205,0)),"Enter route fare"),"Enter route fare"))</x:f>
      </x:c>
      <x:c r="I7" s="98" t="str">
        <x:f>IF(F7="","",IF(F7="Own",0,50))</x:f>
      </x:c>
      <x:c r="J7" s="98" t="str">
        <x:f>IF(OR(D7="",E7=""),"",IF(AND(ISNUMBER(G7),ISNUMBER(H7)),ROUND(G7*H7,2),""))</x:f>
      </x:c>
      <x:c r="K7" s="98" t="str">
        <x:f>IF(OR(D7="",E7=""),"",IF(AND(ISNUMBER(G7),ISNUMBER(I7)),ROUND(G7*I7,2),""))</x:f>
      </x:c>
      <x:c r="L7" s="98" t="str">
        <x:f>IF(OR(D7="",E7=""),"",IF(AND(ISNUMBER(J7),ISNUMBER(K7)),J7-K7,""))</x:f>
      </x:c>
      <x:c r="M7" s="114"/>
      <x:c r="N7" s="98" t="str">
        <x:f>IF(OR(D7="",E7=""),"",IF(COUNTIFS($D$6:D7,D7,$E$6:E7,E7)=1,MAX(SUMIFS($L$6:$L$505,$D$6:$D$505,D7,$E$6:$E$505,E7)-SUMIFS($M$6:$M$505,$D$6:$D$505,D7,$E$6:$E$505,E7),0),""))</x:f>
      </x:c>
    </x:row>
    <x:row r="8" ht="28" customHeight="1">
      <x:c r="A8" s="113" t="str">
        <x:f>IF(D8="","",IF(COUNTIFS(Trips!$A$6:$A$105,D8)=1,INDEX(Trips!$C$6:$C$105,MATCH(D8,Trips!$A$6:$A$105,0)),""))</x:f>
      </x:c>
      <x:c r="B8" s="90" t="str">
        <x:f>IF(D8="","",IF(COUNTIFS(Trips!$A$6:$A$105,D8)=1,INDEX(Trips!$B$6:$B$105,MATCH(D8,Trips!$A$6:$A$105,0)),""))</x:f>
      </x:c>
      <x:c r="C8" s="90" t="str">
        <x:f>IF(D8="","",IF(COUNTIFS(Trips!$A$6:$A$105,D8)=1,INDEX(Trips!$D$6:$D$105,MATCH(D8,Trips!$A$6:$A$105,0)),""))</x:f>
      </x:c>
      <x:c r="D8" s="107" t="str">
        <x:f>IF(Trips!B8="","",Trips!A8)</x:f>
      </x:c>
      <x:c r="E8" s="107"/>
      <x:c r="F8" s="90" t="str">
        <x:f>IF(E8="","",IF(COUNTIFS(Counters!$A$6:$A$105,E8)=1,INDEX(Counters!$B$6:$B$105,MATCH(E8,Counters!$A$6:$A$105,0)),""))</x:f>
      </x:c>
      <x:c r="G8" s="107"/>
      <x:c r="H8" s="98" t="str">
        <x:f>IF(C8="","",IF(COUNTIFS('Route List'!$F$6:$F$205,C8)=1,IF(COUNTIFS('Route List'!$F$6:$F$205,C8,'Route List'!$G$6:$G$205,"&lt;&gt;")=1,INDEX('Route List'!$G$6:$G$205,MATCH(C8,'Route List'!$F$6:$F$205,0)),"Enter route fare"),"Enter route fare"))</x:f>
      </x:c>
      <x:c r="I8" s="98" t="str">
        <x:f>IF(F8="","",IF(F8="Own",0,50))</x:f>
      </x:c>
      <x:c r="J8" s="98" t="str">
        <x:f>IF(OR(D8="",E8=""),"",IF(AND(ISNUMBER(G8),ISNUMBER(H8)),ROUND(G8*H8,2),""))</x:f>
      </x:c>
      <x:c r="K8" s="98" t="str">
        <x:f>IF(OR(D8="",E8=""),"",IF(AND(ISNUMBER(G8),ISNUMBER(I8)),ROUND(G8*I8,2),""))</x:f>
      </x:c>
      <x:c r="L8" s="98" t="str">
        <x:f>IF(OR(D8="",E8=""),"",IF(AND(ISNUMBER(J8),ISNUMBER(K8)),J8-K8,""))</x:f>
      </x:c>
      <x:c r="M8" s="114"/>
      <x:c r="N8" s="98" t="str">
        <x:f>IF(OR(D8="",E8=""),"",IF(COUNTIFS($D$6:D8,D8,$E$6:E8,E8)=1,MAX(SUMIFS($L$6:$L$505,$D$6:$D$505,D8,$E$6:$E$505,E8)-SUMIFS($M$6:$M$505,$D$6:$D$505,D8,$E$6:$E$505,E8),0),""))</x:f>
      </x:c>
    </x:row>
    <x:row r="9" ht="28" customHeight="1">
      <x:c r="A9" s="113" t="str">
        <x:f>IF(D9="","",IF(COUNTIFS(Trips!$A$6:$A$105,D9)=1,INDEX(Trips!$C$6:$C$105,MATCH(D9,Trips!$A$6:$A$105,0)),""))</x:f>
      </x:c>
      <x:c r="B9" s="90" t="str">
        <x:f>IF(D9="","",IF(COUNTIFS(Trips!$A$6:$A$105,D9)=1,INDEX(Trips!$B$6:$B$105,MATCH(D9,Trips!$A$6:$A$105,0)),""))</x:f>
      </x:c>
      <x:c r="C9" s="90" t="str">
        <x:f>IF(D9="","",IF(COUNTIFS(Trips!$A$6:$A$105,D9)=1,INDEX(Trips!$D$6:$D$105,MATCH(D9,Trips!$A$6:$A$105,0)),""))</x:f>
      </x:c>
      <x:c r="D9" s="107" t="str">
        <x:f>IF(Trips!B9="","",Trips!A9)</x:f>
      </x:c>
      <x:c r="E9" s="107"/>
      <x:c r="F9" s="90" t="str">
        <x:f>IF(E9="","",IF(COUNTIFS(Counters!$A$6:$A$105,E9)=1,INDEX(Counters!$B$6:$B$105,MATCH(E9,Counters!$A$6:$A$105,0)),""))</x:f>
      </x:c>
      <x:c r="G9" s="107"/>
      <x:c r="H9" s="98" t="str">
        <x:f>IF(C9="","",IF(COUNTIFS('Route List'!$F$6:$F$205,C9)=1,IF(COUNTIFS('Route List'!$F$6:$F$205,C9,'Route List'!$G$6:$G$205,"&lt;&gt;")=1,INDEX('Route List'!$G$6:$G$205,MATCH(C9,'Route List'!$F$6:$F$205,0)),"Enter route fare"),"Enter route fare"))</x:f>
      </x:c>
      <x:c r="I9" s="98" t="str">
        <x:f>IF(F9="","",IF(F9="Own",0,50))</x:f>
      </x:c>
      <x:c r="J9" s="98" t="str">
        <x:f>IF(OR(D9="",E9=""),"",IF(AND(ISNUMBER(G9),ISNUMBER(H9)),ROUND(G9*H9,2),""))</x:f>
      </x:c>
      <x:c r="K9" s="98" t="str">
        <x:f>IF(OR(D9="",E9=""),"",IF(AND(ISNUMBER(G9),ISNUMBER(I9)),ROUND(G9*I9,2),""))</x:f>
      </x:c>
      <x:c r="L9" s="98" t="str">
        <x:f>IF(OR(D9="",E9=""),"",IF(AND(ISNUMBER(J9),ISNUMBER(K9)),J9-K9,""))</x:f>
      </x:c>
      <x:c r="M9" s="114"/>
      <x:c r="N9" s="98" t="str">
        <x:f>IF(OR(D9="",E9=""),"",IF(COUNTIFS($D$6:D9,D9,$E$6:E9,E9)=1,MAX(SUMIFS($L$6:$L$505,$D$6:$D$505,D9,$E$6:$E$505,E9)-SUMIFS($M$6:$M$505,$D$6:$D$505,D9,$E$6:$E$505,E9),0),""))</x:f>
      </x:c>
    </x:row>
    <x:row r="10" ht="28" customHeight="1">
      <x:c r="A10" s="113" t="str">
        <x:f>IF(D10="","",IF(COUNTIFS(Trips!$A$6:$A$105,D10)=1,INDEX(Trips!$C$6:$C$105,MATCH(D10,Trips!$A$6:$A$105,0)),""))</x:f>
      </x:c>
      <x:c r="B10" s="90" t="str">
        <x:f>IF(D10="","",IF(COUNTIFS(Trips!$A$6:$A$105,D10)=1,INDEX(Trips!$B$6:$B$105,MATCH(D10,Trips!$A$6:$A$105,0)),""))</x:f>
      </x:c>
      <x:c r="C10" s="90" t="str">
        <x:f>IF(D10="","",IF(COUNTIFS(Trips!$A$6:$A$105,D10)=1,INDEX(Trips!$D$6:$D$105,MATCH(D10,Trips!$A$6:$A$105,0)),""))</x:f>
      </x:c>
      <x:c r="D10" s="107" t="str">
        <x:f>IF(Trips!B10="","",Trips!A10)</x:f>
      </x:c>
      <x:c r="E10" s="107"/>
      <x:c r="F10" s="90" t="str">
        <x:f>IF(E10="","",IF(COUNTIFS(Counters!$A$6:$A$105,E10)=1,INDEX(Counters!$B$6:$B$105,MATCH(E10,Counters!$A$6:$A$105,0)),""))</x:f>
      </x:c>
      <x:c r="G10" s="107"/>
      <x:c r="H10" s="98" t="str">
        <x:f>IF(C10="","",IF(COUNTIFS('Route List'!$F$6:$F$205,C10)=1,IF(COUNTIFS('Route List'!$F$6:$F$205,C10,'Route List'!$G$6:$G$205,"&lt;&gt;")=1,INDEX('Route List'!$G$6:$G$205,MATCH(C10,'Route List'!$F$6:$F$205,0)),"Enter route fare"),"Enter route fare"))</x:f>
      </x:c>
      <x:c r="I10" s="98" t="str">
        <x:f>IF(F10="","",IF(F10="Own",0,50))</x:f>
      </x:c>
      <x:c r="J10" s="98" t="str">
        <x:f>IF(OR(D10="",E10=""),"",IF(AND(ISNUMBER(G10),ISNUMBER(H10)),ROUND(G10*H10,2),""))</x:f>
      </x:c>
      <x:c r="K10" s="98" t="str">
        <x:f>IF(OR(D10="",E10=""),"",IF(AND(ISNUMBER(G10),ISNUMBER(I10)),ROUND(G10*I10,2),""))</x:f>
      </x:c>
      <x:c r="L10" s="98" t="str">
        <x:f>IF(OR(D10="",E10=""),"",IF(AND(ISNUMBER(J10),ISNUMBER(K10)),J10-K10,""))</x:f>
      </x:c>
      <x:c r="M10" s="114"/>
      <x:c r="N10" s="98" t="str">
        <x:f>IF(OR(D10="",E10=""),"",IF(COUNTIFS($D$6:D10,D10,$E$6:E10,E10)=1,MAX(SUMIFS($L$6:$L$505,$D$6:$D$505,D10,$E$6:$E$505,E10)-SUMIFS($M$6:$M$505,$D$6:$D$505,D10,$E$6:$E$505,E10),0),""))</x:f>
      </x:c>
    </x:row>
    <x:row r="11" ht="28" customHeight="1">
      <x:c r="A11" s="113" t="str">
        <x:f>IF(D11="","",IF(COUNTIFS(Trips!$A$6:$A$105,D11)=1,INDEX(Trips!$C$6:$C$105,MATCH(D11,Trips!$A$6:$A$105,0)),""))</x:f>
      </x:c>
      <x:c r="B11" s="90" t="str">
        <x:f>IF(D11="","",IF(COUNTIFS(Trips!$A$6:$A$105,D11)=1,INDEX(Trips!$B$6:$B$105,MATCH(D11,Trips!$A$6:$A$105,0)),""))</x:f>
      </x:c>
      <x:c r="C11" s="90" t="str">
        <x:f>IF(D11="","",IF(COUNTIFS(Trips!$A$6:$A$105,D11)=1,INDEX(Trips!$D$6:$D$105,MATCH(D11,Trips!$A$6:$A$105,0)),""))</x:f>
      </x:c>
      <x:c r="D11" s="107" t="str">
        <x:f>IF(Trips!B11="","",Trips!A11)</x:f>
      </x:c>
      <x:c r="E11" s="107"/>
      <x:c r="F11" s="90" t="str">
        <x:f>IF(E11="","",IF(COUNTIFS(Counters!$A$6:$A$105,E11)=1,INDEX(Counters!$B$6:$B$105,MATCH(E11,Counters!$A$6:$A$105,0)),""))</x:f>
      </x:c>
      <x:c r="G11" s="107"/>
      <x:c r="H11" s="98" t="str">
        <x:f>IF(C11="","",IF(COUNTIFS('Route List'!$F$6:$F$205,C11)=1,IF(COUNTIFS('Route List'!$F$6:$F$205,C11,'Route List'!$G$6:$G$205,"&lt;&gt;")=1,INDEX('Route List'!$G$6:$G$205,MATCH(C11,'Route List'!$F$6:$F$205,0)),"Enter route fare"),"Enter route fare"))</x:f>
      </x:c>
      <x:c r="I11" s="98" t="str">
        <x:f>IF(F11="","",IF(F11="Own",0,50))</x:f>
      </x:c>
      <x:c r="J11" s="98" t="str">
        <x:f>IF(OR(D11="",E11=""),"",IF(AND(ISNUMBER(G11),ISNUMBER(H11)),ROUND(G11*H11,2),""))</x:f>
      </x:c>
      <x:c r="K11" s="98" t="str">
        <x:f>IF(OR(D11="",E11=""),"",IF(AND(ISNUMBER(G11),ISNUMBER(I11)),ROUND(G11*I11,2),""))</x:f>
      </x:c>
      <x:c r="L11" s="98" t="str">
        <x:f>IF(OR(D11="",E11=""),"",IF(AND(ISNUMBER(J11),ISNUMBER(K11)),J11-K11,""))</x:f>
      </x:c>
      <x:c r="M11" s="114"/>
      <x:c r="N11" s="98" t="str">
        <x:f>IF(OR(D11="",E11=""),"",IF(COUNTIFS($D$6:D11,D11,$E$6:E11,E11)=1,MAX(SUMIFS($L$6:$L$505,$D$6:$D$505,D11,$E$6:$E$505,E11)-SUMIFS($M$6:$M$505,$D$6:$D$505,D11,$E$6:$E$505,E11),0),""))</x:f>
      </x:c>
    </x:row>
    <x:row r="12" ht="28" customHeight="1">
      <x:c r="A12" s="113" t="str">
        <x:f>IF(D12="","",IF(COUNTIFS(Trips!$A$6:$A$105,D12)=1,INDEX(Trips!$C$6:$C$105,MATCH(D12,Trips!$A$6:$A$105,0)),""))</x:f>
      </x:c>
      <x:c r="B12" s="90" t="str">
        <x:f>IF(D12="","",IF(COUNTIFS(Trips!$A$6:$A$105,D12)=1,INDEX(Trips!$B$6:$B$105,MATCH(D12,Trips!$A$6:$A$105,0)),""))</x:f>
      </x:c>
      <x:c r="C12" s="90" t="str">
        <x:f>IF(D12="","",IF(COUNTIFS(Trips!$A$6:$A$105,D12)=1,INDEX(Trips!$D$6:$D$105,MATCH(D12,Trips!$A$6:$A$105,0)),""))</x:f>
      </x:c>
      <x:c r="D12" s="107" t="str">
        <x:f>IF(Trips!B12="","",Trips!A12)</x:f>
      </x:c>
      <x:c r="E12" s="107"/>
      <x:c r="F12" s="90" t="str">
        <x:f>IF(E12="","",IF(COUNTIFS(Counters!$A$6:$A$105,E12)=1,INDEX(Counters!$B$6:$B$105,MATCH(E12,Counters!$A$6:$A$105,0)),""))</x:f>
      </x:c>
      <x:c r="G12" s="107"/>
      <x:c r="H12" s="98" t="str">
        <x:f>IF(C12="","",IF(COUNTIFS('Route List'!$F$6:$F$205,C12)=1,IF(COUNTIFS('Route List'!$F$6:$F$205,C12,'Route List'!$G$6:$G$205,"&lt;&gt;")=1,INDEX('Route List'!$G$6:$G$205,MATCH(C12,'Route List'!$F$6:$F$205,0)),"Enter route fare"),"Enter route fare"))</x:f>
      </x:c>
      <x:c r="I12" s="98" t="str">
        <x:f>IF(F12="","",IF(F12="Own",0,50))</x:f>
      </x:c>
      <x:c r="J12" s="98" t="str">
        <x:f>IF(OR(D12="",E12=""),"",IF(AND(ISNUMBER(G12),ISNUMBER(H12)),ROUND(G12*H12,2),""))</x:f>
      </x:c>
      <x:c r="K12" s="98" t="str">
        <x:f>IF(OR(D12="",E12=""),"",IF(AND(ISNUMBER(G12),ISNUMBER(I12)),ROUND(G12*I12,2),""))</x:f>
      </x:c>
      <x:c r="L12" s="98" t="str">
        <x:f>IF(OR(D12="",E12=""),"",IF(AND(ISNUMBER(J12),ISNUMBER(K12)),J12-K12,""))</x:f>
      </x:c>
      <x:c r="M12" s="114"/>
      <x:c r="N12" s="98" t="str">
        <x:f>IF(OR(D12="",E12=""),"",IF(COUNTIFS($D$6:D12,D12,$E$6:E12,E12)=1,MAX(SUMIFS($L$6:$L$505,$D$6:$D$505,D12,$E$6:$E$505,E12)-SUMIFS($M$6:$M$505,$D$6:$D$505,D12,$E$6:$E$505,E12),0),""))</x:f>
      </x:c>
    </x:row>
    <x:row r="13" ht="28" customHeight="1">
      <x:c r="A13" s="113" t="str">
        <x:f>IF(D13="","",IF(COUNTIFS(Trips!$A$6:$A$105,D13)=1,INDEX(Trips!$C$6:$C$105,MATCH(D13,Trips!$A$6:$A$105,0)),""))</x:f>
      </x:c>
      <x:c r="B13" s="90" t="str">
        <x:f>IF(D13="","",IF(COUNTIFS(Trips!$A$6:$A$105,D13)=1,INDEX(Trips!$B$6:$B$105,MATCH(D13,Trips!$A$6:$A$105,0)),""))</x:f>
      </x:c>
      <x:c r="C13" s="90" t="str">
        <x:f>IF(D13="","",IF(COUNTIFS(Trips!$A$6:$A$105,D13)=1,INDEX(Trips!$D$6:$D$105,MATCH(D13,Trips!$A$6:$A$105,0)),""))</x:f>
      </x:c>
      <x:c r="D13" s="107" t="str">
        <x:f>IF(Trips!B13="","",Trips!A13)</x:f>
      </x:c>
      <x:c r="E13" s="107"/>
      <x:c r="F13" s="90" t="str">
        <x:f>IF(E13="","",IF(COUNTIFS(Counters!$A$6:$A$105,E13)=1,INDEX(Counters!$B$6:$B$105,MATCH(E13,Counters!$A$6:$A$105,0)),""))</x:f>
      </x:c>
      <x:c r="G13" s="107"/>
      <x:c r="H13" s="98" t="str">
        <x:f>IF(C13="","",IF(COUNTIFS('Route List'!$F$6:$F$205,C13)=1,IF(COUNTIFS('Route List'!$F$6:$F$205,C13,'Route List'!$G$6:$G$205,"&lt;&gt;")=1,INDEX('Route List'!$G$6:$G$205,MATCH(C13,'Route List'!$F$6:$F$205,0)),"Enter route fare"),"Enter route fare"))</x:f>
      </x:c>
      <x:c r="I13" s="98" t="str">
        <x:f>IF(F13="","",IF(F13="Own",0,50))</x:f>
      </x:c>
      <x:c r="J13" s="98" t="str">
        <x:f>IF(OR(D13="",E13=""),"",IF(AND(ISNUMBER(G13),ISNUMBER(H13)),ROUND(G13*H13,2),""))</x:f>
      </x:c>
      <x:c r="K13" s="98" t="str">
        <x:f>IF(OR(D13="",E13=""),"",IF(AND(ISNUMBER(G13),ISNUMBER(I13)),ROUND(G13*I13,2),""))</x:f>
      </x:c>
      <x:c r="L13" s="98" t="str">
        <x:f>IF(OR(D13="",E13=""),"",IF(AND(ISNUMBER(J13),ISNUMBER(K13)),J13-K13,""))</x:f>
      </x:c>
      <x:c r="M13" s="114"/>
      <x:c r="N13" s="98" t="str">
        <x:f>IF(OR(D13="",E13=""),"",IF(COUNTIFS($D$6:D13,D13,$E$6:E13,E13)=1,MAX(SUMIFS($L$6:$L$505,$D$6:$D$505,D13,$E$6:$E$505,E13)-SUMIFS($M$6:$M$505,$D$6:$D$505,D13,$E$6:$E$505,E13),0),""))</x:f>
      </x:c>
    </x:row>
    <x:row r="14" ht="28" customHeight="1">
      <x:c r="A14" s="113" t="str">
        <x:f>IF(D14="","",IF(COUNTIFS(Trips!$A$6:$A$105,D14)=1,INDEX(Trips!$C$6:$C$105,MATCH(D14,Trips!$A$6:$A$105,0)),""))</x:f>
      </x:c>
      <x:c r="B14" s="90" t="str">
        <x:f>IF(D14="","",IF(COUNTIFS(Trips!$A$6:$A$105,D14)=1,INDEX(Trips!$B$6:$B$105,MATCH(D14,Trips!$A$6:$A$105,0)),""))</x:f>
      </x:c>
      <x:c r="C14" s="90" t="str">
        <x:f>IF(D14="","",IF(COUNTIFS(Trips!$A$6:$A$105,D14)=1,INDEX(Trips!$D$6:$D$105,MATCH(D14,Trips!$A$6:$A$105,0)),""))</x:f>
      </x:c>
      <x:c r="D14" s="107" t="str">
        <x:f>IF(Trips!B14="","",Trips!A14)</x:f>
      </x:c>
      <x:c r="E14" s="107"/>
      <x:c r="F14" s="90" t="str">
        <x:f>IF(E14="","",IF(COUNTIFS(Counters!$A$6:$A$105,E14)=1,INDEX(Counters!$B$6:$B$105,MATCH(E14,Counters!$A$6:$A$105,0)),""))</x:f>
      </x:c>
      <x:c r="G14" s="107"/>
      <x:c r="H14" s="98" t="str">
        <x:f>IF(C14="","",IF(COUNTIFS('Route List'!$F$6:$F$205,C14)=1,IF(COUNTIFS('Route List'!$F$6:$F$205,C14,'Route List'!$G$6:$G$205,"&lt;&gt;")=1,INDEX('Route List'!$G$6:$G$205,MATCH(C14,'Route List'!$F$6:$F$205,0)),"Enter route fare"),"Enter route fare"))</x:f>
      </x:c>
      <x:c r="I14" s="98" t="str">
        <x:f>IF(F14="","",IF(F14="Own",0,50))</x:f>
      </x:c>
      <x:c r="J14" s="98" t="str">
        <x:f>IF(OR(D14="",E14=""),"",IF(AND(ISNUMBER(G14),ISNUMBER(H14)),ROUND(G14*H14,2),""))</x:f>
      </x:c>
      <x:c r="K14" s="98" t="str">
        <x:f>IF(OR(D14="",E14=""),"",IF(AND(ISNUMBER(G14),ISNUMBER(I14)),ROUND(G14*I14,2),""))</x:f>
      </x:c>
      <x:c r="L14" s="98" t="str">
        <x:f>IF(OR(D14="",E14=""),"",IF(AND(ISNUMBER(J14),ISNUMBER(K14)),J14-K14,""))</x:f>
      </x:c>
      <x:c r="M14" s="114"/>
      <x:c r="N14" s="98" t="str">
        <x:f>IF(OR(D14="",E14=""),"",IF(COUNTIFS($D$6:D14,D14,$E$6:E14,E14)=1,MAX(SUMIFS($L$6:$L$505,$D$6:$D$505,D14,$E$6:$E$505,E14)-SUMIFS($M$6:$M$505,$D$6:$D$505,D14,$E$6:$E$505,E14),0),""))</x:f>
      </x:c>
    </x:row>
    <x:row r="15" ht="28" customHeight="1">
      <x:c r="A15" s="113" t="str">
        <x:f>IF(D15="","",IF(COUNTIFS(Trips!$A$6:$A$105,D15)=1,INDEX(Trips!$C$6:$C$105,MATCH(D15,Trips!$A$6:$A$105,0)),""))</x:f>
      </x:c>
      <x:c r="B15" s="90" t="str">
        <x:f>IF(D15="","",IF(COUNTIFS(Trips!$A$6:$A$105,D15)=1,INDEX(Trips!$B$6:$B$105,MATCH(D15,Trips!$A$6:$A$105,0)),""))</x:f>
      </x:c>
      <x:c r="C15" s="90" t="str">
        <x:f>IF(D15="","",IF(COUNTIFS(Trips!$A$6:$A$105,D15)=1,INDEX(Trips!$D$6:$D$105,MATCH(D15,Trips!$A$6:$A$105,0)),""))</x:f>
      </x:c>
      <x:c r="D15" s="107" t="str">
        <x:f>IF(Trips!B15="","",Trips!A15)</x:f>
      </x:c>
      <x:c r="E15" s="107"/>
      <x:c r="F15" s="90" t="str">
        <x:f>IF(E15="","",IF(COUNTIFS(Counters!$A$6:$A$105,E15)=1,INDEX(Counters!$B$6:$B$105,MATCH(E15,Counters!$A$6:$A$105,0)),""))</x:f>
      </x:c>
      <x:c r="G15" s="107"/>
      <x:c r="H15" s="98" t="str">
        <x:f>IF(C15="","",IF(COUNTIFS('Route List'!$F$6:$F$205,C15)=1,IF(COUNTIFS('Route List'!$F$6:$F$205,C15,'Route List'!$G$6:$G$205,"&lt;&gt;")=1,INDEX('Route List'!$G$6:$G$205,MATCH(C15,'Route List'!$F$6:$F$205,0)),"Enter route fare"),"Enter route fare"))</x:f>
      </x:c>
      <x:c r="I15" s="98" t="str">
        <x:f>IF(F15="","",IF(F15="Own",0,50))</x:f>
      </x:c>
      <x:c r="J15" s="98" t="str">
        <x:f>IF(OR(D15="",E15=""),"",IF(AND(ISNUMBER(G15),ISNUMBER(H15)),ROUND(G15*H15,2),""))</x:f>
      </x:c>
      <x:c r="K15" s="98" t="str">
        <x:f>IF(OR(D15="",E15=""),"",IF(AND(ISNUMBER(G15),ISNUMBER(I15)),ROUND(G15*I15,2),""))</x:f>
      </x:c>
      <x:c r="L15" s="98" t="str">
        <x:f>IF(OR(D15="",E15=""),"",IF(AND(ISNUMBER(J15),ISNUMBER(K15)),J15-K15,""))</x:f>
      </x:c>
      <x:c r="M15" s="114"/>
      <x:c r="N15" s="98" t="str">
        <x:f>IF(OR(D15="",E15=""),"",IF(COUNTIFS($D$6:D15,D15,$E$6:E15,E15)=1,MAX(SUMIFS($L$6:$L$505,$D$6:$D$505,D15,$E$6:$E$505,E15)-SUMIFS($M$6:$M$505,$D$6:$D$505,D15,$E$6:$E$505,E15),0),""))</x:f>
      </x:c>
    </x:row>
    <x:row r="16" ht="28" customHeight="1">
      <x:c r="A16" s="113" t="str">
        <x:f>IF(D16="","",IF(COUNTIFS(Trips!$A$6:$A$105,D16)=1,INDEX(Trips!$C$6:$C$105,MATCH(D16,Trips!$A$6:$A$105,0)),""))</x:f>
      </x:c>
      <x:c r="B16" s="90" t="str">
        <x:f>IF(D16="","",IF(COUNTIFS(Trips!$A$6:$A$105,D16)=1,INDEX(Trips!$B$6:$B$105,MATCH(D16,Trips!$A$6:$A$105,0)),""))</x:f>
      </x:c>
      <x:c r="C16" s="90" t="str">
        <x:f>IF(D16="","",IF(COUNTIFS(Trips!$A$6:$A$105,D16)=1,INDEX(Trips!$D$6:$D$105,MATCH(D16,Trips!$A$6:$A$105,0)),""))</x:f>
      </x:c>
      <x:c r="D16" s="107" t="str">
        <x:f>IF(Trips!B16="","",Trips!A16)</x:f>
      </x:c>
      <x:c r="E16" s="107"/>
      <x:c r="F16" s="90" t="str">
        <x:f>IF(E16="","",IF(COUNTIFS(Counters!$A$6:$A$105,E16)=1,INDEX(Counters!$B$6:$B$105,MATCH(E16,Counters!$A$6:$A$105,0)),""))</x:f>
      </x:c>
      <x:c r="G16" s="107"/>
      <x:c r="H16" s="98" t="str">
        <x:f>IF(C16="","",IF(COUNTIFS('Route List'!$F$6:$F$205,C16)=1,IF(COUNTIFS('Route List'!$F$6:$F$205,C16,'Route List'!$G$6:$G$205,"&lt;&gt;")=1,INDEX('Route List'!$G$6:$G$205,MATCH(C16,'Route List'!$F$6:$F$205,0)),"Enter route fare"),"Enter route fare"))</x:f>
      </x:c>
      <x:c r="I16" s="98" t="str">
        <x:f>IF(F16="","",IF(F16="Own",0,50))</x:f>
      </x:c>
      <x:c r="J16" s="98" t="str">
        <x:f>IF(OR(D16="",E16=""),"",IF(AND(ISNUMBER(G16),ISNUMBER(H16)),ROUND(G16*H16,2),""))</x:f>
      </x:c>
      <x:c r="K16" s="98" t="str">
        <x:f>IF(OR(D16="",E16=""),"",IF(AND(ISNUMBER(G16),ISNUMBER(I16)),ROUND(G16*I16,2),""))</x:f>
      </x:c>
      <x:c r="L16" s="98" t="str">
        <x:f>IF(OR(D16="",E16=""),"",IF(AND(ISNUMBER(J16),ISNUMBER(K16)),J16-K16,""))</x:f>
      </x:c>
      <x:c r="M16" s="114"/>
      <x:c r="N16" s="98" t="str">
        <x:f>IF(OR(D16="",E16=""),"",IF(COUNTIFS($D$6:D16,D16,$E$6:E16,E16)=1,MAX(SUMIFS($L$6:$L$505,$D$6:$D$505,D16,$E$6:$E$505,E16)-SUMIFS($M$6:$M$505,$D$6:$D$505,D16,$E$6:$E$505,E16),0),""))</x:f>
      </x:c>
    </x:row>
    <x:row r="17" ht="28" customHeight="1">
      <x:c r="A17" s="113" t="str">
        <x:f>IF(D17="","",IF(COUNTIFS(Trips!$A$6:$A$105,D17)=1,INDEX(Trips!$C$6:$C$105,MATCH(D17,Trips!$A$6:$A$105,0)),""))</x:f>
      </x:c>
      <x:c r="B17" s="90" t="str">
        <x:f>IF(D17="","",IF(COUNTIFS(Trips!$A$6:$A$105,D17)=1,INDEX(Trips!$B$6:$B$105,MATCH(D17,Trips!$A$6:$A$105,0)),""))</x:f>
      </x:c>
      <x:c r="C17" s="90" t="str">
        <x:f>IF(D17="","",IF(COUNTIFS(Trips!$A$6:$A$105,D17)=1,INDEX(Trips!$D$6:$D$105,MATCH(D17,Trips!$A$6:$A$105,0)),""))</x:f>
      </x:c>
      <x:c r="D17" s="107" t="str">
        <x:f>IF(Trips!B17="","",Trips!A17)</x:f>
      </x:c>
      <x:c r="E17" s="107"/>
      <x:c r="F17" s="90" t="str">
        <x:f>IF(E17="","",IF(COUNTIFS(Counters!$A$6:$A$105,E17)=1,INDEX(Counters!$B$6:$B$105,MATCH(E17,Counters!$A$6:$A$105,0)),""))</x:f>
      </x:c>
      <x:c r="G17" s="107"/>
      <x:c r="H17" s="98" t="str">
        <x:f>IF(C17="","",IF(COUNTIFS('Route List'!$F$6:$F$205,C17)=1,IF(COUNTIFS('Route List'!$F$6:$F$205,C17,'Route List'!$G$6:$G$205,"&lt;&gt;")=1,INDEX('Route List'!$G$6:$G$205,MATCH(C17,'Route List'!$F$6:$F$205,0)),"Enter route fare"),"Enter route fare"))</x:f>
      </x:c>
      <x:c r="I17" s="98" t="str">
        <x:f>IF(F17="","",IF(F17="Own",0,50))</x:f>
      </x:c>
      <x:c r="J17" s="98" t="str">
        <x:f>IF(OR(D17="",E17=""),"",IF(AND(ISNUMBER(G17),ISNUMBER(H17)),ROUND(G17*H17,2),""))</x:f>
      </x:c>
      <x:c r="K17" s="98" t="str">
        <x:f>IF(OR(D17="",E17=""),"",IF(AND(ISNUMBER(G17),ISNUMBER(I17)),ROUND(G17*I17,2),""))</x:f>
      </x:c>
      <x:c r="L17" s="98" t="str">
        <x:f>IF(OR(D17="",E17=""),"",IF(AND(ISNUMBER(J17),ISNUMBER(K17)),J17-K17,""))</x:f>
      </x:c>
      <x:c r="M17" s="114"/>
      <x:c r="N17" s="98" t="str">
        <x:f>IF(OR(D17="",E17=""),"",IF(COUNTIFS($D$6:D17,D17,$E$6:E17,E17)=1,MAX(SUMIFS($L$6:$L$505,$D$6:$D$505,D17,$E$6:$E$505,E17)-SUMIFS($M$6:$M$505,$D$6:$D$505,D17,$E$6:$E$505,E17),0),""))</x:f>
      </x:c>
    </x:row>
    <x:row r="18" ht="28" customHeight="1">
      <x:c r="A18" s="113" t="str">
        <x:f>IF(D18="","",IF(COUNTIFS(Trips!$A$6:$A$105,D18)=1,INDEX(Trips!$C$6:$C$105,MATCH(D18,Trips!$A$6:$A$105,0)),""))</x:f>
      </x:c>
      <x:c r="B18" s="90" t="str">
        <x:f>IF(D18="","",IF(COUNTIFS(Trips!$A$6:$A$105,D18)=1,INDEX(Trips!$B$6:$B$105,MATCH(D18,Trips!$A$6:$A$105,0)),""))</x:f>
      </x:c>
      <x:c r="C18" s="90" t="str">
        <x:f>IF(D18="","",IF(COUNTIFS(Trips!$A$6:$A$105,D18)=1,INDEX(Trips!$D$6:$D$105,MATCH(D18,Trips!$A$6:$A$105,0)),""))</x:f>
      </x:c>
      <x:c r="D18" s="107" t="str">
        <x:f>IF(Trips!B18="","",Trips!A18)</x:f>
      </x:c>
      <x:c r="E18" s="107"/>
      <x:c r="F18" s="90" t="str">
        <x:f>IF(E18="","",IF(COUNTIFS(Counters!$A$6:$A$105,E18)=1,INDEX(Counters!$B$6:$B$105,MATCH(E18,Counters!$A$6:$A$105,0)),""))</x:f>
      </x:c>
      <x:c r="G18" s="107"/>
      <x:c r="H18" s="98" t="str">
        <x:f>IF(C18="","",IF(COUNTIFS('Route List'!$F$6:$F$205,C18)=1,IF(COUNTIFS('Route List'!$F$6:$F$205,C18,'Route List'!$G$6:$G$205,"&lt;&gt;")=1,INDEX('Route List'!$G$6:$G$205,MATCH(C18,'Route List'!$F$6:$F$205,0)),"Enter route fare"),"Enter route fare"))</x:f>
      </x:c>
      <x:c r="I18" s="98" t="str">
        <x:f>IF(F18="","",IF(F18="Own",0,50))</x:f>
      </x:c>
      <x:c r="J18" s="98" t="str">
        <x:f>IF(OR(D18="",E18=""),"",IF(AND(ISNUMBER(G18),ISNUMBER(H18)),ROUND(G18*H18,2),""))</x:f>
      </x:c>
      <x:c r="K18" s="98" t="str">
        <x:f>IF(OR(D18="",E18=""),"",IF(AND(ISNUMBER(G18),ISNUMBER(I18)),ROUND(G18*I18,2),""))</x:f>
      </x:c>
      <x:c r="L18" s="98" t="str">
        <x:f>IF(OR(D18="",E18=""),"",IF(AND(ISNUMBER(J18),ISNUMBER(K18)),J18-K18,""))</x:f>
      </x:c>
      <x:c r="M18" s="114"/>
      <x:c r="N18" s="98" t="str">
        <x:f>IF(OR(D18="",E18=""),"",IF(COUNTIFS($D$6:D18,D18,$E$6:E18,E18)=1,MAX(SUMIFS($L$6:$L$505,$D$6:$D$505,D18,$E$6:$E$505,E18)-SUMIFS($M$6:$M$505,$D$6:$D$505,D18,$E$6:$E$505,E18),0),""))</x:f>
      </x:c>
    </x:row>
    <x:row r="19" ht="28" customHeight="1">
      <x:c r="A19" s="113" t="str">
        <x:f>IF(D19="","",IF(COUNTIFS(Trips!$A$6:$A$105,D19)=1,INDEX(Trips!$C$6:$C$105,MATCH(D19,Trips!$A$6:$A$105,0)),""))</x:f>
      </x:c>
      <x:c r="B19" s="90" t="str">
        <x:f>IF(D19="","",IF(COUNTIFS(Trips!$A$6:$A$105,D19)=1,INDEX(Trips!$B$6:$B$105,MATCH(D19,Trips!$A$6:$A$105,0)),""))</x:f>
      </x:c>
      <x:c r="C19" s="90" t="str">
        <x:f>IF(D19="","",IF(COUNTIFS(Trips!$A$6:$A$105,D19)=1,INDEX(Trips!$D$6:$D$105,MATCH(D19,Trips!$A$6:$A$105,0)),""))</x:f>
      </x:c>
      <x:c r="D19" s="107" t="str">
        <x:f>IF(Trips!B19="","",Trips!A19)</x:f>
      </x:c>
      <x:c r="E19" s="107"/>
      <x:c r="F19" s="90" t="str">
        <x:f>IF(E19="","",IF(COUNTIFS(Counters!$A$6:$A$105,E19)=1,INDEX(Counters!$B$6:$B$105,MATCH(E19,Counters!$A$6:$A$105,0)),""))</x:f>
      </x:c>
      <x:c r="G19" s="107"/>
      <x:c r="H19" s="98" t="str">
        <x:f>IF(C19="","",IF(COUNTIFS('Route List'!$F$6:$F$205,C19)=1,IF(COUNTIFS('Route List'!$F$6:$F$205,C19,'Route List'!$G$6:$G$205,"&lt;&gt;")=1,INDEX('Route List'!$G$6:$G$205,MATCH(C19,'Route List'!$F$6:$F$205,0)),"Enter route fare"),"Enter route fare"))</x:f>
      </x:c>
      <x:c r="I19" s="98" t="str">
        <x:f>IF(F19="","",IF(F19="Own",0,50))</x:f>
      </x:c>
      <x:c r="J19" s="98" t="str">
        <x:f>IF(OR(D19="",E19=""),"",IF(AND(ISNUMBER(G19),ISNUMBER(H19)),ROUND(G19*H19,2),""))</x:f>
      </x:c>
      <x:c r="K19" s="98" t="str">
        <x:f>IF(OR(D19="",E19=""),"",IF(AND(ISNUMBER(G19),ISNUMBER(I19)),ROUND(G19*I19,2),""))</x:f>
      </x:c>
      <x:c r="L19" s="98" t="str">
        <x:f>IF(OR(D19="",E19=""),"",IF(AND(ISNUMBER(J19),ISNUMBER(K19)),J19-K19,""))</x:f>
      </x:c>
      <x:c r="M19" s="114"/>
      <x:c r="N19" s="98" t="str">
        <x:f>IF(OR(D19="",E19=""),"",IF(COUNTIFS($D$6:D19,D19,$E$6:E19,E19)=1,MAX(SUMIFS($L$6:$L$505,$D$6:$D$505,D19,$E$6:$E$505,E19)-SUMIFS($M$6:$M$505,$D$6:$D$505,D19,$E$6:$E$505,E19),0),""))</x:f>
      </x:c>
    </x:row>
    <x:row r="20" ht="28" customHeight="1">
      <x:c r="A20" s="113" t="str">
        <x:f>IF(D20="","",IF(COUNTIFS(Trips!$A$6:$A$105,D20)=1,INDEX(Trips!$C$6:$C$105,MATCH(D20,Trips!$A$6:$A$105,0)),""))</x:f>
      </x:c>
      <x:c r="B20" s="90" t="str">
        <x:f>IF(D20="","",IF(COUNTIFS(Trips!$A$6:$A$105,D20)=1,INDEX(Trips!$B$6:$B$105,MATCH(D20,Trips!$A$6:$A$105,0)),""))</x:f>
      </x:c>
      <x:c r="C20" s="90" t="str">
        <x:f>IF(D20="","",IF(COUNTIFS(Trips!$A$6:$A$105,D20)=1,INDEX(Trips!$D$6:$D$105,MATCH(D20,Trips!$A$6:$A$105,0)),""))</x:f>
      </x:c>
      <x:c r="D20" s="107" t="str">
        <x:f>IF(Trips!B20="","",Trips!A20)</x:f>
      </x:c>
      <x:c r="E20" s="107"/>
      <x:c r="F20" s="90" t="str">
        <x:f>IF(E20="","",IF(COUNTIFS(Counters!$A$6:$A$105,E20)=1,INDEX(Counters!$B$6:$B$105,MATCH(E20,Counters!$A$6:$A$105,0)),""))</x:f>
      </x:c>
      <x:c r="G20" s="107"/>
      <x:c r="H20" s="98" t="str">
        <x:f>IF(C20="","",IF(COUNTIFS('Route List'!$F$6:$F$205,C20)=1,IF(COUNTIFS('Route List'!$F$6:$F$205,C20,'Route List'!$G$6:$G$205,"&lt;&gt;")=1,INDEX('Route List'!$G$6:$G$205,MATCH(C20,'Route List'!$F$6:$F$205,0)),"Enter route fare"),"Enter route fare"))</x:f>
      </x:c>
      <x:c r="I20" s="98" t="str">
        <x:f>IF(F20="","",IF(F20="Own",0,50))</x:f>
      </x:c>
      <x:c r="J20" s="98" t="str">
        <x:f>IF(OR(D20="",E20=""),"",IF(AND(ISNUMBER(G20),ISNUMBER(H20)),ROUND(G20*H20,2),""))</x:f>
      </x:c>
      <x:c r="K20" s="98" t="str">
        <x:f>IF(OR(D20="",E20=""),"",IF(AND(ISNUMBER(G20),ISNUMBER(I20)),ROUND(G20*I20,2),""))</x:f>
      </x:c>
      <x:c r="L20" s="98" t="str">
        <x:f>IF(OR(D20="",E20=""),"",IF(AND(ISNUMBER(J20),ISNUMBER(K20)),J20-K20,""))</x:f>
      </x:c>
      <x:c r="M20" s="114"/>
      <x:c r="N20" s="98" t="str">
        <x:f>IF(OR(D20="",E20=""),"",IF(COUNTIFS($D$6:D20,D20,$E$6:E20,E20)=1,MAX(SUMIFS($L$6:$L$505,$D$6:$D$505,D20,$E$6:$E$505,E20)-SUMIFS($M$6:$M$505,$D$6:$D$505,D20,$E$6:$E$505,E20),0),""))</x:f>
      </x:c>
    </x:row>
    <x:row r="21" ht="28" customHeight="1">
      <x:c r="A21" s="113" t="str">
        <x:f>IF(D21="","",IF(COUNTIFS(Trips!$A$6:$A$105,D21)=1,INDEX(Trips!$C$6:$C$105,MATCH(D21,Trips!$A$6:$A$105,0)),""))</x:f>
      </x:c>
      <x:c r="B21" s="90" t="str">
        <x:f>IF(D21="","",IF(COUNTIFS(Trips!$A$6:$A$105,D21)=1,INDEX(Trips!$B$6:$B$105,MATCH(D21,Trips!$A$6:$A$105,0)),""))</x:f>
      </x:c>
      <x:c r="C21" s="90" t="str">
        <x:f>IF(D21="","",IF(COUNTIFS(Trips!$A$6:$A$105,D21)=1,INDEX(Trips!$D$6:$D$105,MATCH(D21,Trips!$A$6:$A$105,0)),""))</x:f>
      </x:c>
      <x:c r="D21" s="107" t="str">
        <x:f>IF(Trips!B21="","",Trips!A21)</x:f>
      </x:c>
      <x:c r="E21" s="107"/>
      <x:c r="F21" s="90" t="str">
        <x:f>IF(E21="","",IF(COUNTIFS(Counters!$A$6:$A$105,E21)=1,INDEX(Counters!$B$6:$B$105,MATCH(E21,Counters!$A$6:$A$105,0)),""))</x:f>
      </x:c>
      <x:c r="G21" s="107"/>
      <x:c r="H21" s="98" t="str">
        <x:f>IF(C21="","",IF(COUNTIFS('Route List'!$F$6:$F$205,C21)=1,IF(COUNTIFS('Route List'!$F$6:$F$205,C21,'Route List'!$G$6:$G$205,"&lt;&gt;")=1,INDEX('Route List'!$G$6:$G$205,MATCH(C21,'Route List'!$F$6:$F$205,0)),"Enter route fare"),"Enter route fare"))</x:f>
      </x:c>
      <x:c r="I21" s="98" t="str">
        <x:f>IF(F21="","",IF(F21="Own",0,50))</x:f>
      </x:c>
      <x:c r="J21" s="98" t="str">
        <x:f>IF(OR(D21="",E21=""),"",IF(AND(ISNUMBER(G21),ISNUMBER(H21)),ROUND(G21*H21,2),""))</x:f>
      </x:c>
      <x:c r="K21" s="98" t="str">
        <x:f>IF(OR(D21="",E21=""),"",IF(AND(ISNUMBER(G21),ISNUMBER(I21)),ROUND(G21*I21,2),""))</x:f>
      </x:c>
      <x:c r="L21" s="98" t="str">
        <x:f>IF(OR(D21="",E21=""),"",IF(AND(ISNUMBER(J21),ISNUMBER(K21)),J21-K21,""))</x:f>
      </x:c>
      <x:c r="M21" s="114"/>
      <x:c r="N21" s="98" t="str">
        <x:f>IF(OR(D21="",E21=""),"",IF(COUNTIFS($D$6:D21,D21,$E$6:E21,E21)=1,MAX(SUMIFS($L$6:$L$505,$D$6:$D$505,D21,$E$6:$E$505,E21)-SUMIFS($M$6:$M$505,$D$6:$D$505,D21,$E$6:$E$505,E21),0),""))</x:f>
      </x:c>
    </x:row>
    <x:row r="22" ht="28" customHeight="1">
      <x:c r="A22" s="113" t="str">
        <x:f>IF(D22="","",IF(COUNTIFS(Trips!$A$6:$A$105,D22)=1,INDEX(Trips!$C$6:$C$105,MATCH(D22,Trips!$A$6:$A$105,0)),""))</x:f>
      </x:c>
      <x:c r="B22" s="90" t="str">
        <x:f>IF(D22="","",IF(COUNTIFS(Trips!$A$6:$A$105,D22)=1,INDEX(Trips!$B$6:$B$105,MATCH(D22,Trips!$A$6:$A$105,0)),""))</x:f>
      </x:c>
      <x:c r="C22" s="90" t="str">
        <x:f>IF(D22="","",IF(COUNTIFS(Trips!$A$6:$A$105,D22)=1,INDEX(Trips!$D$6:$D$105,MATCH(D22,Trips!$A$6:$A$105,0)),""))</x:f>
      </x:c>
      <x:c r="D22" s="107" t="str">
        <x:f>IF(Trips!B22="","",Trips!A22)</x:f>
      </x:c>
      <x:c r="E22" s="107"/>
      <x:c r="F22" s="90" t="str">
        <x:f>IF(E22="","",IF(COUNTIFS(Counters!$A$6:$A$105,E22)=1,INDEX(Counters!$B$6:$B$105,MATCH(E22,Counters!$A$6:$A$105,0)),""))</x:f>
      </x:c>
      <x:c r="G22" s="107"/>
      <x:c r="H22" s="98" t="str">
        <x:f>IF(C22="","",IF(COUNTIFS('Route List'!$F$6:$F$205,C22)=1,IF(COUNTIFS('Route List'!$F$6:$F$205,C22,'Route List'!$G$6:$G$205,"&lt;&gt;")=1,INDEX('Route List'!$G$6:$G$205,MATCH(C22,'Route List'!$F$6:$F$205,0)),"Enter route fare"),"Enter route fare"))</x:f>
      </x:c>
      <x:c r="I22" s="98" t="str">
        <x:f>IF(F22="","",IF(F22="Own",0,50))</x:f>
      </x:c>
      <x:c r="J22" s="98" t="str">
        <x:f>IF(OR(D22="",E22=""),"",IF(AND(ISNUMBER(G22),ISNUMBER(H22)),ROUND(G22*H22,2),""))</x:f>
      </x:c>
      <x:c r="K22" s="98" t="str">
        <x:f>IF(OR(D22="",E22=""),"",IF(AND(ISNUMBER(G22),ISNUMBER(I22)),ROUND(G22*I22,2),""))</x:f>
      </x:c>
      <x:c r="L22" s="98" t="str">
        <x:f>IF(OR(D22="",E22=""),"",IF(AND(ISNUMBER(J22),ISNUMBER(K22)),J22-K22,""))</x:f>
      </x:c>
      <x:c r="M22" s="114"/>
      <x:c r="N22" s="98" t="str">
        <x:f>IF(OR(D22="",E22=""),"",IF(COUNTIFS($D$6:D22,D22,$E$6:E22,E22)=1,MAX(SUMIFS($L$6:$L$505,$D$6:$D$505,D22,$E$6:$E$505,E22)-SUMIFS($M$6:$M$505,$D$6:$D$505,D22,$E$6:$E$505,E22),0),""))</x:f>
      </x:c>
    </x:row>
    <x:row r="23" ht="28" customHeight="1">
      <x:c r="A23" s="113" t="str">
        <x:f>IF(D23="","",IF(COUNTIFS(Trips!$A$6:$A$105,D23)=1,INDEX(Trips!$C$6:$C$105,MATCH(D23,Trips!$A$6:$A$105,0)),""))</x:f>
      </x:c>
      <x:c r="B23" s="90" t="str">
        <x:f>IF(D23="","",IF(COUNTIFS(Trips!$A$6:$A$105,D23)=1,INDEX(Trips!$B$6:$B$105,MATCH(D23,Trips!$A$6:$A$105,0)),""))</x:f>
      </x:c>
      <x:c r="C23" s="90" t="str">
        <x:f>IF(D23="","",IF(COUNTIFS(Trips!$A$6:$A$105,D23)=1,INDEX(Trips!$D$6:$D$105,MATCH(D23,Trips!$A$6:$A$105,0)),""))</x:f>
      </x:c>
      <x:c r="D23" s="107" t="str">
        <x:f>IF(Trips!B23="","",Trips!A23)</x:f>
      </x:c>
      <x:c r="E23" s="107"/>
      <x:c r="F23" s="90" t="str">
        <x:f>IF(E23="","",IF(COUNTIFS(Counters!$A$6:$A$105,E23)=1,INDEX(Counters!$B$6:$B$105,MATCH(E23,Counters!$A$6:$A$105,0)),""))</x:f>
      </x:c>
      <x:c r="G23" s="107"/>
      <x:c r="H23" s="98" t="str">
        <x:f>IF(C23="","",IF(COUNTIFS('Route List'!$F$6:$F$205,C23)=1,IF(COUNTIFS('Route List'!$F$6:$F$205,C23,'Route List'!$G$6:$G$205,"&lt;&gt;")=1,INDEX('Route List'!$G$6:$G$205,MATCH(C23,'Route List'!$F$6:$F$205,0)),"Enter route fare"),"Enter route fare"))</x:f>
      </x:c>
      <x:c r="I23" s="98" t="str">
        <x:f>IF(F23="","",IF(F23="Own",0,50))</x:f>
      </x:c>
      <x:c r="J23" s="98" t="str">
        <x:f>IF(OR(D23="",E23=""),"",IF(AND(ISNUMBER(G23),ISNUMBER(H23)),ROUND(G23*H23,2),""))</x:f>
      </x:c>
      <x:c r="K23" s="98" t="str">
        <x:f>IF(OR(D23="",E23=""),"",IF(AND(ISNUMBER(G23),ISNUMBER(I23)),ROUND(G23*I23,2),""))</x:f>
      </x:c>
      <x:c r="L23" s="98" t="str">
        <x:f>IF(OR(D23="",E23=""),"",IF(AND(ISNUMBER(J23),ISNUMBER(K23)),J23-K23,""))</x:f>
      </x:c>
      <x:c r="M23" s="114"/>
      <x:c r="N23" s="98" t="str">
        <x:f>IF(OR(D23="",E23=""),"",IF(COUNTIFS($D$6:D23,D23,$E$6:E23,E23)=1,MAX(SUMIFS($L$6:$L$505,$D$6:$D$505,D23,$E$6:$E$505,E23)-SUMIFS($M$6:$M$505,$D$6:$D$505,D23,$E$6:$E$505,E23),0),""))</x:f>
      </x:c>
    </x:row>
    <x:row r="24" ht="28" customHeight="1">
      <x:c r="A24" s="113" t="str">
        <x:f>IF(D24="","",IF(COUNTIFS(Trips!$A$6:$A$105,D24)=1,INDEX(Trips!$C$6:$C$105,MATCH(D24,Trips!$A$6:$A$105,0)),""))</x:f>
      </x:c>
      <x:c r="B24" s="90" t="str">
        <x:f>IF(D24="","",IF(COUNTIFS(Trips!$A$6:$A$105,D24)=1,INDEX(Trips!$B$6:$B$105,MATCH(D24,Trips!$A$6:$A$105,0)),""))</x:f>
      </x:c>
      <x:c r="C24" s="90" t="str">
        <x:f>IF(D24="","",IF(COUNTIFS(Trips!$A$6:$A$105,D24)=1,INDEX(Trips!$D$6:$D$105,MATCH(D24,Trips!$A$6:$A$105,0)),""))</x:f>
      </x:c>
      <x:c r="D24" s="107" t="str">
        <x:f>IF(Trips!B24="","",Trips!A24)</x:f>
      </x:c>
      <x:c r="E24" s="107"/>
      <x:c r="F24" s="90" t="str">
        <x:f>IF(E24="","",IF(COUNTIFS(Counters!$A$6:$A$105,E24)=1,INDEX(Counters!$B$6:$B$105,MATCH(E24,Counters!$A$6:$A$105,0)),""))</x:f>
      </x:c>
      <x:c r="G24" s="107"/>
      <x:c r="H24" s="98" t="str">
        <x:f>IF(C24="","",IF(COUNTIFS('Route List'!$F$6:$F$205,C24)=1,IF(COUNTIFS('Route List'!$F$6:$F$205,C24,'Route List'!$G$6:$G$205,"&lt;&gt;")=1,INDEX('Route List'!$G$6:$G$205,MATCH(C24,'Route List'!$F$6:$F$205,0)),"Enter route fare"),"Enter route fare"))</x:f>
      </x:c>
      <x:c r="I24" s="98" t="str">
        <x:f>IF(F24="","",IF(F24="Own",0,50))</x:f>
      </x:c>
      <x:c r="J24" s="98" t="str">
        <x:f>IF(OR(D24="",E24=""),"",IF(AND(ISNUMBER(G24),ISNUMBER(H24)),ROUND(G24*H24,2),""))</x:f>
      </x:c>
      <x:c r="K24" s="98" t="str">
        <x:f>IF(OR(D24="",E24=""),"",IF(AND(ISNUMBER(G24),ISNUMBER(I24)),ROUND(G24*I24,2),""))</x:f>
      </x:c>
      <x:c r="L24" s="98" t="str">
        <x:f>IF(OR(D24="",E24=""),"",IF(AND(ISNUMBER(J24),ISNUMBER(K24)),J24-K24,""))</x:f>
      </x:c>
      <x:c r="M24" s="114"/>
      <x:c r="N24" s="98" t="str">
        <x:f>IF(OR(D24="",E24=""),"",IF(COUNTIFS($D$6:D24,D24,$E$6:E24,E24)=1,MAX(SUMIFS($L$6:$L$505,$D$6:$D$505,D24,$E$6:$E$505,E24)-SUMIFS($M$6:$M$505,$D$6:$D$505,D24,$E$6:$E$505,E24),0),""))</x:f>
      </x:c>
    </x:row>
    <x:row r="25" ht="28" customHeight="1">
      <x:c r="A25" s="113" t="str">
        <x:f>IF(D25="","",IF(COUNTIFS(Trips!$A$6:$A$105,D25)=1,INDEX(Trips!$C$6:$C$105,MATCH(D25,Trips!$A$6:$A$105,0)),""))</x:f>
      </x:c>
      <x:c r="B25" s="90" t="str">
        <x:f>IF(D25="","",IF(COUNTIFS(Trips!$A$6:$A$105,D25)=1,INDEX(Trips!$B$6:$B$105,MATCH(D25,Trips!$A$6:$A$105,0)),""))</x:f>
      </x:c>
      <x:c r="C25" s="90" t="str">
        <x:f>IF(D25="","",IF(COUNTIFS(Trips!$A$6:$A$105,D25)=1,INDEX(Trips!$D$6:$D$105,MATCH(D25,Trips!$A$6:$A$105,0)),""))</x:f>
      </x:c>
      <x:c r="D25" s="107" t="str">
        <x:f>IF(Trips!B25="","",Trips!A25)</x:f>
      </x:c>
      <x:c r="E25" s="107"/>
      <x:c r="F25" s="90" t="str">
        <x:f>IF(E25="","",IF(COUNTIFS(Counters!$A$6:$A$105,E25)=1,INDEX(Counters!$B$6:$B$105,MATCH(E25,Counters!$A$6:$A$105,0)),""))</x:f>
      </x:c>
      <x:c r="G25" s="107"/>
      <x:c r="H25" s="98" t="str">
        <x:f>IF(C25="","",IF(COUNTIFS('Route List'!$F$6:$F$205,C25)=1,IF(COUNTIFS('Route List'!$F$6:$F$205,C25,'Route List'!$G$6:$G$205,"&lt;&gt;")=1,INDEX('Route List'!$G$6:$G$205,MATCH(C25,'Route List'!$F$6:$F$205,0)),"Enter route fare"),"Enter route fare"))</x:f>
      </x:c>
      <x:c r="I25" s="98" t="str">
        <x:f>IF(F25="","",IF(F25="Own",0,50))</x:f>
      </x:c>
      <x:c r="J25" s="98" t="str">
        <x:f>IF(OR(D25="",E25=""),"",IF(AND(ISNUMBER(G25),ISNUMBER(H25)),ROUND(G25*H25,2),""))</x:f>
      </x:c>
      <x:c r="K25" s="98" t="str">
        <x:f>IF(OR(D25="",E25=""),"",IF(AND(ISNUMBER(G25),ISNUMBER(I25)),ROUND(G25*I25,2),""))</x:f>
      </x:c>
      <x:c r="L25" s="98" t="str">
        <x:f>IF(OR(D25="",E25=""),"",IF(AND(ISNUMBER(J25),ISNUMBER(K25)),J25-K25,""))</x:f>
      </x:c>
      <x:c r="M25" s="114"/>
      <x:c r="N25" s="98" t="str">
        <x:f>IF(OR(D25="",E25=""),"",IF(COUNTIFS($D$6:D25,D25,$E$6:E25,E25)=1,MAX(SUMIFS($L$6:$L$505,$D$6:$D$505,D25,$E$6:$E$505,E25)-SUMIFS($M$6:$M$505,$D$6:$D$505,D25,$E$6:$E$505,E25),0),""))</x:f>
      </x:c>
    </x:row>
    <x:row r="26" ht="28" customHeight="1">
      <x:c r="A26" s="113" t="str">
        <x:f>IF(D26="","",IF(COUNTIFS(Trips!$A$6:$A$105,D26)=1,INDEX(Trips!$C$6:$C$105,MATCH(D26,Trips!$A$6:$A$105,0)),""))</x:f>
      </x:c>
      <x:c r="B26" s="90" t="str">
        <x:f>IF(D26="","",IF(COUNTIFS(Trips!$A$6:$A$105,D26)=1,INDEX(Trips!$B$6:$B$105,MATCH(D26,Trips!$A$6:$A$105,0)),""))</x:f>
      </x:c>
      <x:c r="C26" s="90" t="str">
        <x:f>IF(D26="","",IF(COUNTIFS(Trips!$A$6:$A$105,D26)=1,INDEX(Trips!$D$6:$D$105,MATCH(D26,Trips!$A$6:$A$105,0)),""))</x:f>
      </x:c>
      <x:c r="D26" s="107" t="str">
        <x:f>IF(Trips!B26="","",Trips!A26)</x:f>
      </x:c>
      <x:c r="E26" s="107"/>
      <x:c r="F26" s="90" t="str">
        <x:f>IF(E26="","",IF(COUNTIFS(Counters!$A$6:$A$105,E26)=1,INDEX(Counters!$B$6:$B$105,MATCH(E26,Counters!$A$6:$A$105,0)),""))</x:f>
      </x:c>
      <x:c r="G26" s="107"/>
      <x:c r="H26" s="98" t="str">
        <x:f>IF(C26="","",IF(COUNTIFS('Route List'!$F$6:$F$205,C26)=1,IF(COUNTIFS('Route List'!$F$6:$F$205,C26,'Route List'!$G$6:$G$205,"&lt;&gt;")=1,INDEX('Route List'!$G$6:$G$205,MATCH(C26,'Route List'!$F$6:$F$205,0)),"Enter route fare"),"Enter route fare"))</x:f>
      </x:c>
      <x:c r="I26" s="98" t="str">
        <x:f>IF(F26="","",IF(F26="Own",0,50))</x:f>
      </x:c>
      <x:c r="J26" s="98" t="str">
        <x:f>IF(OR(D26="",E26=""),"",IF(AND(ISNUMBER(G26),ISNUMBER(H26)),ROUND(G26*H26,2),""))</x:f>
      </x:c>
      <x:c r="K26" s="98" t="str">
        <x:f>IF(OR(D26="",E26=""),"",IF(AND(ISNUMBER(G26),ISNUMBER(I26)),ROUND(G26*I26,2),""))</x:f>
      </x:c>
      <x:c r="L26" s="98" t="str">
        <x:f>IF(OR(D26="",E26=""),"",IF(AND(ISNUMBER(J26),ISNUMBER(K26)),J26-K26,""))</x:f>
      </x:c>
      <x:c r="M26" s="114"/>
      <x:c r="N26" s="98" t="str">
        <x:f>IF(OR(D26="",E26=""),"",IF(COUNTIFS($D$6:D26,D26,$E$6:E26,E26)=1,MAX(SUMIFS($L$6:$L$505,$D$6:$D$505,D26,$E$6:$E$505,E26)-SUMIFS($M$6:$M$505,$D$6:$D$505,D26,$E$6:$E$505,E26),0),""))</x:f>
      </x:c>
    </x:row>
    <x:row r="27" ht="28" customHeight="1">
      <x:c r="A27" s="113" t="str">
        <x:f>IF(D27="","",IF(COUNTIFS(Trips!$A$6:$A$105,D27)=1,INDEX(Trips!$C$6:$C$105,MATCH(D27,Trips!$A$6:$A$105,0)),""))</x:f>
      </x:c>
      <x:c r="B27" s="90" t="str">
        <x:f>IF(D27="","",IF(COUNTIFS(Trips!$A$6:$A$105,D27)=1,INDEX(Trips!$B$6:$B$105,MATCH(D27,Trips!$A$6:$A$105,0)),""))</x:f>
      </x:c>
      <x:c r="C27" s="90" t="str">
        <x:f>IF(D27="","",IF(COUNTIFS(Trips!$A$6:$A$105,D27)=1,INDEX(Trips!$D$6:$D$105,MATCH(D27,Trips!$A$6:$A$105,0)),""))</x:f>
      </x:c>
      <x:c r="D27" s="107" t="str">
        <x:f>IF(Trips!B27="","",Trips!A27)</x:f>
      </x:c>
      <x:c r="E27" s="107"/>
      <x:c r="F27" s="90" t="str">
        <x:f>IF(E27="","",IF(COUNTIFS(Counters!$A$6:$A$105,E27)=1,INDEX(Counters!$B$6:$B$105,MATCH(E27,Counters!$A$6:$A$105,0)),""))</x:f>
      </x:c>
      <x:c r="G27" s="107"/>
      <x:c r="H27" s="98" t="str">
        <x:f>IF(C27="","",IF(COUNTIFS('Route List'!$F$6:$F$205,C27)=1,IF(COUNTIFS('Route List'!$F$6:$F$205,C27,'Route List'!$G$6:$G$205,"&lt;&gt;")=1,INDEX('Route List'!$G$6:$G$205,MATCH(C27,'Route List'!$F$6:$F$205,0)),"Enter route fare"),"Enter route fare"))</x:f>
      </x:c>
      <x:c r="I27" s="98" t="str">
        <x:f>IF(F27="","",IF(F27="Own",0,50))</x:f>
      </x:c>
      <x:c r="J27" s="98" t="str">
        <x:f>IF(OR(D27="",E27=""),"",IF(AND(ISNUMBER(G27),ISNUMBER(H27)),ROUND(G27*H27,2),""))</x:f>
      </x:c>
      <x:c r="K27" s="98" t="str">
        <x:f>IF(OR(D27="",E27=""),"",IF(AND(ISNUMBER(G27),ISNUMBER(I27)),ROUND(G27*I27,2),""))</x:f>
      </x:c>
      <x:c r="L27" s="98" t="str">
        <x:f>IF(OR(D27="",E27=""),"",IF(AND(ISNUMBER(J27),ISNUMBER(K27)),J27-K27,""))</x:f>
      </x:c>
      <x:c r="M27" s="114"/>
      <x:c r="N27" s="98" t="str">
        <x:f>IF(OR(D27="",E27=""),"",IF(COUNTIFS($D$6:D27,D27,$E$6:E27,E27)=1,MAX(SUMIFS($L$6:$L$505,$D$6:$D$505,D27,$E$6:$E$505,E27)-SUMIFS($M$6:$M$505,$D$6:$D$505,D27,$E$6:$E$505,E27),0),""))</x:f>
      </x:c>
    </x:row>
    <x:row r="28" ht="28" customHeight="1">
      <x:c r="A28" s="113" t="str">
        <x:f>IF(D28="","",IF(COUNTIFS(Trips!$A$6:$A$105,D28)=1,INDEX(Trips!$C$6:$C$105,MATCH(D28,Trips!$A$6:$A$105,0)),""))</x:f>
      </x:c>
      <x:c r="B28" s="90" t="str">
        <x:f>IF(D28="","",IF(COUNTIFS(Trips!$A$6:$A$105,D28)=1,INDEX(Trips!$B$6:$B$105,MATCH(D28,Trips!$A$6:$A$105,0)),""))</x:f>
      </x:c>
      <x:c r="C28" s="90" t="str">
        <x:f>IF(D28="","",IF(COUNTIFS(Trips!$A$6:$A$105,D28)=1,INDEX(Trips!$D$6:$D$105,MATCH(D28,Trips!$A$6:$A$105,0)),""))</x:f>
      </x:c>
      <x:c r="D28" s="107" t="str">
        <x:f>IF(Trips!B28="","",Trips!A28)</x:f>
      </x:c>
      <x:c r="E28" s="107"/>
      <x:c r="F28" s="90" t="str">
        <x:f>IF(E28="","",IF(COUNTIFS(Counters!$A$6:$A$105,E28)=1,INDEX(Counters!$B$6:$B$105,MATCH(E28,Counters!$A$6:$A$105,0)),""))</x:f>
      </x:c>
      <x:c r="G28" s="107"/>
      <x:c r="H28" s="98" t="str">
        <x:f>IF(C28="","",IF(COUNTIFS('Route List'!$F$6:$F$205,C28)=1,IF(COUNTIFS('Route List'!$F$6:$F$205,C28,'Route List'!$G$6:$G$205,"&lt;&gt;")=1,INDEX('Route List'!$G$6:$G$205,MATCH(C28,'Route List'!$F$6:$F$205,0)),"Enter route fare"),"Enter route fare"))</x:f>
      </x:c>
      <x:c r="I28" s="98" t="str">
        <x:f>IF(F28="","",IF(F28="Own",0,50))</x:f>
      </x:c>
      <x:c r="J28" s="98" t="str">
        <x:f>IF(OR(D28="",E28=""),"",IF(AND(ISNUMBER(G28),ISNUMBER(H28)),ROUND(G28*H28,2),""))</x:f>
      </x:c>
      <x:c r="K28" s="98" t="str">
        <x:f>IF(OR(D28="",E28=""),"",IF(AND(ISNUMBER(G28),ISNUMBER(I28)),ROUND(G28*I28,2),""))</x:f>
      </x:c>
      <x:c r="L28" s="98" t="str">
        <x:f>IF(OR(D28="",E28=""),"",IF(AND(ISNUMBER(J28),ISNUMBER(K28)),J28-K28,""))</x:f>
      </x:c>
      <x:c r="M28" s="114"/>
      <x:c r="N28" s="98" t="str">
        <x:f>IF(OR(D28="",E28=""),"",IF(COUNTIFS($D$6:D28,D28,$E$6:E28,E28)=1,MAX(SUMIFS($L$6:$L$505,$D$6:$D$505,D28,$E$6:$E$505,E28)-SUMIFS($M$6:$M$505,$D$6:$D$505,D28,$E$6:$E$505,E28),0),""))</x:f>
      </x:c>
    </x:row>
    <x:row r="29" ht="28" customHeight="1">
      <x:c r="A29" s="113" t="str">
        <x:f>IF(D29="","",IF(COUNTIFS(Trips!$A$6:$A$105,D29)=1,INDEX(Trips!$C$6:$C$105,MATCH(D29,Trips!$A$6:$A$105,0)),""))</x:f>
      </x:c>
      <x:c r="B29" s="90" t="str">
        <x:f>IF(D29="","",IF(COUNTIFS(Trips!$A$6:$A$105,D29)=1,INDEX(Trips!$B$6:$B$105,MATCH(D29,Trips!$A$6:$A$105,0)),""))</x:f>
      </x:c>
      <x:c r="C29" s="90" t="str">
        <x:f>IF(D29="","",IF(COUNTIFS(Trips!$A$6:$A$105,D29)=1,INDEX(Trips!$D$6:$D$105,MATCH(D29,Trips!$A$6:$A$105,0)),""))</x:f>
      </x:c>
      <x:c r="D29" s="107" t="str">
        <x:f>IF(Trips!B29="","",Trips!A29)</x:f>
      </x:c>
      <x:c r="E29" s="107"/>
      <x:c r="F29" s="90" t="str">
        <x:f>IF(E29="","",IF(COUNTIFS(Counters!$A$6:$A$105,E29)=1,INDEX(Counters!$B$6:$B$105,MATCH(E29,Counters!$A$6:$A$105,0)),""))</x:f>
      </x:c>
      <x:c r="G29" s="107"/>
      <x:c r="H29" s="98" t="str">
        <x:f>IF(C29="","",IF(COUNTIFS('Route List'!$F$6:$F$205,C29)=1,IF(COUNTIFS('Route List'!$F$6:$F$205,C29,'Route List'!$G$6:$G$205,"&lt;&gt;")=1,INDEX('Route List'!$G$6:$G$205,MATCH(C29,'Route List'!$F$6:$F$205,0)),"Enter route fare"),"Enter route fare"))</x:f>
      </x:c>
      <x:c r="I29" s="98" t="str">
        <x:f>IF(F29="","",IF(F29="Own",0,50))</x:f>
      </x:c>
      <x:c r="J29" s="98" t="str">
        <x:f>IF(OR(D29="",E29=""),"",IF(AND(ISNUMBER(G29),ISNUMBER(H29)),ROUND(G29*H29,2),""))</x:f>
      </x:c>
      <x:c r="K29" s="98" t="str">
        <x:f>IF(OR(D29="",E29=""),"",IF(AND(ISNUMBER(G29),ISNUMBER(I29)),ROUND(G29*I29,2),""))</x:f>
      </x:c>
      <x:c r="L29" s="98" t="str">
        <x:f>IF(OR(D29="",E29=""),"",IF(AND(ISNUMBER(J29),ISNUMBER(K29)),J29-K29,""))</x:f>
      </x:c>
      <x:c r="M29" s="114"/>
      <x:c r="N29" s="98" t="str">
        <x:f>IF(OR(D29="",E29=""),"",IF(COUNTIFS($D$6:D29,D29,$E$6:E29,E29)=1,MAX(SUMIFS($L$6:$L$505,$D$6:$D$505,D29,$E$6:$E$505,E29)-SUMIFS($M$6:$M$505,$D$6:$D$505,D29,$E$6:$E$505,E29),0),""))</x:f>
      </x:c>
    </x:row>
    <x:row r="30" ht="28" customHeight="1">
      <x:c r="A30" s="113" t="str">
        <x:f>IF(D30="","",IF(COUNTIFS(Trips!$A$6:$A$105,D30)=1,INDEX(Trips!$C$6:$C$105,MATCH(D30,Trips!$A$6:$A$105,0)),""))</x:f>
      </x:c>
      <x:c r="B30" s="90" t="str">
        <x:f>IF(D30="","",IF(COUNTIFS(Trips!$A$6:$A$105,D30)=1,INDEX(Trips!$B$6:$B$105,MATCH(D30,Trips!$A$6:$A$105,0)),""))</x:f>
      </x:c>
      <x:c r="C30" s="90" t="str">
        <x:f>IF(D30="","",IF(COUNTIFS(Trips!$A$6:$A$105,D30)=1,INDEX(Trips!$D$6:$D$105,MATCH(D30,Trips!$A$6:$A$105,0)),""))</x:f>
      </x:c>
      <x:c r="D30" s="107" t="str">
        <x:f>IF(Trips!B30="","",Trips!A30)</x:f>
      </x:c>
      <x:c r="E30" s="107"/>
      <x:c r="F30" s="90" t="str">
        <x:f>IF(E30="","",IF(COUNTIFS(Counters!$A$6:$A$105,E30)=1,INDEX(Counters!$B$6:$B$105,MATCH(E30,Counters!$A$6:$A$105,0)),""))</x:f>
      </x:c>
      <x:c r="G30" s="107"/>
      <x:c r="H30" s="98" t="str">
        <x:f>IF(C30="","",IF(COUNTIFS('Route List'!$F$6:$F$205,C30)=1,IF(COUNTIFS('Route List'!$F$6:$F$205,C30,'Route List'!$G$6:$G$205,"&lt;&gt;")=1,INDEX('Route List'!$G$6:$G$205,MATCH(C30,'Route List'!$F$6:$F$205,0)),"Enter route fare"),"Enter route fare"))</x:f>
      </x:c>
      <x:c r="I30" s="98" t="str">
        <x:f>IF(F30="","",IF(F30="Own",0,50))</x:f>
      </x:c>
      <x:c r="J30" s="98" t="str">
        <x:f>IF(OR(D30="",E30=""),"",IF(AND(ISNUMBER(G30),ISNUMBER(H30)),ROUND(G30*H30,2),""))</x:f>
      </x:c>
      <x:c r="K30" s="98" t="str">
        <x:f>IF(OR(D30="",E30=""),"",IF(AND(ISNUMBER(G30),ISNUMBER(I30)),ROUND(G30*I30,2),""))</x:f>
      </x:c>
      <x:c r="L30" s="98" t="str">
        <x:f>IF(OR(D30="",E30=""),"",IF(AND(ISNUMBER(J30),ISNUMBER(K30)),J30-K30,""))</x:f>
      </x:c>
      <x:c r="M30" s="114"/>
      <x:c r="N30" s="98" t="str">
        <x:f>IF(OR(D30="",E30=""),"",IF(COUNTIFS($D$6:D30,D30,$E$6:E30,E30)=1,MAX(SUMIFS($L$6:$L$505,$D$6:$D$505,D30,$E$6:$E$505,E30)-SUMIFS($M$6:$M$505,$D$6:$D$505,D30,$E$6:$E$505,E30),0),""))</x:f>
      </x:c>
    </x:row>
    <x:row r="31" ht="28" customHeight="1">
      <x:c r="A31" s="113" t="str">
        <x:f>IF(D31="","",IF(COUNTIFS(Trips!$A$6:$A$105,D31)=1,INDEX(Trips!$C$6:$C$105,MATCH(D31,Trips!$A$6:$A$105,0)),""))</x:f>
      </x:c>
      <x:c r="B31" s="90" t="str">
        <x:f>IF(D31="","",IF(COUNTIFS(Trips!$A$6:$A$105,D31)=1,INDEX(Trips!$B$6:$B$105,MATCH(D31,Trips!$A$6:$A$105,0)),""))</x:f>
      </x:c>
      <x:c r="C31" s="90" t="str">
        <x:f>IF(D31="","",IF(COUNTIFS(Trips!$A$6:$A$105,D31)=1,INDEX(Trips!$D$6:$D$105,MATCH(D31,Trips!$A$6:$A$105,0)),""))</x:f>
      </x:c>
      <x:c r="D31" s="107" t="str">
        <x:f>IF(Trips!B31="","",Trips!A31)</x:f>
      </x:c>
      <x:c r="E31" s="107"/>
      <x:c r="F31" s="90" t="str">
        <x:f>IF(E31="","",IF(COUNTIFS(Counters!$A$6:$A$105,E31)=1,INDEX(Counters!$B$6:$B$105,MATCH(E31,Counters!$A$6:$A$105,0)),""))</x:f>
      </x:c>
      <x:c r="G31" s="107"/>
      <x:c r="H31" s="98" t="str">
        <x:f>IF(C31="","",IF(COUNTIFS('Route List'!$F$6:$F$205,C31)=1,IF(COUNTIFS('Route List'!$F$6:$F$205,C31,'Route List'!$G$6:$G$205,"&lt;&gt;")=1,INDEX('Route List'!$G$6:$G$205,MATCH(C31,'Route List'!$F$6:$F$205,0)),"Enter route fare"),"Enter route fare"))</x:f>
      </x:c>
      <x:c r="I31" s="98" t="str">
        <x:f>IF(F31="","",IF(F31="Own",0,50))</x:f>
      </x:c>
      <x:c r="J31" s="98" t="str">
        <x:f>IF(OR(D31="",E31=""),"",IF(AND(ISNUMBER(G31),ISNUMBER(H31)),ROUND(G31*H31,2),""))</x:f>
      </x:c>
      <x:c r="K31" s="98" t="str">
        <x:f>IF(OR(D31="",E31=""),"",IF(AND(ISNUMBER(G31),ISNUMBER(I31)),ROUND(G31*I31,2),""))</x:f>
      </x:c>
      <x:c r="L31" s="98" t="str">
        <x:f>IF(OR(D31="",E31=""),"",IF(AND(ISNUMBER(J31),ISNUMBER(K31)),J31-K31,""))</x:f>
      </x:c>
      <x:c r="M31" s="114"/>
      <x:c r="N31" s="98" t="str">
        <x:f>IF(OR(D31="",E31=""),"",IF(COUNTIFS($D$6:D31,D31,$E$6:E31,E31)=1,MAX(SUMIFS($L$6:$L$505,$D$6:$D$505,D31,$E$6:$E$505,E31)-SUMIFS($M$6:$M$505,$D$6:$D$505,D31,$E$6:$E$505,E31),0),""))</x:f>
      </x:c>
    </x:row>
    <x:row r="32" ht="28" customHeight="1">
      <x:c r="A32" s="113" t="str">
        <x:f>IF(D32="","",IF(COUNTIFS(Trips!$A$6:$A$105,D32)=1,INDEX(Trips!$C$6:$C$105,MATCH(D32,Trips!$A$6:$A$105,0)),""))</x:f>
      </x:c>
      <x:c r="B32" s="90" t="str">
        <x:f>IF(D32="","",IF(COUNTIFS(Trips!$A$6:$A$105,D32)=1,INDEX(Trips!$B$6:$B$105,MATCH(D32,Trips!$A$6:$A$105,0)),""))</x:f>
      </x:c>
      <x:c r="C32" s="90" t="str">
        <x:f>IF(D32="","",IF(COUNTIFS(Trips!$A$6:$A$105,D32)=1,INDEX(Trips!$D$6:$D$105,MATCH(D32,Trips!$A$6:$A$105,0)),""))</x:f>
      </x:c>
      <x:c r="D32" s="107" t="str">
        <x:f>IF(Trips!B32="","",Trips!A32)</x:f>
      </x:c>
      <x:c r="E32" s="107"/>
      <x:c r="F32" s="90" t="str">
        <x:f>IF(E32="","",IF(COUNTIFS(Counters!$A$6:$A$105,E32)=1,INDEX(Counters!$B$6:$B$105,MATCH(E32,Counters!$A$6:$A$105,0)),""))</x:f>
      </x:c>
      <x:c r="G32" s="107"/>
      <x:c r="H32" s="98" t="str">
        <x:f>IF(C32="","",IF(COUNTIFS('Route List'!$F$6:$F$205,C32)=1,IF(COUNTIFS('Route List'!$F$6:$F$205,C32,'Route List'!$G$6:$G$205,"&lt;&gt;")=1,INDEX('Route List'!$G$6:$G$205,MATCH(C32,'Route List'!$F$6:$F$205,0)),"Enter route fare"),"Enter route fare"))</x:f>
      </x:c>
      <x:c r="I32" s="98" t="str">
        <x:f>IF(F32="","",IF(F32="Own",0,50))</x:f>
      </x:c>
      <x:c r="J32" s="98" t="str">
        <x:f>IF(OR(D32="",E32=""),"",IF(AND(ISNUMBER(G32),ISNUMBER(H32)),ROUND(G32*H32,2),""))</x:f>
      </x:c>
      <x:c r="K32" s="98" t="str">
        <x:f>IF(OR(D32="",E32=""),"",IF(AND(ISNUMBER(G32),ISNUMBER(I32)),ROUND(G32*I32,2),""))</x:f>
      </x:c>
      <x:c r="L32" s="98" t="str">
        <x:f>IF(OR(D32="",E32=""),"",IF(AND(ISNUMBER(J32),ISNUMBER(K32)),J32-K32,""))</x:f>
      </x:c>
      <x:c r="M32" s="114"/>
      <x:c r="N32" s="98" t="str">
        <x:f>IF(OR(D32="",E32=""),"",IF(COUNTIFS($D$6:D32,D32,$E$6:E32,E32)=1,MAX(SUMIFS($L$6:$L$505,$D$6:$D$505,D32,$E$6:$E$505,E32)-SUMIFS($M$6:$M$505,$D$6:$D$505,D32,$E$6:$E$505,E32),0),""))</x:f>
      </x:c>
    </x:row>
    <x:row r="33" ht="28" customHeight="1">
      <x:c r="A33" s="113" t="str">
        <x:f>IF(D33="","",IF(COUNTIFS(Trips!$A$6:$A$105,D33)=1,INDEX(Trips!$C$6:$C$105,MATCH(D33,Trips!$A$6:$A$105,0)),""))</x:f>
      </x:c>
      <x:c r="B33" s="90" t="str">
        <x:f>IF(D33="","",IF(COUNTIFS(Trips!$A$6:$A$105,D33)=1,INDEX(Trips!$B$6:$B$105,MATCH(D33,Trips!$A$6:$A$105,0)),""))</x:f>
      </x:c>
      <x:c r="C33" s="90" t="str">
        <x:f>IF(D33="","",IF(COUNTIFS(Trips!$A$6:$A$105,D33)=1,INDEX(Trips!$D$6:$D$105,MATCH(D33,Trips!$A$6:$A$105,0)),""))</x:f>
      </x:c>
      <x:c r="D33" s="107" t="str">
        <x:f>IF(Trips!B33="","",Trips!A33)</x:f>
      </x:c>
      <x:c r="E33" s="107"/>
      <x:c r="F33" s="90" t="str">
        <x:f>IF(E33="","",IF(COUNTIFS(Counters!$A$6:$A$105,E33)=1,INDEX(Counters!$B$6:$B$105,MATCH(E33,Counters!$A$6:$A$105,0)),""))</x:f>
      </x:c>
      <x:c r="G33" s="107"/>
      <x:c r="H33" s="98" t="str">
        <x:f>IF(C33="","",IF(COUNTIFS('Route List'!$F$6:$F$205,C33)=1,IF(COUNTIFS('Route List'!$F$6:$F$205,C33,'Route List'!$G$6:$G$205,"&lt;&gt;")=1,INDEX('Route List'!$G$6:$G$205,MATCH(C33,'Route List'!$F$6:$F$205,0)),"Enter route fare"),"Enter route fare"))</x:f>
      </x:c>
      <x:c r="I33" s="98" t="str">
        <x:f>IF(F33="","",IF(F33="Own",0,50))</x:f>
      </x:c>
      <x:c r="J33" s="98" t="str">
        <x:f>IF(OR(D33="",E33=""),"",IF(AND(ISNUMBER(G33),ISNUMBER(H33)),ROUND(G33*H33,2),""))</x:f>
      </x:c>
      <x:c r="K33" s="98" t="str">
        <x:f>IF(OR(D33="",E33=""),"",IF(AND(ISNUMBER(G33),ISNUMBER(I33)),ROUND(G33*I33,2),""))</x:f>
      </x:c>
      <x:c r="L33" s="98" t="str">
        <x:f>IF(OR(D33="",E33=""),"",IF(AND(ISNUMBER(J33),ISNUMBER(K33)),J33-K33,""))</x:f>
      </x:c>
      <x:c r="M33" s="114"/>
      <x:c r="N33" s="98" t="str">
        <x:f>IF(OR(D33="",E33=""),"",IF(COUNTIFS($D$6:D33,D33,$E$6:E33,E33)=1,MAX(SUMIFS($L$6:$L$505,$D$6:$D$505,D33,$E$6:$E$505,E33)-SUMIFS($M$6:$M$505,$D$6:$D$505,D33,$E$6:$E$505,E33),0),""))</x:f>
      </x:c>
    </x:row>
    <x:row r="34" ht="28" customHeight="1">
      <x:c r="A34" s="113" t="str">
        <x:f>IF(D34="","",IF(COUNTIFS(Trips!$A$6:$A$105,D34)=1,INDEX(Trips!$C$6:$C$105,MATCH(D34,Trips!$A$6:$A$105,0)),""))</x:f>
      </x:c>
      <x:c r="B34" s="90" t="str">
        <x:f>IF(D34="","",IF(COUNTIFS(Trips!$A$6:$A$105,D34)=1,INDEX(Trips!$B$6:$B$105,MATCH(D34,Trips!$A$6:$A$105,0)),""))</x:f>
      </x:c>
      <x:c r="C34" s="90" t="str">
        <x:f>IF(D34="","",IF(COUNTIFS(Trips!$A$6:$A$105,D34)=1,INDEX(Trips!$D$6:$D$105,MATCH(D34,Trips!$A$6:$A$105,0)),""))</x:f>
      </x:c>
      <x:c r="D34" s="107" t="str">
        <x:f>IF(Trips!B34="","",Trips!A34)</x:f>
      </x:c>
      <x:c r="E34" s="107"/>
      <x:c r="F34" s="90" t="str">
        <x:f>IF(E34="","",IF(COUNTIFS(Counters!$A$6:$A$105,E34)=1,INDEX(Counters!$B$6:$B$105,MATCH(E34,Counters!$A$6:$A$105,0)),""))</x:f>
      </x:c>
      <x:c r="G34" s="107"/>
      <x:c r="H34" s="98" t="str">
        <x:f>IF(C34="","",IF(COUNTIFS('Route List'!$F$6:$F$205,C34)=1,IF(COUNTIFS('Route List'!$F$6:$F$205,C34,'Route List'!$G$6:$G$205,"&lt;&gt;")=1,INDEX('Route List'!$G$6:$G$205,MATCH(C34,'Route List'!$F$6:$F$205,0)),"Enter route fare"),"Enter route fare"))</x:f>
      </x:c>
      <x:c r="I34" s="98" t="str">
        <x:f>IF(F34="","",IF(F34="Own",0,50))</x:f>
      </x:c>
      <x:c r="J34" s="98" t="str">
        <x:f>IF(OR(D34="",E34=""),"",IF(AND(ISNUMBER(G34),ISNUMBER(H34)),ROUND(G34*H34,2),""))</x:f>
      </x:c>
      <x:c r="K34" s="98" t="str">
        <x:f>IF(OR(D34="",E34=""),"",IF(AND(ISNUMBER(G34),ISNUMBER(I34)),ROUND(G34*I34,2),""))</x:f>
      </x:c>
      <x:c r="L34" s="98" t="str">
        <x:f>IF(OR(D34="",E34=""),"",IF(AND(ISNUMBER(J34),ISNUMBER(K34)),J34-K34,""))</x:f>
      </x:c>
      <x:c r="M34" s="114"/>
      <x:c r="N34" s="98" t="str">
        <x:f>IF(OR(D34="",E34=""),"",IF(COUNTIFS($D$6:D34,D34,$E$6:E34,E34)=1,MAX(SUMIFS($L$6:$L$505,$D$6:$D$505,D34,$E$6:$E$505,E34)-SUMIFS($M$6:$M$505,$D$6:$D$505,D34,$E$6:$E$505,E34),0),""))</x:f>
      </x:c>
    </x:row>
    <x:row r="35" ht="28" customHeight="1">
      <x:c r="A35" s="113" t="str">
        <x:f>IF(D35="","",IF(COUNTIFS(Trips!$A$6:$A$105,D35)=1,INDEX(Trips!$C$6:$C$105,MATCH(D35,Trips!$A$6:$A$105,0)),""))</x:f>
      </x:c>
      <x:c r="B35" s="90" t="str">
        <x:f>IF(D35="","",IF(COUNTIFS(Trips!$A$6:$A$105,D35)=1,INDEX(Trips!$B$6:$B$105,MATCH(D35,Trips!$A$6:$A$105,0)),""))</x:f>
      </x:c>
      <x:c r="C35" s="90" t="str">
        <x:f>IF(D35="","",IF(COUNTIFS(Trips!$A$6:$A$105,D35)=1,INDEX(Trips!$D$6:$D$105,MATCH(D35,Trips!$A$6:$A$105,0)),""))</x:f>
      </x:c>
      <x:c r="D35" s="107" t="str">
        <x:f>IF(Trips!B35="","",Trips!A35)</x:f>
      </x:c>
      <x:c r="E35" s="107"/>
      <x:c r="F35" s="90" t="str">
        <x:f>IF(E35="","",IF(COUNTIFS(Counters!$A$6:$A$105,E35)=1,INDEX(Counters!$B$6:$B$105,MATCH(E35,Counters!$A$6:$A$105,0)),""))</x:f>
      </x:c>
      <x:c r="G35" s="107"/>
      <x:c r="H35" s="98" t="str">
        <x:f>IF(C35="","",IF(COUNTIFS('Route List'!$F$6:$F$205,C35)=1,IF(COUNTIFS('Route List'!$F$6:$F$205,C35,'Route List'!$G$6:$G$205,"&lt;&gt;")=1,INDEX('Route List'!$G$6:$G$205,MATCH(C35,'Route List'!$F$6:$F$205,0)),"Enter route fare"),"Enter route fare"))</x:f>
      </x:c>
      <x:c r="I35" s="98" t="str">
        <x:f>IF(F35="","",IF(F35="Own",0,50))</x:f>
      </x:c>
      <x:c r="J35" s="98" t="str">
        <x:f>IF(OR(D35="",E35=""),"",IF(AND(ISNUMBER(G35),ISNUMBER(H35)),ROUND(G35*H35,2),""))</x:f>
      </x:c>
      <x:c r="K35" s="98" t="str">
        <x:f>IF(OR(D35="",E35=""),"",IF(AND(ISNUMBER(G35),ISNUMBER(I35)),ROUND(G35*I35,2),""))</x:f>
      </x:c>
      <x:c r="L35" s="98" t="str">
        <x:f>IF(OR(D35="",E35=""),"",IF(AND(ISNUMBER(J35),ISNUMBER(K35)),J35-K35,""))</x:f>
      </x:c>
      <x:c r="M35" s="114"/>
      <x:c r="N35" s="98" t="str">
        <x:f>IF(OR(D35="",E35=""),"",IF(COUNTIFS($D$6:D35,D35,$E$6:E35,E35)=1,MAX(SUMIFS($L$6:$L$505,$D$6:$D$505,D35,$E$6:$E$505,E35)-SUMIFS($M$6:$M$505,$D$6:$D$505,D35,$E$6:$E$505,E35),0),""))</x:f>
      </x:c>
    </x:row>
    <x:row r="36" ht="28" customHeight="1">
      <x:c r="A36" s="113" t="str">
        <x:f>IF(D36="","",IF(COUNTIFS(Trips!$A$6:$A$105,D36)=1,INDEX(Trips!$C$6:$C$105,MATCH(D36,Trips!$A$6:$A$105,0)),""))</x:f>
      </x:c>
      <x:c r="B36" s="90" t="str">
        <x:f>IF(D36="","",IF(COUNTIFS(Trips!$A$6:$A$105,D36)=1,INDEX(Trips!$B$6:$B$105,MATCH(D36,Trips!$A$6:$A$105,0)),""))</x:f>
      </x:c>
      <x:c r="C36" s="90" t="str">
        <x:f>IF(D36="","",IF(COUNTIFS(Trips!$A$6:$A$105,D36)=1,INDEX(Trips!$D$6:$D$105,MATCH(D36,Trips!$A$6:$A$105,0)),""))</x:f>
      </x:c>
      <x:c r="D36" s="107" t="str">
        <x:f>IF(Trips!B36="","",Trips!A36)</x:f>
      </x:c>
      <x:c r="E36" s="107"/>
      <x:c r="F36" s="90" t="str">
        <x:f>IF(E36="","",IF(COUNTIFS(Counters!$A$6:$A$105,E36)=1,INDEX(Counters!$B$6:$B$105,MATCH(E36,Counters!$A$6:$A$105,0)),""))</x:f>
      </x:c>
      <x:c r="G36" s="107"/>
      <x:c r="H36" s="98" t="str">
        <x:f>IF(C36="","",IF(COUNTIFS('Route List'!$F$6:$F$205,C36)=1,IF(COUNTIFS('Route List'!$F$6:$F$205,C36,'Route List'!$G$6:$G$205,"&lt;&gt;")=1,INDEX('Route List'!$G$6:$G$205,MATCH(C36,'Route List'!$F$6:$F$205,0)),"Enter route fare"),"Enter route fare"))</x:f>
      </x:c>
      <x:c r="I36" s="98" t="str">
        <x:f>IF(F36="","",IF(F36="Own",0,50))</x:f>
      </x:c>
      <x:c r="J36" s="98" t="str">
        <x:f>IF(OR(D36="",E36=""),"",IF(AND(ISNUMBER(G36),ISNUMBER(H36)),ROUND(G36*H36,2),""))</x:f>
      </x:c>
      <x:c r="K36" s="98" t="str">
        <x:f>IF(OR(D36="",E36=""),"",IF(AND(ISNUMBER(G36),ISNUMBER(I36)),ROUND(G36*I36,2),""))</x:f>
      </x:c>
      <x:c r="L36" s="98" t="str">
        <x:f>IF(OR(D36="",E36=""),"",IF(AND(ISNUMBER(J36),ISNUMBER(K36)),J36-K36,""))</x:f>
      </x:c>
      <x:c r="M36" s="114"/>
      <x:c r="N36" s="98" t="str">
        <x:f>IF(OR(D36="",E36=""),"",IF(COUNTIFS($D$6:D36,D36,$E$6:E36,E36)=1,MAX(SUMIFS($L$6:$L$505,$D$6:$D$505,D36,$E$6:$E$505,E36)-SUMIFS($M$6:$M$505,$D$6:$D$505,D36,$E$6:$E$505,E36),0),""))</x:f>
      </x:c>
    </x:row>
    <x:row r="37" ht="28" customHeight="1">
      <x:c r="A37" s="113" t="str">
        <x:f>IF(D37="","",IF(COUNTIFS(Trips!$A$6:$A$105,D37)=1,INDEX(Trips!$C$6:$C$105,MATCH(D37,Trips!$A$6:$A$105,0)),""))</x:f>
      </x:c>
      <x:c r="B37" s="90" t="str">
        <x:f>IF(D37="","",IF(COUNTIFS(Trips!$A$6:$A$105,D37)=1,INDEX(Trips!$B$6:$B$105,MATCH(D37,Trips!$A$6:$A$105,0)),""))</x:f>
      </x:c>
      <x:c r="C37" s="90" t="str">
        <x:f>IF(D37="","",IF(COUNTIFS(Trips!$A$6:$A$105,D37)=1,INDEX(Trips!$D$6:$D$105,MATCH(D37,Trips!$A$6:$A$105,0)),""))</x:f>
      </x:c>
      <x:c r="D37" s="107" t="str">
        <x:f>IF(Trips!B37="","",Trips!A37)</x:f>
      </x:c>
      <x:c r="E37" s="107"/>
      <x:c r="F37" s="90" t="str">
        <x:f>IF(E37="","",IF(COUNTIFS(Counters!$A$6:$A$105,E37)=1,INDEX(Counters!$B$6:$B$105,MATCH(E37,Counters!$A$6:$A$105,0)),""))</x:f>
      </x:c>
      <x:c r="G37" s="107"/>
      <x:c r="H37" s="98" t="str">
        <x:f>IF(C37="","",IF(COUNTIFS('Route List'!$F$6:$F$205,C37)=1,IF(COUNTIFS('Route List'!$F$6:$F$205,C37,'Route List'!$G$6:$G$205,"&lt;&gt;")=1,INDEX('Route List'!$G$6:$G$205,MATCH(C37,'Route List'!$F$6:$F$205,0)),"Enter route fare"),"Enter route fare"))</x:f>
      </x:c>
      <x:c r="I37" s="98" t="str">
        <x:f>IF(F37="","",IF(F37="Own",0,50))</x:f>
      </x:c>
      <x:c r="J37" s="98" t="str">
        <x:f>IF(OR(D37="",E37=""),"",IF(AND(ISNUMBER(G37),ISNUMBER(H37)),ROUND(G37*H37,2),""))</x:f>
      </x:c>
      <x:c r="K37" s="98" t="str">
        <x:f>IF(OR(D37="",E37=""),"",IF(AND(ISNUMBER(G37),ISNUMBER(I37)),ROUND(G37*I37,2),""))</x:f>
      </x:c>
      <x:c r="L37" s="98" t="str">
        <x:f>IF(OR(D37="",E37=""),"",IF(AND(ISNUMBER(J37),ISNUMBER(K37)),J37-K37,""))</x:f>
      </x:c>
      <x:c r="M37" s="114"/>
      <x:c r="N37" s="98" t="str">
        <x:f>IF(OR(D37="",E37=""),"",IF(COUNTIFS($D$6:D37,D37,$E$6:E37,E37)=1,MAX(SUMIFS($L$6:$L$505,$D$6:$D$505,D37,$E$6:$E$505,E37)-SUMIFS($M$6:$M$505,$D$6:$D$505,D37,$E$6:$E$505,E37),0),""))</x:f>
      </x:c>
    </x:row>
    <x:row r="38" ht="28" customHeight="1">
      <x:c r="A38" s="113" t="str">
        <x:f>IF(D38="","",IF(COUNTIFS(Trips!$A$6:$A$105,D38)=1,INDEX(Trips!$C$6:$C$105,MATCH(D38,Trips!$A$6:$A$105,0)),""))</x:f>
      </x:c>
      <x:c r="B38" s="90" t="str">
        <x:f>IF(D38="","",IF(COUNTIFS(Trips!$A$6:$A$105,D38)=1,INDEX(Trips!$B$6:$B$105,MATCH(D38,Trips!$A$6:$A$105,0)),""))</x:f>
      </x:c>
      <x:c r="C38" s="90" t="str">
        <x:f>IF(D38="","",IF(COUNTIFS(Trips!$A$6:$A$105,D38)=1,INDEX(Trips!$D$6:$D$105,MATCH(D38,Trips!$A$6:$A$105,0)),""))</x:f>
      </x:c>
      <x:c r="D38" s="107" t="str">
        <x:f>IF(Trips!B38="","",Trips!A38)</x:f>
      </x:c>
      <x:c r="E38" s="107"/>
      <x:c r="F38" s="90" t="str">
        <x:f>IF(E38="","",IF(COUNTIFS(Counters!$A$6:$A$105,E38)=1,INDEX(Counters!$B$6:$B$105,MATCH(E38,Counters!$A$6:$A$105,0)),""))</x:f>
      </x:c>
      <x:c r="G38" s="107"/>
      <x:c r="H38" s="98" t="str">
        <x:f>IF(C38="","",IF(COUNTIFS('Route List'!$F$6:$F$205,C38)=1,IF(COUNTIFS('Route List'!$F$6:$F$205,C38,'Route List'!$G$6:$G$205,"&lt;&gt;")=1,INDEX('Route List'!$G$6:$G$205,MATCH(C38,'Route List'!$F$6:$F$205,0)),"Enter route fare"),"Enter route fare"))</x:f>
      </x:c>
      <x:c r="I38" s="98" t="str">
        <x:f>IF(F38="","",IF(F38="Own",0,50))</x:f>
      </x:c>
      <x:c r="J38" s="98" t="str">
        <x:f>IF(OR(D38="",E38=""),"",IF(AND(ISNUMBER(G38),ISNUMBER(H38)),ROUND(G38*H38,2),""))</x:f>
      </x:c>
      <x:c r="K38" s="98" t="str">
        <x:f>IF(OR(D38="",E38=""),"",IF(AND(ISNUMBER(G38),ISNUMBER(I38)),ROUND(G38*I38,2),""))</x:f>
      </x:c>
      <x:c r="L38" s="98" t="str">
        <x:f>IF(OR(D38="",E38=""),"",IF(AND(ISNUMBER(J38),ISNUMBER(K38)),J38-K38,""))</x:f>
      </x:c>
      <x:c r="M38" s="114"/>
      <x:c r="N38" s="98" t="str">
        <x:f>IF(OR(D38="",E38=""),"",IF(COUNTIFS($D$6:D38,D38,$E$6:E38,E38)=1,MAX(SUMIFS($L$6:$L$505,$D$6:$D$505,D38,$E$6:$E$505,E38)-SUMIFS($M$6:$M$505,$D$6:$D$505,D38,$E$6:$E$505,E38),0),""))</x:f>
      </x:c>
    </x:row>
    <x:row r="39" ht="28" customHeight="1">
      <x:c r="A39" s="113" t="str">
        <x:f>IF(D39="","",IF(COUNTIFS(Trips!$A$6:$A$105,D39)=1,INDEX(Trips!$C$6:$C$105,MATCH(D39,Trips!$A$6:$A$105,0)),""))</x:f>
      </x:c>
      <x:c r="B39" s="90" t="str">
        <x:f>IF(D39="","",IF(COUNTIFS(Trips!$A$6:$A$105,D39)=1,INDEX(Trips!$B$6:$B$105,MATCH(D39,Trips!$A$6:$A$105,0)),""))</x:f>
      </x:c>
      <x:c r="C39" s="90" t="str">
        <x:f>IF(D39="","",IF(COUNTIFS(Trips!$A$6:$A$105,D39)=1,INDEX(Trips!$D$6:$D$105,MATCH(D39,Trips!$A$6:$A$105,0)),""))</x:f>
      </x:c>
      <x:c r="D39" s="107" t="str">
        <x:f>IF(Trips!B39="","",Trips!A39)</x:f>
      </x:c>
      <x:c r="E39" s="107"/>
      <x:c r="F39" s="90" t="str">
        <x:f>IF(E39="","",IF(COUNTIFS(Counters!$A$6:$A$105,E39)=1,INDEX(Counters!$B$6:$B$105,MATCH(E39,Counters!$A$6:$A$105,0)),""))</x:f>
      </x:c>
      <x:c r="G39" s="107"/>
      <x:c r="H39" s="98" t="str">
        <x:f>IF(C39="","",IF(COUNTIFS('Route List'!$F$6:$F$205,C39)=1,IF(COUNTIFS('Route List'!$F$6:$F$205,C39,'Route List'!$G$6:$G$205,"&lt;&gt;")=1,INDEX('Route List'!$G$6:$G$205,MATCH(C39,'Route List'!$F$6:$F$205,0)),"Enter route fare"),"Enter route fare"))</x:f>
      </x:c>
      <x:c r="I39" s="98" t="str">
        <x:f>IF(F39="","",IF(F39="Own",0,50))</x:f>
      </x:c>
      <x:c r="J39" s="98" t="str">
        <x:f>IF(OR(D39="",E39=""),"",IF(AND(ISNUMBER(G39),ISNUMBER(H39)),ROUND(G39*H39,2),""))</x:f>
      </x:c>
      <x:c r="K39" s="98" t="str">
        <x:f>IF(OR(D39="",E39=""),"",IF(AND(ISNUMBER(G39),ISNUMBER(I39)),ROUND(G39*I39,2),""))</x:f>
      </x:c>
      <x:c r="L39" s="98" t="str">
        <x:f>IF(OR(D39="",E39=""),"",IF(AND(ISNUMBER(J39),ISNUMBER(K39)),J39-K39,""))</x:f>
      </x:c>
      <x:c r="M39" s="114"/>
      <x:c r="N39" s="98" t="str">
        <x:f>IF(OR(D39="",E39=""),"",IF(COUNTIFS($D$6:D39,D39,$E$6:E39,E39)=1,MAX(SUMIFS($L$6:$L$505,$D$6:$D$505,D39,$E$6:$E$505,E39)-SUMIFS($M$6:$M$505,$D$6:$D$505,D39,$E$6:$E$505,E39),0),""))</x:f>
      </x:c>
    </x:row>
    <x:row r="40" ht="28" customHeight="1">
      <x:c r="A40" s="113" t="str">
        <x:f>IF(D40="","",IF(COUNTIFS(Trips!$A$6:$A$105,D40)=1,INDEX(Trips!$C$6:$C$105,MATCH(D40,Trips!$A$6:$A$105,0)),""))</x:f>
      </x:c>
      <x:c r="B40" s="90" t="str">
        <x:f>IF(D40="","",IF(COUNTIFS(Trips!$A$6:$A$105,D40)=1,INDEX(Trips!$B$6:$B$105,MATCH(D40,Trips!$A$6:$A$105,0)),""))</x:f>
      </x:c>
      <x:c r="C40" s="90" t="str">
        <x:f>IF(D40="","",IF(COUNTIFS(Trips!$A$6:$A$105,D40)=1,INDEX(Trips!$D$6:$D$105,MATCH(D40,Trips!$A$6:$A$105,0)),""))</x:f>
      </x:c>
      <x:c r="D40" s="107" t="str">
        <x:f>IF(Trips!B40="","",Trips!A40)</x:f>
      </x:c>
      <x:c r="E40" s="107"/>
      <x:c r="F40" s="90" t="str">
        <x:f>IF(E40="","",IF(COUNTIFS(Counters!$A$6:$A$105,E40)=1,INDEX(Counters!$B$6:$B$105,MATCH(E40,Counters!$A$6:$A$105,0)),""))</x:f>
      </x:c>
      <x:c r="G40" s="107"/>
      <x:c r="H40" s="98" t="str">
        <x:f>IF(C40="","",IF(COUNTIFS('Route List'!$F$6:$F$205,C40)=1,IF(COUNTIFS('Route List'!$F$6:$F$205,C40,'Route List'!$G$6:$G$205,"&lt;&gt;")=1,INDEX('Route List'!$G$6:$G$205,MATCH(C40,'Route List'!$F$6:$F$205,0)),"Enter route fare"),"Enter route fare"))</x:f>
      </x:c>
      <x:c r="I40" s="98" t="str">
        <x:f>IF(F40="","",IF(F40="Own",0,50))</x:f>
      </x:c>
      <x:c r="J40" s="98" t="str">
        <x:f>IF(OR(D40="",E40=""),"",IF(AND(ISNUMBER(G40),ISNUMBER(H40)),ROUND(G40*H40,2),""))</x:f>
      </x:c>
      <x:c r="K40" s="98" t="str">
        <x:f>IF(OR(D40="",E40=""),"",IF(AND(ISNUMBER(G40),ISNUMBER(I40)),ROUND(G40*I40,2),""))</x:f>
      </x:c>
      <x:c r="L40" s="98" t="str">
        <x:f>IF(OR(D40="",E40=""),"",IF(AND(ISNUMBER(J40),ISNUMBER(K40)),J40-K40,""))</x:f>
      </x:c>
      <x:c r="M40" s="114"/>
      <x:c r="N40" s="98" t="str">
        <x:f>IF(OR(D40="",E40=""),"",IF(COUNTIFS($D$6:D40,D40,$E$6:E40,E40)=1,MAX(SUMIFS($L$6:$L$505,$D$6:$D$505,D40,$E$6:$E$505,E40)-SUMIFS($M$6:$M$505,$D$6:$D$505,D40,$E$6:$E$505,E40),0),""))</x:f>
      </x:c>
    </x:row>
    <x:row r="41" ht="28" customHeight="1">
      <x:c r="A41" s="113" t="str">
        <x:f>IF(D41="","",IF(COUNTIFS(Trips!$A$6:$A$105,D41)=1,INDEX(Trips!$C$6:$C$105,MATCH(D41,Trips!$A$6:$A$105,0)),""))</x:f>
      </x:c>
      <x:c r="B41" s="90" t="str">
        <x:f>IF(D41="","",IF(COUNTIFS(Trips!$A$6:$A$105,D41)=1,INDEX(Trips!$B$6:$B$105,MATCH(D41,Trips!$A$6:$A$105,0)),""))</x:f>
      </x:c>
      <x:c r="C41" s="90" t="str">
        <x:f>IF(D41="","",IF(COUNTIFS(Trips!$A$6:$A$105,D41)=1,INDEX(Trips!$D$6:$D$105,MATCH(D41,Trips!$A$6:$A$105,0)),""))</x:f>
      </x:c>
      <x:c r="D41" s="107" t="str">
        <x:f>IF(Trips!B41="","",Trips!A41)</x:f>
      </x:c>
      <x:c r="E41" s="107"/>
      <x:c r="F41" s="90" t="str">
        <x:f>IF(E41="","",IF(COUNTIFS(Counters!$A$6:$A$105,E41)=1,INDEX(Counters!$B$6:$B$105,MATCH(E41,Counters!$A$6:$A$105,0)),""))</x:f>
      </x:c>
      <x:c r="G41" s="107"/>
      <x:c r="H41" s="98" t="str">
        <x:f>IF(C41="","",IF(COUNTIFS('Route List'!$F$6:$F$205,C41)=1,IF(COUNTIFS('Route List'!$F$6:$F$205,C41,'Route List'!$G$6:$G$205,"&lt;&gt;")=1,INDEX('Route List'!$G$6:$G$205,MATCH(C41,'Route List'!$F$6:$F$205,0)),"Enter route fare"),"Enter route fare"))</x:f>
      </x:c>
      <x:c r="I41" s="98" t="str">
        <x:f>IF(F41="","",IF(F41="Own",0,50))</x:f>
      </x:c>
      <x:c r="J41" s="98" t="str">
        <x:f>IF(OR(D41="",E41=""),"",IF(AND(ISNUMBER(G41),ISNUMBER(H41)),ROUND(G41*H41,2),""))</x:f>
      </x:c>
      <x:c r="K41" s="98" t="str">
        <x:f>IF(OR(D41="",E41=""),"",IF(AND(ISNUMBER(G41),ISNUMBER(I41)),ROUND(G41*I41,2),""))</x:f>
      </x:c>
      <x:c r="L41" s="98" t="str">
        <x:f>IF(OR(D41="",E41=""),"",IF(AND(ISNUMBER(J41),ISNUMBER(K41)),J41-K41,""))</x:f>
      </x:c>
      <x:c r="M41" s="114"/>
      <x:c r="N41" s="98" t="str">
        <x:f>IF(OR(D41="",E41=""),"",IF(COUNTIFS($D$6:D41,D41,$E$6:E41,E41)=1,MAX(SUMIFS($L$6:$L$505,$D$6:$D$505,D41,$E$6:$E$505,E41)-SUMIFS($M$6:$M$505,$D$6:$D$505,D41,$E$6:$E$505,E41),0),""))</x:f>
      </x:c>
    </x:row>
    <x:row r="42" ht="28" customHeight="1">
      <x:c r="A42" s="113" t="str">
        <x:f>IF(D42="","",IF(COUNTIFS(Trips!$A$6:$A$105,D42)=1,INDEX(Trips!$C$6:$C$105,MATCH(D42,Trips!$A$6:$A$105,0)),""))</x:f>
      </x:c>
      <x:c r="B42" s="90" t="str">
        <x:f>IF(D42="","",IF(COUNTIFS(Trips!$A$6:$A$105,D42)=1,INDEX(Trips!$B$6:$B$105,MATCH(D42,Trips!$A$6:$A$105,0)),""))</x:f>
      </x:c>
      <x:c r="C42" s="90" t="str">
        <x:f>IF(D42="","",IF(COUNTIFS(Trips!$A$6:$A$105,D42)=1,INDEX(Trips!$D$6:$D$105,MATCH(D42,Trips!$A$6:$A$105,0)),""))</x:f>
      </x:c>
      <x:c r="D42" s="107" t="str">
        <x:f>IF(Trips!B42="","",Trips!A42)</x:f>
      </x:c>
      <x:c r="E42" s="107"/>
      <x:c r="F42" s="90" t="str">
        <x:f>IF(E42="","",IF(COUNTIFS(Counters!$A$6:$A$105,E42)=1,INDEX(Counters!$B$6:$B$105,MATCH(E42,Counters!$A$6:$A$105,0)),""))</x:f>
      </x:c>
      <x:c r="G42" s="107"/>
      <x:c r="H42" s="98" t="str">
        <x:f>IF(C42="","",IF(COUNTIFS('Route List'!$F$6:$F$205,C42)=1,IF(COUNTIFS('Route List'!$F$6:$F$205,C42,'Route List'!$G$6:$G$205,"&lt;&gt;")=1,INDEX('Route List'!$G$6:$G$205,MATCH(C42,'Route List'!$F$6:$F$205,0)),"Enter route fare"),"Enter route fare"))</x:f>
      </x:c>
      <x:c r="I42" s="98" t="str">
        <x:f>IF(F42="","",IF(F42="Own",0,50))</x:f>
      </x:c>
      <x:c r="J42" s="98" t="str">
        <x:f>IF(OR(D42="",E42=""),"",IF(AND(ISNUMBER(G42),ISNUMBER(H42)),ROUND(G42*H42,2),""))</x:f>
      </x:c>
      <x:c r="K42" s="98" t="str">
        <x:f>IF(OR(D42="",E42=""),"",IF(AND(ISNUMBER(G42),ISNUMBER(I42)),ROUND(G42*I42,2),""))</x:f>
      </x:c>
      <x:c r="L42" s="98" t="str">
        <x:f>IF(OR(D42="",E42=""),"",IF(AND(ISNUMBER(J42),ISNUMBER(K42)),J42-K42,""))</x:f>
      </x:c>
      <x:c r="M42" s="114"/>
      <x:c r="N42" s="98" t="str">
        <x:f>IF(OR(D42="",E42=""),"",IF(COUNTIFS($D$6:D42,D42,$E$6:E42,E42)=1,MAX(SUMIFS($L$6:$L$505,$D$6:$D$505,D42,$E$6:$E$505,E42)-SUMIFS($M$6:$M$505,$D$6:$D$505,D42,$E$6:$E$505,E42),0),""))</x:f>
      </x:c>
    </x:row>
    <x:row r="43" ht="28" customHeight="1">
      <x:c r="A43" s="113" t="str">
        <x:f>IF(D43="","",IF(COUNTIFS(Trips!$A$6:$A$105,D43)=1,INDEX(Trips!$C$6:$C$105,MATCH(D43,Trips!$A$6:$A$105,0)),""))</x:f>
      </x:c>
      <x:c r="B43" s="90" t="str">
        <x:f>IF(D43="","",IF(COUNTIFS(Trips!$A$6:$A$105,D43)=1,INDEX(Trips!$B$6:$B$105,MATCH(D43,Trips!$A$6:$A$105,0)),""))</x:f>
      </x:c>
      <x:c r="C43" s="90" t="str">
        <x:f>IF(D43="","",IF(COUNTIFS(Trips!$A$6:$A$105,D43)=1,INDEX(Trips!$D$6:$D$105,MATCH(D43,Trips!$A$6:$A$105,0)),""))</x:f>
      </x:c>
      <x:c r="D43" s="107" t="str">
        <x:f>IF(Trips!B43="","",Trips!A43)</x:f>
      </x:c>
      <x:c r="E43" s="107"/>
      <x:c r="F43" s="90" t="str">
        <x:f>IF(E43="","",IF(COUNTIFS(Counters!$A$6:$A$105,E43)=1,INDEX(Counters!$B$6:$B$105,MATCH(E43,Counters!$A$6:$A$105,0)),""))</x:f>
      </x:c>
      <x:c r="G43" s="107"/>
      <x:c r="H43" s="98" t="str">
        <x:f>IF(C43="","",IF(COUNTIFS('Route List'!$F$6:$F$205,C43)=1,IF(COUNTIFS('Route List'!$F$6:$F$205,C43,'Route List'!$G$6:$G$205,"&lt;&gt;")=1,INDEX('Route List'!$G$6:$G$205,MATCH(C43,'Route List'!$F$6:$F$205,0)),"Enter route fare"),"Enter route fare"))</x:f>
      </x:c>
      <x:c r="I43" s="98" t="str">
        <x:f>IF(F43="","",IF(F43="Own",0,50))</x:f>
      </x:c>
      <x:c r="J43" s="98" t="str">
        <x:f>IF(OR(D43="",E43=""),"",IF(AND(ISNUMBER(G43),ISNUMBER(H43)),ROUND(G43*H43,2),""))</x:f>
      </x:c>
      <x:c r="K43" s="98" t="str">
        <x:f>IF(OR(D43="",E43=""),"",IF(AND(ISNUMBER(G43),ISNUMBER(I43)),ROUND(G43*I43,2),""))</x:f>
      </x:c>
      <x:c r="L43" s="98" t="str">
        <x:f>IF(OR(D43="",E43=""),"",IF(AND(ISNUMBER(J43),ISNUMBER(K43)),J43-K43,""))</x:f>
      </x:c>
      <x:c r="M43" s="114"/>
      <x:c r="N43" s="98" t="str">
        <x:f>IF(OR(D43="",E43=""),"",IF(COUNTIFS($D$6:D43,D43,$E$6:E43,E43)=1,MAX(SUMIFS($L$6:$L$505,$D$6:$D$505,D43,$E$6:$E$505,E43)-SUMIFS($M$6:$M$505,$D$6:$D$505,D43,$E$6:$E$505,E43),0),""))</x:f>
      </x:c>
    </x:row>
    <x:row r="44" ht="28" customHeight="1">
      <x:c r="A44" s="113" t="str">
        <x:f>IF(D44="","",IF(COUNTIFS(Trips!$A$6:$A$105,D44)=1,INDEX(Trips!$C$6:$C$105,MATCH(D44,Trips!$A$6:$A$105,0)),""))</x:f>
      </x:c>
      <x:c r="B44" s="90" t="str">
        <x:f>IF(D44="","",IF(COUNTIFS(Trips!$A$6:$A$105,D44)=1,INDEX(Trips!$B$6:$B$105,MATCH(D44,Trips!$A$6:$A$105,0)),""))</x:f>
      </x:c>
      <x:c r="C44" s="90" t="str">
        <x:f>IF(D44="","",IF(COUNTIFS(Trips!$A$6:$A$105,D44)=1,INDEX(Trips!$D$6:$D$105,MATCH(D44,Trips!$A$6:$A$105,0)),""))</x:f>
      </x:c>
      <x:c r="D44" s="107" t="str">
        <x:f>IF(Trips!B44="","",Trips!A44)</x:f>
      </x:c>
      <x:c r="E44" s="107"/>
      <x:c r="F44" s="90" t="str">
        <x:f>IF(E44="","",IF(COUNTIFS(Counters!$A$6:$A$105,E44)=1,INDEX(Counters!$B$6:$B$105,MATCH(E44,Counters!$A$6:$A$105,0)),""))</x:f>
      </x:c>
      <x:c r="G44" s="107"/>
      <x:c r="H44" s="98" t="str">
        <x:f>IF(C44="","",IF(COUNTIFS('Route List'!$F$6:$F$205,C44)=1,IF(COUNTIFS('Route List'!$F$6:$F$205,C44,'Route List'!$G$6:$G$205,"&lt;&gt;")=1,INDEX('Route List'!$G$6:$G$205,MATCH(C44,'Route List'!$F$6:$F$205,0)),"Enter route fare"),"Enter route fare"))</x:f>
      </x:c>
      <x:c r="I44" s="98" t="str">
        <x:f>IF(F44="","",IF(F44="Own",0,50))</x:f>
      </x:c>
      <x:c r="J44" s="98" t="str">
        <x:f>IF(OR(D44="",E44=""),"",IF(AND(ISNUMBER(G44),ISNUMBER(H44)),ROUND(G44*H44,2),""))</x:f>
      </x:c>
      <x:c r="K44" s="98" t="str">
        <x:f>IF(OR(D44="",E44=""),"",IF(AND(ISNUMBER(G44),ISNUMBER(I44)),ROUND(G44*I44,2),""))</x:f>
      </x:c>
      <x:c r="L44" s="98" t="str">
        <x:f>IF(OR(D44="",E44=""),"",IF(AND(ISNUMBER(J44),ISNUMBER(K44)),J44-K44,""))</x:f>
      </x:c>
      <x:c r="M44" s="114"/>
      <x:c r="N44" s="98" t="str">
        <x:f>IF(OR(D44="",E44=""),"",IF(COUNTIFS($D$6:D44,D44,$E$6:E44,E44)=1,MAX(SUMIFS($L$6:$L$505,$D$6:$D$505,D44,$E$6:$E$505,E44)-SUMIFS($M$6:$M$505,$D$6:$D$505,D44,$E$6:$E$505,E44),0),""))</x:f>
      </x:c>
    </x:row>
    <x:row r="45" ht="28" customHeight="1">
      <x:c r="A45" s="113" t="str">
        <x:f>IF(D45="","",IF(COUNTIFS(Trips!$A$6:$A$105,D45)=1,INDEX(Trips!$C$6:$C$105,MATCH(D45,Trips!$A$6:$A$105,0)),""))</x:f>
      </x:c>
      <x:c r="B45" s="90" t="str">
        <x:f>IF(D45="","",IF(COUNTIFS(Trips!$A$6:$A$105,D45)=1,INDEX(Trips!$B$6:$B$105,MATCH(D45,Trips!$A$6:$A$105,0)),""))</x:f>
      </x:c>
      <x:c r="C45" s="90" t="str">
        <x:f>IF(D45="","",IF(COUNTIFS(Trips!$A$6:$A$105,D45)=1,INDEX(Trips!$D$6:$D$105,MATCH(D45,Trips!$A$6:$A$105,0)),""))</x:f>
      </x:c>
      <x:c r="D45" s="107" t="str">
        <x:f>IF(Trips!B45="","",Trips!A45)</x:f>
      </x:c>
      <x:c r="E45" s="107"/>
      <x:c r="F45" s="90" t="str">
        <x:f>IF(E45="","",IF(COUNTIFS(Counters!$A$6:$A$105,E45)=1,INDEX(Counters!$B$6:$B$105,MATCH(E45,Counters!$A$6:$A$105,0)),""))</x:f>
      </x:c>
      <x:c r="G45" s="107"/>
      <x:c r="H45" s="98" t="str">
        <x:f>IF(C45="","",IF(COUNTIFS('Route List'!$F$6:$F$205,C45)=1,IF(COUNTIFS('Route List'!$F$6:$F$205,C45,'Route List'!$G$6:$G$205,"&lt;&gt;")=1,INDEX('Route List'!$G$6:$G$205,MATCH(C45,'Route List'!$F$6:$F$205,0)),"Enter route fare"),"Enter route fare"))</x:f>
      </x:c>
      <x:c r="I45" s="98" t="str">
        <x:f>IF(F45="","",IF(F45="Own",0,50))</x:f>
      </x:c>
      <x:c r="J45" s="98" t="str">
        <x:f>IF(OR(D45="",E45=""),"",IF(AND(ISNUMBER(G45),ISNUMBER(H45)),ROUND(G45*H45,2),""))</x:f>
      </x:c>
      <x:c r="K45" s="98" t="str">
        <x:f>IF(OR(D45="",E45=""),"",IF(AND(ISNUMBER(G45),ISNUMBER(I45)),ROUND(G45*I45,2),""))</x:f>
      </x:c>
      <x:c r="L45" s="98" t="str">
        <x:f>IF(OR(D45="",E45=""),"",IF(AND(ISNUMBER(J45),ISNUMBER(K45)),J45-K45,""))</x:f>
      </x:c>
      <x:c r="M45" s="114"/>
      <x:c r="N45" s="98" t="str">
        <x:f>IF(OR(D45="",E45=""),"",IF(COUNTIFS($D$6:D45,D45,$E$6:E45,E45)=1,MAX(SUMIFS($L$6:$L$505,$D$6:$D$505,D45,$E$6:$E$505,E45)-SUMIFS($M$6:$M$505,$D$6:$D$505,D45,$E$6:$E$505,E45),0),""))</x:f>
      </x:c>
    </x:row>
    <x:row r="46" ht="28" customHeight="1">
      <x:c r="A46" s="113" t="str">
        <x:f>IF(D46="","",IF(COUNTIFS(Trips!$A$6:$A$105,D46)=1,INDEX(Trips!$C$6:$C$105,MATCH(D46,Trips!$A$6:$A$105,0)),""))</x:f>
      </x:c>
      <x:c r="B46" s="90" t="str">
        <x:f>IF(D46="","",IF(COUNTIFS(Trips!$A$6:$A$105,D46)=1,INDEX(Trips!$B$6:$B$105,MATCH(D46,Trips!$A$6:$A$105,0)),""))</x:f>
      </x:c>
      <x:c r="C46" s="90" t="str">
        <x:f>IF(D46="","",IF(COUNTIFS(Trips!$A$6:$A$105,D46)=1,INDEX(Trips!$D$6:$D$105,MATCH(D46,Trips!$A$6:$A$105,0)),""))</x:f>
      </x:c>
      <x:c r="D46" s="107" t="str">
        <x:f>IF(Trips!B46="","",Trips!A46)</x:f>
      </x:c>
      <x:c r="E46" s="107"/>
      <x:c r="F46" s="90" t="str">
        <x:f>IF(E46="","",IF(COUNTIFS(Counters!$A$6:$A$105,E46)=1,INDEX(Counters!$B$6:$B$105,MATCH(E46,Counters!$A$6:$A$105,0)),""))</x:f>
      </x:c>
      <x:c r="G46" s="107"/>
      <x:c r="H46" s="98" t="str">
        <x:f>IF(C46="","",IF(COUNTIFS('Route List'!$F$6:$F$205,C46)=1,IF(COUNTIFS('Route List'!$F$6:$F$205,C46,'Route List'!$G$6:$G$205,"&lt;&gt;")=1,INDEX('Route List'!$G$6:$G$205,MATCH(C46,'Route List'!$F$6:$F$205,0)),"Enter route fare"),"Enter route fare"))</x:f>
      </x:c>
      <x:c r="I46" s="98" t="str">
        <x:f>IF(F46="","",IF(F46="Own",0,50))</x:f>
      </x:c>
      <x:c r="J46" s="98" t="str">
        <x:f>IF(OR(D46="",E46=""),"",IF(AND(ISNUMBER(G46),ISNUMBER(H46)),ROUND(G46*H46,2),""))</x:f>
      </x:c>
      <x:c r="K46" s="98" t="str">
        <x:f>IF(OR(D46="",E46=""),"",IF(AND(ISNUMBER(G46),ISNUMBER(I46)),ROUND(G46*I46,2),""))</x:f>
      </x:c>
      <x:c r="L46" s="98" t="str">
        <x:f>IF(OR(D46="",E46=""),"",IF(AND(ISNUMBER(J46),ISNUMBER(K46)),J46-K46,""))</x:f>
      </x:c>
      <x:c r="M46" s="114"/>
      <x:c r="N46" s="98" t="str">
        <x:f>IF(OR(D46="",E46=""),"",IF(COUNTIFS($D$6:D46,D46,$E$6:E46,E46)=1,MAX(SUMIFS($L$6:$L$505,$D$6:$D$505,D46,$E$6:$E$505,E46)-SUMIFS($M$6:$M$505,$D$6:$D$505,D46,$E$6:$E$505,E46),0),""))</x:f>
      </x:c>
    </x:row>
    <x:row r="47" ht="28" customHeight="1">
      <x:c r="A47" s="113" t="str">
        <x:f>IF(D47="","",IF(COUNTIFS(Trips!$A$6:$A$105,D47)=1,INDEX(Trips!$C$6:$C$105,MATCH(D47,Trips!$A$6:$A$105,0)),""))</x:f>
      </x:c>
      <x:c r="B47" s="90" t="str">
        <x:f>IF(D47="","",IF(COUNTIFS(Trips!$A$6:$A$105,D47)=1,INDEX(Trips!$B$6:$B$105,MATCH(D47,Trips!$A$6:$A$105,0)),""))</x:f>
      </x:c>
      <x:c r="C47" s="90" t="str">
        <x:f>IF(D47="","",IF(COUNTIFS(Trips!$A$6:$A$105,D47)=1,INDEX(Trips!$D$6:$D$105,MATCH(D47,Trips!$A$6:$A$105,0)),""))</x:f>
      </x:c>
      <x:c r="D47" s="107" t="str">
        <x:f>IF(Trips!B47="","",Trips!A47)</x:f>
      </x:c>
      <x:c r="E47" s="107"/>
      <x:c r="F47" s="90" t="str">
        <x:f>IF(E47="","",IF(COUNTIFS(Counters!$A$6:$A$105,E47)=1,INDEX(Counters!$B$6:$B$105,MATCH(E47,Counters!$A$6:$A$105,0)),""))</x:f>
      </x:c>
      <x:c r="G47" s="107"/>
      <x:c r="H47" s="98" t="str">
        <x:f>IF(C47="","",IF(COUNTIFS('Route List'!$F$6:$F$205,C47)=1,IF(COUNTIFS('Route List'!$F$6:$F$205,C47,'Route List'!$G$6:$G$205,"&lt;&gt;")=1,INDEX('Route List'!$G$6:$G$205,MATCH(C47,'Route List'!$F$6:$F$205,0)),"Enter route fare"),"Enter route fare"))</x:f>
      </x:c>
      <x:c r="I47" s="98" t="str">
        <x:f>IF(F47="","",IF(F47="Own",0,50))</x:f>
      </x:c>
      <x:c r="J47" s="98" t="str">
        <x:f>IF(OR(D47="",E47=""),"",IF(AND(ISNUMBER(G47),ISNUMBER(H47)),ROUND(G47*H47,2),""))</x:f>
      </x:c>
      <x:c r="K47" s="98" t="str">
        <x:f>IF(OR(D47="",E47=""),"",IF(AND(ISNUMBER(G47),ISNUMBER(I47)),ROUND(G47*I47,2),""))</x:f>
      </x:c>
      <x:c r="L47" s="98" t="str">
        <x:f>IF(OR(D47="",E47=""),"",IF(AND(ISNUMBER(J47),ISNUMBER(K47)),J47-K47,""))</x:f>
      </x:c>
      <x:c r="M47" s="114"/>
      <x:c r="N47" s="98" t="str">
        <x:f>IF(OR(D47="",E47=""),"",IF(COUNTIFS($D$6:D47,D47,$E$6:E47,E47)=1,MAX(SUMIFS($L$6:$L$505,$D$6:$D$505,D47,$E$6:$E$505,E47)-SUMIFS($M$6:$M$505,$D$6:$D$505,D47,$E$6:$E$505,E47),0),""))</x:f>
      </x:c>
    </x:row>
    <x:row r="48" ht="28" customHeight="1">
      <x:c r="A48" s="113" t="str">
        <x:f>IF(D48="","",IF(COUNTIFS(Trips!$A$6:$A$105,D48)=1,INDEX(Trips!$C$6:$C$105,MATCH(D48,Trips!$A$6:$A$105,0)),""))</x:f>
      </x:c>
      <x:c r="B48" s="90" t="str">
        <x:f>IF(D48="","",IF(COUNTIFS(Trips!$A$6:$A$105,D48)=1,INDEX(Trips!$B$6:$B$105,MATCH(D48,Trips!$A$6:$A$105,0)),""))</x:f>
      </x:c>
      <x:c r="C48" s="90" t="str">
        <x:f>IF(D48="","",IF(COUNTIFS(Trips!$A$6:$A$105,D48)=1,INDEX(Trips!$D$6:$D$105,MATCH(D48,Trips!$A$6:$A$105,0)),""))</x:f>
      </x:c>
      <x:c r="D48" s="107" t="str">
        <x:f>IF(Trips!B48="","",Trips!A48)</x:f>
      </x:c>
      <x:c r="E48" s="107"/>
      <x:c r="F48" s="90" t="str">
        <x:f>IF(E48="","",IF(COUNTIFS(Counters!$A$6:$A$105,E48)=1,INDEX(Counters!$B$6:$B$105,MATCH(E48,Counters!$A$6:$A$105,0)),""))</x:f>
      </x:c>
      <x:c r="G48" s="107"/>
      <x:c r="H48" s="98" t="str">
        <x:f>IF(C48="","",IF(COUNTIFS('Route List'!$F$6:$F$205,C48)=1,IF(COUNTIFS('Route List'!$F$6:$F$205,C48,'Route List'!$G$6:$G$205,"&lt;&gt;")=1,INDEX('Route List'!$G$6:$G$205,MATCH(C48,'Route List'!$F$6:$F$205,0)),"Enter route fare"),"Enter route fare"))</x:f>
      </x:c>
      <x:c r="I48" s="98" t="str">
        <x:f>IF(F48="","",IF(F48="Own",0,50))</x:f>
      </x:c>
      <x:c r="J48" s="98" t="str">
        <x:f>IF(OR(D48="",E48=""),"",IF(AND(ISNUMBER(G48),ISNUMBER(H48)),ROUND(G48*H48,2),""))</x:f>
      </x:c>
      <x:c r="K48" s="98" t="str">
        <x:f>IF(OR(D48="",E48=""),"",IF(AND(ISNUMBER(G48),ISNUMBER(I48)),ROUND(G48*I48,2),""))</x:f>
      </x:c>
      <x:c r="L48" s="98" t="str">
        <x:f>IF(OR(D48="",E48=""),"",IF(AND(ISNUMBER(J48),ISNUMBER(K48)),J48-K48,""))</x:f>
      </x:c>
      <x:c r="M48" s="114"/>
      <x:c r="N48" s="98" t="str">
        <x:f>IF(OR(D48="",E48=""),"",IF(COUNTIFS($D$6:D48,D48,$E$6:E48,E48)=1,MAX(SUMIFS($L$6:$L$505,$D$6:$D$505,D48,$E$6:$E$505,E48)-SUMIFS($M$6:$M$505,$D$6:$D$505,D48,$E$6:$E$505,E48),0),""))</x:f>
      </x:c>
    </x:row>
    <x:row r="49" ht="28" customHeight="1">
      <x:c r="A49" s="113" t="str">
        <x:f>IF(D49="","",IF(COUNTIFS(Trips!$A$6:$A$105,D49)=1,INDEX(Trips!$C$6:$C$105,MATCH(D49,Trips!$A$6:$A$105,0)),""))</x:f>
      </x:c>
      <x:c r="B49" s="90" t="str">
        <x:f>IF(D49="","",IF(COUNTIFS(Trips!$A$6:$A$105,D49)=1,INDEX(Trips!$B$6:$B$105,MATCH(D49,Trips!$A$6:$A$105,0)),""))</x:f>
      </x:c>
      <x:c r="C49" s="90" t="str">
        <x:f>IF(D49="","",IF(COUNTIFS(Trips!$A$6:$A$105,D49)=1,INDEX(Trips!$D$6:$D$105,MATCH(D49,Trips!$A$6:$A$105,0)),""))</x:f>
      </x:c>
      <x:c r="D49" s="107" t="str">
        <x:f>IF(Trips!B49="","",Trips!A49)</x:f>
      </x:c>
      <x:c r="E49" s="107"/>
      <x:c r="F49" s="90" t="str">
        <x:f>IF(E49="","",IF(COUNTIFS(Counters!$A$6:$A$105,E49)=1,INDEX(Counters!$B$6:$B$105,MATCH(E49,Counters!$A$6:$A$105,0)),""))</x:f>
      </x:c>
      <x:c r="G49" s="107"/>
      <x:c r="H49" s="98" t="str">
        <x:f>IF(C49="","",IF(COUNTIFS('Route List'!$F$6:$F$205,C49)=1,IF(COUNTIFS('Route List'!$F$6:$F$205,C49,'Route List'!$G$6:$G$205,"&lt;&gt;")=1,INDEX('Route List'!$G$6:$G$205,MATCH(C49,'Route List'!$F$6:$F$205,0)),"Enter route fare"),"Enter route fare"))</x:f>
      </x:c>
      <x:c r="I49" s="98" t="str">
        <x:f>IF(F49="","",IF(F49="Own",0,50))</x:f>
      </x:c>
      <x:c r="J49" s="98" t="str">
        <x:f>IF(OR(D49="",E49=""),"",IF(AND(ISNUMBER(G49),ISNUMBER(H49)),ROUND(G49*H49,2),""))</x:f>
      </x:c>
      <x:c r="K49" s="98" t="str">
        <x:f>IF(OR(D49="",E49=""),"",IF(AND(ISNUMBER(G49),ISNUMBER(I49)),ROUND(G49*I49,2),""))</x:f>
      </x:c>
      <x:c r="L49" s="98" t="str">
        <x:f>IF(OR(D49="",E49=""),"",IF(AND(ISNUMBER(J49),ISNUMBER(K49)),J49-K49,""))</x:f>
      </x:c>
      <x:c r="M49" s="114"/>
      <x:c r="N49" s="98" t="str">
        <x:f>IF(OR(D49="",E49=""),"",IF(COUNTIFS($D$6:D49,D49,$E$6:E49,E49)=1,MAX(SUMIFS($L$6:$L$505,$D$6:$D$505,D49,$E$6:$E$505,E49)-SUMIFS($M$6:$M$505,$D$6:$D$505,D49,$E$6:$E$505,E49),0),""))</x:f>
      </x:c>
    </x:row>
    <x:row r="50" ht="28" customHeight="1">
      <x:c r="A50" s="113" t="str">
        <x:f>IF(D50="","",IF(COUNTIFS(Trips!$A$6:$A$105,D50)=1,INDEX(Trips!$C$6:$C$105,MATCH(D50,Trips!$A$6:$A$105,0)),""))</x:f>
      </x:c>
      <x:c r="B50" s="90" t="str">
        <x:f>IF(D50="","",IF(COUNTIFS(Trips!$A$6:$A$105,D50)=1,INDEX(Trips!$B$6:$B$105,MATCH(D50,Trips!$A$6:$A$105,0)),""))</x:f>
      </x:c>
      <x:c r="C50" s="90" t="str">
        <x:f>IF(D50="","",IF(COUNTIFS(Trips!$A$6:$A$105,D50)=1,INDEX(Trips!$D$6:$D$105,MATCH(D50,Trips!$A$6:$A$105,0)),""))</x:f>
      </x:c>
      <x:c r="D50" s="107" t="str">
        <x:f>IF(Trips!B50="","",Trips!A50)</x:f>
      </x:c>
      <x:c r="E50" s="107"/>
      <x:c r="F50" s="90" t="str">
        <x:f>IF(E50="","",IF(COUNTIFS(Counters!$A$6:$A$105,E50)=1,INDEX(Counters!$B$6:$B$105,MATCH(E50,Counters!$A$6:$A$105,0)),""))</x:f>
      </x:c>
      <x:c r="G50" s="107"/>
      <x:c r="H50" s="98" t="str">
        <x:f>IF(C50="","",IF(COUNTIFS('Route List'!$F$6:$F$205,C50)=1,IF(COUNTIFS('Route List'!$F$6:$F$205,C50,'Route List'!$G$6:$G$205,"&lt;&gt;")=1,INDEX('Route List'!$G$6:$G$205,MATCH(C50,'Route List'!$F$6:$F$205,0)),"Enter route fare"),"Enter route fare"))</x:f>
      </x:c>
      <x:c r="I50" s="98" t="str">
        <x:f>IF(F50="","",IF(F50="Own",0,50))</x:f>
      </x:c>
      <x:c r="J50" s="98" t="str">
        <x:f>IF(OR(D50="",E50=""),"",IF(AND(ISNUMBER(G50),ISNUMBER(H50)),ROUND(G50*H50,2),""))</x:f>
      </x:c>
      <x:c r="K50" s="98" t="str">
        <x:f>IF(OR(D50="",E50=""),"",IF(AND(ISNUMBER(G50),ISNUMBER(I50)),ROUND(G50*I50,2),""))</x:f>
      </x:c>
      <x:c r="L50" s="98" t="str">
        <x:f>IF(OR(D50="",E50=""),"",IF(AND(ISNUMBER(J50),ISNUMBER(K50)),J50-K50,""))</x:f>
      </x:c>
      <x:c r="M50" s="114"/>
      <x:c r="N50" s="98" t="str">
        <x:f>IF(OR(D50="",E50=""),"",IF(COUNTIFS($D$6:D50,D50,$E$6:E50,E50)=1,MAX(SUMIFS($L$6:$L$505,$D$6:$D$505,D50,$E$6:$E$505,E50)-SUMIFS($M$6:$M$505,$D$6:$D$505,D50,$E$6:$E$505,E50),0),""))</x:f>
      </x:c>
    </x:row>
    <x:row r="51" ht="28" customHeight="1">
      <x:c r="A51" s="113" t="str">
        <x:f>IF(D51="","",IF(COUNTIFS(Trips!$A$6:$A$105,D51)=1,INDEX(Trips!$C$6:$C$105,MATCH(D51,Trips!$A$6:$A$105,0)),""))</x:f>
      </x:c>
      <x:c r="B51" s="90" t="str">
        <x:f>IF(D51="","",IF(COUNTIFS(Trips!$A$6:$A$105,D51)=1,INDEX(Trips!$B$6:$B$105,MATCH(D51,Trips!$A$6:$A$105,0)),""))</x:f>
      </x:c>
      <x:c r="C51" s="90" t="str">
        <x:f>IF(D51="","",IF(COUNTIFS(Trips!$A$6:$A$105,D51)=1,INDEX(Trips!$D$6:$D$105,MATCH(D51,Trips!$A$6:$A$105,0)),""))</x:f>
      </x:c>
      <x:c r="D51" s="107" t="str">
        <x:f>IF(Trips!B51="","",Trips!A51)</x:f>
      </x:c>
      <x:c r="E51" s="107"/>
      <x:c r="F51" s="90" t="str">
        <x:f>IF(E51="","",IF(COUNTIFS(Counters!$A$6:$A$105,E51)=1,INDEX(Counters!$B$6:$B$105,MATCH(E51,Counters!$A$6:$A$105,0)),""))</x:f>
      </x:c>
      <x:c r="G51" s="107"/>
      <x:c r="H51" s="98" t="str">
        <x:f>IF(C51="","",IF(COUNTIFS('Route List'!$F$6:$F$205,C51)=1,IF(COUNTIFS('Route List'!$F$6:$F$205,C51,'Route List'!$G$6:$G$205,"&lt;&gt;")=1,INDEX('Route List'!$G$6:$G$205,MATCH(C51,'Route List'!$F$6:$F$205,0)),"Enter route fare"),"Enter route fare"))</x:f>
      </x:c>
      <x:c r="I51" s="98" t="str">
        <x:f>IF(F51="","",IF(F51="Own",0,50))</x:f>
      </x:c>
      <x:c r="J51" s="98" t="str">
        <x:f>IF(OR(D51="",E51=""),"",IF(AND(ISNUMBER(G51),ISNUMBER(H51)),ROUND(G51*H51,2),""))</x:f>
      </x:c>
      <x:c r="K51" s="98" t="str">
        <x:f>IF(OR(D51="",E51=""),"",IF(AND(ISNUMBER(G51),ISNUMBER(I51)),ROUND(G51*I51,2),""))</x:f>
      </x:c>
      <x:c r="L51" s="98" t="str">
        <x:f>IF(OR(D51="",E51=""),"",IF(AND(ISNUMBER(J51),ISNUMBER(K51)),J51-K51,""))</x:f>
      </x:c>
      <x:c r="M51" s="114"/>
      <x:c r="N51" s="98" t="str">
        <x:f>IF(OR(D51="",E51=""),"",IF(COUNTIFS($D$6:D51,D51,$E$6:E51,E51)=1,MAX(SUMIFS($L$6:$L$505,$D$6:$D$505,D51,$E$6:$E$505,E51)-SUMIFS($M$6:$M$505,$D$6:$D$505,D51,$E$6:$E$505,E51),0),""))</x:f>
      </x:c>
    </x:row>
    <x:row r="52" ht="28" customHeight="1">
      <x:c r="A52" s="113" t="str">
        <x:f>IF(D52="","",IF(COUNTIFS(Trips!$A$6:$A$105,D52)=1,INDEX(Trips!$C$6:$C$105,MATCH(D52,Trips!$A$6:$A$105,0)),""))</x:f>
      </x:c>
      <x:c r="B52" s="90" t="str">
        <x:f>IF(D52="","",IF(COUNTIFS(Trips!$A$6:$A$105,D52)=1,INDEX(Trips!$B$6:$B$105,MATCH(D52,Trips!$A$6:$A$105,0)),""))</x:f>
      </x:c>
      <x:c r="C52" s="90" t="str">
        <x:f>IF(D52="","",IF(COUNTIFS(Trips!$A$6:$A$105,D52)=1,INDEX(Trips!$D$6:$D$105,MATCH(D52,Trips!$A$6:$A$105,0)),""))</x:f>
      </x:c>
      <x:c r="D52" s="107" t="str">
        <x:f>IF(Trips!B52="","",Trips!A52)</x:f>
      </x:c>
      <x:c r="E52" s="107"/>
      <x:c r="F52" s="90" t="str">
        <x:f>IF(E52="","",IF(COUNTIFS(Counters!$A$6:$A$105,E52)=1,INDEX(Counters!$B$6:$B$105,MATCH(E52,Counters!$A$6:$A$105,0)),""))</x:f>
      </x:c>
      <x:c r="G52" s="107"/>
      <x:c r="H52" s="98" t="str">
        <x:f>IF(C52="","",IF(COUNTIFS('Route List'!$F$6:$F$205,C52)=1,IF(COUNTIFS('Route List'!$F$6:$F$205,C52,'Route List'!$G$6:$G$205,"&lt;&gt;")=1,INDEX('Route List'!$G$6:$G$205,MATCH(C52,'Route List'!$F$6:$F$205,0)),"Enter route fare"),"Enter route fare"))</x:f>
      </x:c>
      <x:c r="I52" s="98" t="str">
        <x:f>IF(F52="","",IF(F52="Own",0,50))</x:f>
      </x:c>
      <x:c r="J52" s="98" t="str">
        <x:f>IF(OR(D52="",E52=""),"",IF(AND(ISNUMBER(G52),ISNUMBER(H52)),ROUND(G52*H52,2),""))</x:f>
      </x:c>
      <x:c r="K52" s="98" t="str">
        <x:f>IF(OR(D52="",E52=""),"",IF(AND(ISNUMBER(G52),ISNUMBER(I52)),ROUND(G52*I52,2),""))</x:f>
      </x:c>
      <x:c r="L52" s="98" t="str">
        <x:f>IF(OR(D52="",E52=""),"",IF(AND(ISNUMBER(J52),ISNUMBER(K52)),J52-K52,""))</x:f>
      </x:c>
      <x:c r="M52" s="114"/>
      <x:c r="N52" s="98" t="str">
        <x:f>IF(OR(D52="",E52=""),"",IF(COUNTIFS($D$6:D52,D52,$E$6:E52,E52)=1,MAX(SUMIFS($L$6:$L$505,$D$6:$D$505,D52,$E$6:$E$505,E52)-SUMIFS($M$6:$M$505,$D$6:$D$505,D52,$E$6:$E$505,E52),0),""))</x:f>
      </x:c>
    </x:row>
    <x:row r="53" ht="28" customHeight="1">
      <x:c r="A53" s="113" t="str">
        <x:f>IF(D53="","",IF(COUNTIFS(Trips!$A$6:$A$105,D53)=1,INDEX(Trips!$C$6:$C$105,MATCH(D53,Trips!$A$6:$A$105,0)),""))</x:f>
      </x:c>
      <x:c r="B53" s="90" t="str">
        <x:f>IF(D53="","",IF(COUNTIFS(Trips!$A$6:$A$105,D53)=1,INDEX(Trips!$B$6:$B$105,MATCH(D53,Trips!$A$6:$A$105,0)),""))</x:f>
      </x:c>
      <x:c r="C53" s="90" t="str">
        <x:f>IF(D53="","",IF(COUNTIFS(Trips!$A$6:$A$105,D53)=1,INDEX(Trips!$D$6:$D$105,MATCH(D53,Trips!$A$6:$A$105,0)),""))</x:f>
      </x:c>
      <x:c r="D53" s="107" t="str">
        <x:f>IF(Trips!B53="","",Trips!A53)</x:f>
      </x:c>
      <x:c r="E53" s="107"/>
      <x:c r="F53" s="90" t="str">
        <x:f>IF(E53="","",IF(COUNTIFS(Counters!$A$6:$A$105,E53)=1,INDEX(Counters!$B$6:$B$105,MATCH(E53,Counters!$A$6:$A$105,0)),""))</x:f>
      </x:c>
      <x:c r="G53" s="107"/>
      <x:c r="H53" s="98" t="str">
        <x:f>IF(C53="","",IF(COUNTIFS('Route List'!$F$6:$F$205,C53)=1,IF(COUNTIFS('Route List'!$F$6:$F$205,C53,'Route List'!$G$6:$G$205,"&lt;&gt;")=1,INDEX('Route List'!$G$6:$G$205,MATCH(C53,'Route List'!$F$6:$F$205,0)),"Enter route fare"),"Enter route fare"))</x:f>
      </x:c>
      <x:c r="I53" s="98" t="str">
        <x:f>IF(F53="","",IF(F53="Own",0,50))</x:f>
      </x:c>
      <x:c r="J53" s="98" t="str">
        <x:f>IF(OR(D53="",E53=""),"",IF(AND(ISNUMBER(G53),ISNUMBER(H53)),ROUND(G53*H53,2),""))</x:f>
      </x:c>
      <x:c r="K53" s="98" t="str">
        <x:f>IF(OR(D53="",E53=""),"",IF(AND(ISNUMBER(G53),ISNUMBER(I53)),ROUND(G53*I53,2),""))</x:f>
      </x:c>
      <x:c r="L53" s="98" t="str">
        <x:f>IF(OR(D53="",E53=""),"",IF(AND(ISNUMBER(J53),ISNUMBER(K53)),J53-K53,""))</x:f>
      </x:c>
      <x:c r="M53" s="114"/>
      <x:c r="N53" s="98" t="str">
        <x:f>IF(OR(D53="",E53=""),"",IF(COUNTIFS($D$6:D53,D53,$E$6:E53,E53)=1,MAX(SUMIFS($L$6:$L$505,$D$6:$D$505,D53,$E$6:$E$505,E53)-SUMIFS($M$6:$M$505,$D$6:$D$505,D53,$E$6:$E$505,E53),0),""))</x:f>
      </x:c>
    </x:row>
    <x:row r="54" ht="28" customHeight="1">
      <x:c r="A54" s="113" t="str">
        <x:f>IF(D54="","",IF(COUNTIFS(Trips!$A$6:$A$105,D54)=1,INDEX(Trips!$C$6:$C$105,MATCH(D54,Trips!$A$6:$A$105,0)),""))</x:f>
      </x:c>
      <x:c r="B54" s="90" t="str">
        <x:f>IF(D54="","",IF(COUNTIFS(Trips!$A$6:$A$105,D54)=1,INDEX(Trips!$B$6:$B$105,MATCH(D54,Trips!$A$6:$A$105,0)),""))</x:f>
      </x:c>
      <x:c r="C54" s="90" t="str">
        <x:f>IF(D54="","",IF(COUNTIFS(Trips!$A$6:$A$105,D54)=1,INDEX(Trips!$D$6:$D$105,MATCH(D54,Trips!$A$6:$A$105,0)),""))</x:f>
      </x:c>
      <x:c r="D54" s="107" t="str">
        <x:f>IF(Trips!B54="","",Trips!A54)</x:f>
      </x:c>
      <x:c r="E54" s="107"/>
      <x:c r="F54" s="90" t="str">
        <x:f>IF(E54="","",IF(COUNTIFS(Counters!$A$6:$A$105,E54)=1,INDEX(Counters!$B$6:$B$105,MATCH(E54,Counters!$A$6:$A$105,0)),""))</x:f>
      </x:c>
      <x:c r="G54" s="107"/>
      <x:c r="H54" s="98" t="str">
        <x:f>IF(C54="","",IF(COUNTIFS('Route List'!$F$6:$F$205,C54)=1,IF(COUNTIFS('Route List'!$F$6:$F$205,C54,'Route List'!$G$6:$G$205,"&lt;&gt;")=1,INDEX('Route List'!$G$6:$G$205,MATCH(C54,'Route List'!$F$6:$F$205,0)),"Enter route fare"),"Enter route fare"))</x:f>
      </x:c>
      <x:c r="I54" s="98" t="str">
        <x:f>IF(F54="","",IF(F54="Own",0,50))</x:f>
      </x:c>
      <x:c r="J54" s="98" t="str">
        <x:f>IF(OR(D54="",E54=""),"",IF(AND(ISNUMBER(G54),ISNUMBER(H54)),ROUND(G54*H54,2),""))</x:f>
      </x:c>
      <x:c r="K54" s="98" t="str">
        <x:f>IF(OR(D54="",E54=""),"",IF(AND(ISNUMBER(G54),ISNUMBER(I54)),ROUND(G54*I54,2),""))</x:f>
      </x:c>
      <x:c r="L54" s="98" t="str">
        <x:f>IF(OR(D54="",E54=""),"",IF(AND(ISNUMBER(J54),ISNUMBER(K54)),J54-K54,""))</x:f>
      </x:c>
      <x:c r="M54" s="114"/>
      <x:c r="N54" s="98" t="str">
        <x:f>IF(OR(D54="",E54=""),"",IF(COUNTIFS($D$6:D54,D54,$E$6:E54,E54)=1,MAX(SUMIFS($L$6:$L$505,$D$6:$D$505,D54,$E$6:$E$505,E54)-SUMIFS($M$6:$M$505,$D$6:$D$505,D54,$E$6:$E$505,E54),0),""))</x:f>
      </x:c>
    </x:row>
    <x:row r="55" ht="28" customHeight="1">
      <x:c r="A55" s="113" t="str">
        <x:f>IF(D55="","",IF(COUNTIFS(Trips!$A$6:$A$105,D55)=1,INDEX(Trips!$C$6:$C$105,MATCH(D55,Trips!$A$6:$A$105,0)),""))</x:f>
      </x:c>
      <x:c r="B55" s="90" t="str">
        <x:f>IF(D55="","",IF(COUNTIFS(Trips!$A$6:$A$105,D55)=1,INDEX(Trips!$B$6:$B$105,MATCH(D55,Trips!$A$6:$A$105,0)),""))</x:f>
      </x:c>
      <x:c r="C55" s="90" t="str">
        <x:f>IF(D55="","",IF(COUNTIFS(Trips!$A$6:$A$105,D55)=1,INDEX(Trips!$D$6:$D$105,MATCH(D55,Trips!$A$6:$A$105,0)),""))</x:f>
      </x:c>
      <x:c r="D55" s="107" t="str">
        <x:f>IF(Trips!B55="","",Trips!A55)</x:f>
      </x:c>
      <x:c r="E55" s="107"/>
      <x:c r="F55" s="90" t="str">
        <x:f>IF(E55="","",IF(COUNTIFS(Counters!$A$6:$A$105,E55)=1,INDEX(Counters!$B$6:$B$105,MATCH(E55,Counters!$A$6:$A$105,0)),""))</x:f>
      </x:c>
      <x:c r="G55" s="107"/>
      <x:c r="H55" s="98" t="str">
        <x:f>IF(C55="","",IF(COUNTIFS('Route List'!$F$6:$F$205,C55)=1,IF(COUNTIFS('Route List'!$F$6:$F$205,C55,'Route List'!$G$6:$G$205,"&lt;&gt;")=1,INDEX('Route List'!$G$6:$G$205,MATCH(C55,'Route List'!$F$6:$F$205,0)),"Enter route fare"),"Enter route fare"))</x:f>
      </x:c>
      <x:c r="I55" s="98" t="str">
        <x:f>IF(F55="","",IF(F55="Own",0,50))</x:f>
      </x:c>
      <x:c r="J55" s="98" t="str">
        <x:f>IF(OR(D55="",E55=""),"",IF(AND(ISNUMBER(G55),ISNUMBER(H55)),ROUND(G55*H55,2),""))</x:f>
      </x:c>
      <x:c r="K55" s="98" t="str">
        <x:f>IF(OR(D55="",E55=""),"",IF(AND(ISNUMBER(G55),ISNUMBER(I55)),ROUND(G55*I55,2),""))</x:f>
      </x:c>
      <x:c r="L55" s="98" t="str">
        <x:f>IF(OR(D55="",E55=""),"",IF(AND(ISNUMBER(J55),ISNUMBER(K55)),J55-K55,""))</x:f>
      </x:c>
      <x:c r="M55" s="114"/>
      <x:c r="N55" s="98" t="str">
        <x:f>IF(OR(D55="",E55=""),"",IF(COUNTIFS($D$6:D55,D55,$E$6:E55,E55)=1,MAX(SUMIFS($L$6:$L$505,$D$6:$D$505,D55,$E$6:$E$505,E55)-SUMIFS($M$6:$M$505,$D$6:$D$505,D55,$E$6:$E$505,E55),0),""))</x:f>
      </x:c>
    </x:row>
    <x:row r="56" ht="28" customHeight="1">
      <x:c r="A56" s="113" t="str">
        <x:f>IF(D56="","",IF(COUNTIFS(Trips!$A$6:$A$105,D56)=1,INDEX(Trips!$C$6:$C$105,MATCH(D56,Trips!$A$6:$A$105,0)),""))</x:f>
      </x:c>
      <x:c r="B56" s="90" t="str">
        <x:f>IF(D56="","",IF(COUNTIFS(Trips!$A$6:$A$105,D56)=1,INDEX(Trips!$B$6:$B$105,MATCH(D56,Trips!$A$6:$A$105,0)),""))</x:f>
      </x:c>
      <x:c r="C56" s="90" t="str">
        <x:f>IF(D56="","",IF(COUNTIFS(Trips!$A$6:$A$105,D56)=1,INDEX(Trips!$D$6:$D$105,MATCH(D56,Trips!$A$6:$A$105,0)),""))</x:f>
      </x:c>
      <x:c r="D56" s="107" t="str">
        <x:f>IF(Trips!B56="","",Trips!A56)</x:f>
      </x:c>
      <x:c r="E56" s="107"/>
      <x:c r="F56" s="90" t="str">
        <x:f>IF(E56="","",IF(COUNTIFS(Counters!$A$6:$A$105,E56)=1,INDEX(Counters!$B$6:$B$105,MATCH(E56,Counters!$A$6:$A$105,0)),""))</x:f>
      </x:c>
      <x:c r="G56" s="107"/>
      <x:c r="H56" s="98" t="str">
        <x:f>IF(C56="","",IF(COUNTIFS('Route List'!$F$6:$F$205,C56)=1,IF(COUNTIFS('Route List'!$F$6:$F$205,C56,'Route List'!$G$6:$G$205,"&lt;&gt;")=1,INDEX('Route List'!$G$6:$G$205,MATCH(C56,'Route List'!$F$6:$F$205,0)),"Enter route fare"),"Enter route fare"))</x:f>
      </x:c>
      <x:c r="I56" s="98" t="str">
        <x:f>IF(F56="","",IF(F56="Own",0,50))</x:f>
      </x:c>
      <x:c r="J56" s="98" t="str">
        <x:f>IF(OR(D56="",E56=""),"",IF(AND(ISNUMBER(G56),ISNUMBER(H56)),ROUND(G56*H56,2),""))</x:f>
      </x:c>
      <x:c r="K56" s="98" t="str">
        <x:f>IF(OR(D56="",E56=""),"",IF(AND(ISNUMBER(G56),ISNUMBER(I56)),ROUND(G56*I56,2),""))</x:f>
      </x:c>
      <x:c r="L56" s="98" t="str">
        <x:f>IF(OR(D56="",E56=""),"",IF(AND(ISNUMBER(J56),ISNUMBER(K56)),J56-K56,""))</x:f>
      </x:c>
      <x:c r="M56" s="114"/>
      <x:c r="N56" s="98" t="str">
        <x:f>IF(OR(D56="",E56=""),"",IF(COUNTIFS($D$6:D56,D56,$E$6:E56,E56)=1,MAX(SUMIFS($L$6:$L$505,$D$6:$D$505,D56,$E$6:$E$505,E56)-SUMIFS($M$6:$M$505,$D$6:$D$505,D56,$E$6:$E$505,E56),0),""))</x:f>
      </x:c>
    </x:row>
    <x:row r="57" ht="28" customHeight="1">
      <x:c r="A57" s="113" t="str">
        <x:f>IF(D57="","",IF(COUNTIFS(Trips!$A$6:$A$105,D57)=1,INDEX(Trips!$C$6:$C$105,MATCH(D57,Trips!$A$6:$A$105,0)),""))</x:f>
      </x:c>
      <x:c r="B57" s="90" t="str">
        <x:f>IF(D57="","",IF(COUNTIFS(Trips!$A$6:$A$105,D57)=1,INDEX(Trips!$B$6:$B$105,MATCH(D57,Trips!$A$6:$A$105,0)),""))</x:f>
      </x:c>
      <x:c r="C57" s="90" t="str">
        <x:f>IF(D57="","",IF(COUNTIFS(Trips!$A$6:$A$105,D57)=1,INDEX(Trips!$D$6:$D$105,MATCH(D57,Trips!$A$6:$A$105,0)),""))</x:f>
      </x:c>
      <x:c r="D57" s="107" t="str">
        <x:f>IF(Trips!B57="","",Trips!A57)</x:f>
      </x:c>
      <x:c r="E57" s="107"/>
      <x:c r="F57" s="90" t="str">
        <x:f>IF(E57="","",IF(COUNTIFS(Counters!$A$6:$A$105,E57)=1,INDEX(Counters!$B$6:$B$105,MATCH(E57,Counters!$A$6:$A$105,0)),""))</x:f>
      </x:c>
      <x:c r="G57" s="107"/>
      <x:c r="H57" s="98" t="str">
        <x:f>IF(C57="","",IF(COUNTIFS('Route List'!$F$6:$F$205,C57)=1,IF(COUNTIFS('Route List'!$F$6:$F$205,C57,'Route List'!$G$6:$G$205,"&lt;&gt;")=1,INDEX('Route List'!$G$6:$G$205,MATCH(C57,'Route List'!$F$6:$F$205,0)),"Enter route fare"),"Enter route fare"))</x:f>
      </x:c>
      <x:c r="I57" s="98" t="str">
        <x:f>IF(F57="","",IF(F57="Own",0,50))</x:f>
      </x:c>
      <x:c r="J57" s="98" t="str">
        <x:f>IF(OR(D57="",E57=""),"",IF(AND(ISNUMBER(G57),ISNUMBER(H57)),ROUND(G57*H57,2),""))</x:f>
      </x:c>
      <x:c r="K57" s="98" t="str">
        <x:f>IF(OR(D57="",E57=""),"",IF(AND(ISNUMBER(G57),ISNUMBER(I57)),ROUND(G57*I57,2),""))</x:f>
      </x:c>
      <x:c r="L57" s="98" t="str">
        <x:f>IF(OR(D57="",E57=""),"",IF(AND(ISNUMBER(J57),ISNUMBER(K57)),J57-K57,""))</x:f>
      </x:c>
      <x:c r="M57" s="114"/>
      <x:c r="N57" s="98" t="str">
        <x:f>IF(OR(D57="",E57=""),"",IF(COUNTIFS($D$6:D57,D57,$E$6:E57,E57)=1,MAX(SUMIFS($L$6:$L$505,$D$6:$D$505,D57,$E$6:$E$505,E57)-SUMIFS($M$6:$M$505,$D$6:$D$505,D57,$E$6:$E$505,E57),0),""))</x:f>
      </x:c>
    </x:row>
    <x:row r="58" ht="28" customHeight="1">
      <x:c r="A58" s="113" t="str">
        <x:f>IF(D58="","",IF(COUNTIFS(Trips!$A$6:$A$105,D58)=1,INDEX(Trips!$C$6:$C$105,MATCH(D58,Trips!$A$6:$A$105,0)),""))</x:f>
      </x:c>
      <x:c r="B58" s="90" t="str">
        <x:f>IF(D58="","",IF(COUNTIFS(Trips!$A$6:$A$105,D58)=1,INDEX(Trips!$B$6:$B$105,MATCH(D58,Trips!$A$6:$A$105,0)),""))</x:f>
      </x:c>
      <x:c r="C58" s="90" t="str">
        <x:f>IF(D58="","",IF(COUNTIFS(Trips!$A$6:$A$105,D58)=1,INDEX(Trips!$D$6:$D$105,MATCH(D58,Trips!$A$6:$A$105,0)),""))</x:f>
      </x:c>
      <x:c r="D58" s="107" t="str">
        <x:f>IF(Trips!B58="","",Trips!A58)</x:f>
      </x:c>
      <x:c r="E58" s="107"/>
      <x:c r="F58" s="90" t="str">
        <x:f>IF(E58="","",IF(COUNTIFS(Counters!$A$6:$A$105,E58)=1,INDEX(Counters!$B$6:$B$105,MATCH(E58,Counters!$A$6:$A$105,0)),""))</x:f>
      </x:c>
      <x:c r="G58" s="107"/>
      <x:c r="H58" s="98" t="str">
        <x:f>IF(C58="","",IF(COUNTIFS('Route List'!$F$6:$F$205,C58)=1,IF(COUNTIFS('Route List'!$F$6:$F$205,C58,'Route List'!$G$6:$G$205,"&lt;&gt;")=1,INDEX('Route List'!$G$6:$G$205,MATCH(C58,'Route List'!$F$6:$F$205,0)),"Enter route fare"),"Enter route fare"))</x:f>
      </x:c>
      <x:c r="I58" s="98" t="str">
        <x:f>IF(F58="","",IF(F58="Own",0,50))</x:f>
      </x:c>
      <x:c r="J58" s="98" t="str">
        <x:f>IF(OR(D58="",E58=""),"",IF(AND(ISNUMBER(G58),ISNUMBER(H58)),ROUND(G58*H58,2),""))</x:f>
      </x:c>
      <x:c r="K58" s="98" t="str">
        <x:f>IF(OR(D58="",E58=""),"",IF(AND(ISNUMBER(G58),ISNUMBER(I58)),ROUND(G58*I58,2),""))</x:f>
      </x:c>
      <x:c r="L58" s="98" t="str">
        <x:f>IF(OR(D58="",E58=""),"",IF(AND(ISNUMBER(J58),ISNUMBER(K58)),J58-K58,""))</x:f>
      </x:c>
      <x:c r="M58" s="114"/>
      <x:c r="N58" s="98" t="str">
        <x:f>IF(OR(D58="",E58=""),"",IF(COUNTIFS($D$6:D58,D58,$E$6:E58,E58)=1,MAX(SUMIFS($L$6:$L$505,$D$6:$D$505,D58,$E$6:$E$505,E58)-SUMIFS($M$6:$M$505,$D$6:$D$505,D58,$E$6:$E$505,E58),0),""))</x:f>
      </x:c>
    </x:row>
    <x:row r="59" ht="28" customHeight="1">
      <x:c r="A59" s="113" t="str">
        <x:f>IF(D59="","",IF(COUNTIFS(Trips!$A$6:$A$105,D59)=1,INDEX(Trips!$C$6:$C$105,MATCH(D59,Trips!$A$6:$A$105,0)),""))</x:f>
      </x:c>
      <x:c r="B59" s="90" t="str">
        <x:f>IF(D59="","",IF(COUNTIFS(Trips!$A$6:$A$105,D59)=1,INDEX(Trips!$B$6:$B$105,MATCH(D59,Trips!$A$6:$A$105,0)),""))</x:f>
      </x:c>
      <x:c r="C59" s="90" t="str">
        <x:f>IF(D59="","",IF(COUNTIFS(Trips!$A$6:$A$105,D59)=1,INDEX(Trips!$D$6:$D$105,MATCH(D59,Trips!$A$6:$A$105,0)),""))</x:f>
      </x:c>
      <x:c r="D59" s="107" t="str">
        <x:f>IF(Trips!B59="","",Trips!A59)</x:f>
      </x:c>
      <x:c r="E59" s="107"/>
      <x:c r="F59" s="90" t="str">
        <x:f>IF(E59="","",IF(COUNTIFS(Counters!$A$6:$A$105,E59)=1,INDEX(Counters!$B$6:$B$105,MATCH(E59,Counters!$A$6:$A$105,0)),""))</x:f>
      </x:c>
      <x:c r="G59" s="107"/>
      <x:c r="H59" s="98" t="str">
        <x:f>IF(C59="","",IF(COUNTIFS('Route List'!$F$6:$F$205,C59)=1,IF(COUNTIFS('Route List'!$F$6:$F$205,C59,'Route List'!$G$6:$G$205,"&lt;&gt;")=1,INDEX('Route List'!$G$6:$G$205,MATCH(C59,'Route List'!$F$6:$F$205,0)),"Enter route fare"),"Enter route fare"))</x:f>
      </x:c>
      <x:c r="I59" s="98" t="str">
        <x:f>IF(F59="","",IF(F59="Own",0,50))</x:f>
      </x:c>
      <x:c r="J59" s="98" t="str">
        <x:f>IF(OR(D59="",E59=""),"",IF(AND(ISNUMBER(G59),ISNUMBER(H59)),ROUND(G59*H59,2),""))</x:f>
      </x:c>
      <x:c r="K59" s="98" t="str">
        <x:f>IF(OR(D59="",E59=""),"",IF(AND(ISNUMBER(G59),ISNUMBER(I59)),ROUND(G59*I59,2),""))</x:f>
      </x:c>
      <x:c r="L59" s="98" t="str">
        <x:f>IF(OR(D59="",E59=""),"",IF(AND(ISNUMBER(J59),ISNUMBER(K59)),J59-K59,""))</x:f>
      </x:c>
      <x:c r="M59" s="114"/>
      <x:c r="N59" s="98" t="str">
        <x:f>IF(OR(D59="",E59=""),"",IF(COUNTIFS($D$6:D59,D59,$E$6:E59,E59)=1,MAX(SUMIFS($L$6:$L$505,$D$6:$D$505,D59,$E$6:$E$505,E59)-SUMIFS($M$6:$M$505,$D$6:$D$505,D59,$E$6:$E$505,E59),0),""))</x:f>
      </x:c>
    </x:row>
    <x:row r="60" ht="28" customHeight="1">
      <x:c r="A60" s="113" t="str">
        <x:f>IF(D60="","",IF(COUNTIFS(Trips!$A$6:$A$105,D60)=1,INDEX(Trips!$C$6:$C$105,MATCH(D60,Trips!$A$6:$A$105,0)),""))</x:f>
      </x:c>
      <x:c r="B60" s="90" t="str">
        <x:f>IF(D60="","",IF(COUNTIFS(Trips!$A$6:$A$105,D60)=1,INDEX(Trips!$B$6:$B$105,MATCH(D60,Trips!$A$6:$A$105,0)),""))</x:f>
      </x:c>
      <x:c r="C60" s="90" t="str">
        <x:f>IF(D60="","",IF(COUNTIFS(Trips!$A$6:$A$105,D60)=1,INDEX(Trips!$D$6:$D$105,MATCH(D60,Trips!$A$6:$A$105,0)),""))</x:f>
      </x:c>
      <x:c r="D60" s="107" t="str">
        <x:f>IF(Trips!B60="","",Trips!A60)</x:f>
      </x:c>
      <x:c r="E60" s="107"/>
      <x:c r="F60" s="90" t="str">
        <x:f>IF(E60="","",IF(COUNTIFS(Counters!$A$6:$A$105,E60)=1,INDEX(Counters!$B$6:$B$105,MATCH(E60,Counters!$A$6:$A$105,0)),""))</x:f>
      </x:c>
      <x:c r="G60" s="107"/>
      <x:c r="H60" s="98" t="str">
        <x:f>IF(C60="","",IF(COUNTIFS('Route List'!$F$6:$F$205,C60)=1,IF(COUNTIFS('Route List'!$F$6:$F$205,C60,'Route List'!$G$6:$G$205,"&lt;&gt;")=1,INDEX('Route List'!$G$6:$G$205,MATCH(C60,'Route List'!$F$6:$F$205,0)),"Enter route fare"),"Enter route fare"))</x:f>
      </x:c>
      <x:c r="I60" s="98" t="str">
        <x:f>IF(F60="","",IF(F60="Own",0,50))</x:f>
      </x:c>
      <x:c r="J60" s="98" t="str">
        <x:f>IF(OR(D60="",E60=""),"",IF(AND(ISNUMBER(G60),ISNUMBER(H60)),ROUND(G60*H60,2),""))</x:f>
      </x:c>
      <x:c r="K60" s="98" t="str">
        <x:f>IF(OR(D60="",E60=""),"",IF(AND(ISNUMBER(G60),ISNUMBER(I60)),ROUND(G60*I60,2),""))</x:f>
      </x:c>
      <x:c r="L60" s="98" t="str">
        <x:f>IF(OR(D60="",E60=""),"",IF(AND(ISNUMBER(J60),ISNUMBER(K60)),J60-K60,""))</x:f>
      </x:c>
      <x:c r="M60" s="114"/>
      <x:c r="N60" s="98" t="str">
        <x:f>IF(OR(D60="",E60=""),"",IF(COUNTIFS($D$6:D60,D60,$E$6:E60,E60)=1,MAX(SUMIFS($L$6:$L$505,$D$6:$D$505,D60,$E$6:$E$505,E60)-SUMIFS($M$6:$M$505,$D$6:$D$505,D60,$E$6:$E$505,E60),0),""))</x:f>
      </x:c>
    </x:row>
    <x:row r="61" ht="28" customHeight="1">
      <x:c r="A61" s="113" t="str">
        <x:f>IF(D61="","",IF(COUNTIFS(Trips!$A$6:$A$105,D61)=1,INDEX(Trips!$C$6:$C$105,MATCH(D61,Trips!$A$6:$A$105,0)),""))</x:f>
      </x:c>
      <x:c r="B61" s="90" t="str">
        <x:f>IF(D61="","",IF(COUNTIFS(Trips!$A$6:$A$105,D61)=1,INDEX(Trips!$B$6:$B$105,MATCH(D61,Trips!$A$6:$A$105,0)),""))</x:f>
      </x:c>
      <x:c r="C61" s="90" t="str">
        <x:f>IF(D61="","",IF(COUNTIFS(Trips!$A$6:$A$105,D61)=1,INDEX(Trips!$D$6:$D$105,MATCH(D61,Trips!$A$6:$A$105,0)),""))</x:f>
      </x:c>
      <x:c r="D61" s="107" t="str">
        <x:f>IF(Trips!B61="","",Trips!A61)</x:f>
      </x:c>
      <x:c r="E61" s="107"/>
      <x:c r="F61" s="90" t="str">
        <x:f>IF(E61="","",IF(COUNTIFS(Counters!$A$6:$A$105,E61)=1,INDEX(Counters!$B$6:$B$105,MATCH(E61,Counters!$A$6:$A$105,0)),""))</x:f>
      </x:c>
      <x:c r="G61" s="107"/>
      <x:c r="H61" s="98" t="str">
        <x:f>IF(C61="","",IF(COUNTIFS('Route List'!$F$6:$F$205,C61)=1,IF(COUNTIFS('Route List'!$F$6:$F$205,C61,'Route List'!$G$6:$G$205,"&lt;&gt;")=1,INDEX('Route List'!$G$6:$G$205,MATCH(C61,'Route List'!$F$6:$F$205,0)),"Enter route fare"),"Enter route fare"))</x:f>
      </x:c>
      <x:c r="I61" s="98" t="str">
        <x:f>IF(F61="","",IF(F61="Own",0,50))</x:f>
      </x:c>
      <x:c r="J61" s="98" t="str">
        <x:f>IF(OR(D61="",E61=""),"",IF(AND(ISNUMBER(G61),ISNUMBER(H61)),ROUND(G61*H61,2),""))</x:f>
      </x:c>
      <x:c r="K61" s="98" t="str">
        <x:f>IF(OR(D61="",E61=""),"",IF(AND(ISNUMBER(G61),ISNUMBER(I61)),ROUND(G61*I61,2),""))</x:f>
      </x:c>
      <x:c r="L61" s="98" t="str">
        <x:f>IF(OR(D61="",E61=""),"",IF(AND(ISNUMBER(J61),ISNUMBER(K61)),J61-K61,""))</x:f>
      </x:c>
      <x:c r="M61" s="114"/>
      <x:c r="N61" s="98" t="str">
        <x:f>IF(OR(D61="",E61=""),"",IF(COUNTIFS($D$6:D61,D61,$E$6:E61,E61)=1,MAX(SUMIFS($L$6:$L$505,$D$6:$D$505,D61,$E$6:$E$505,E61)-SUMIFS($M$6:$M$505,$D$6:$D$505,D61,$E$6:$E$505,E61),0),""))</x:f>
      </x:c>
    </x:row>
    <x:row r="62" ht="28" customHeight="1">
      <x:c r="A62" s="113" t="str">
        <x:f>IF(D62="","",IF(COUNTIFS(Trips!$A$6:$A$105,D62)=1,INDEX(Trips!$C$6:$C$105,MATCH(D62,Trips!$A$6:$A$105,0)),""))</x:f>
      </x:c>
      <x:c r="B62" s="90" t="str">
        <x:f>IF(D62="","",IF(COUNTIFS(Trips!$A$6:$A$105,D62)=1,INDEX(Trips!$B$6:$B$105,MATCH(D62,Trips!$A$6:$A$105,0)),""))</x:f>
      </x:c>
      <x:c r="C62" s="90" t="str">
        <x:f>IF(D62="","",IF(COUNTIFS(Trips!$A$6:$A$105,D62)=1,INDEX(Trips!$D$6:$D$105,MATCH(D62,Trips!$A$6:$A$105,0)),""))</x:f>
      </x:c>
      <x:c r="D62" s="107" t="str">
        <x:f>IF(Trips!B62="","",Trips!A62)</x:f>
      </x:c>
      <x:c r="E62" s="107"/>
      <x:c r="F62" s="90" t="str">
        <x:f>IF(E62="","",IF(COUNTIFS(Counters!$A$6:$A$105,E62)=1,INDEX(Counters!$B$6:$B$105,MATCH(E62,Counters!$A$6:$A$105,0)),""))</x:f>
      </x:c>
      <x:c r="G62" s="107"/>
      <x:c r="H62" s="98" t="str">
        <x:f>IF(C62="","",IF(COUNTIFS('Route List'!$F$6:$F$205,C62)=1,IF(COUNTIFS('Route List'!$F$6:$F$205,C62,'Route List'!$G$6:$G$205,"&lt;&gt;")=1,INDEX('Route List'!$G$6:$G$205,MATCH(C62,'Route List'!$F$6:$F$205,0)),"Enter route fare"),"Enter route fare"))</x:f>
      </x:c>
      <x:c r="I62" s="98" t="str">
        <x:f>IF(F62="","",IF(F62="Own",0,50))</x:f>
      </x:c>
      <x:c r="J62" s="98" t="str">
        <x:f>IF(OR(D62="",E62=""),"",IF(AND(ISNUMBER(G62),ISNUMBER(H62)),ROUND(G62*H62,2),""))</x:f>
      </x:c>
      <x:c r="K62" s="98" t="str">
        <x:f>IF(OR(D62="",E62=""),"",IF(AND(ISNUMBER(G62),ISNUMBER(I62)),ROUND(G62*I62,2),""))</x:f>
      </x:c>
      <x:c r="L62" s="98" t="str">
        <x:f>IF(OR(D62="",E62=""),"",IF(AND(ISNUMBER(J62),ISNUMBER(K62)),J62-K62,""))</x:f>
      </x:c>
      <x:c r="M62" s="114"/>
      <x:c r="N62" s="98" t="str">
        <x:f>IF(OR(D62="",E62=""),"",IF(COUNTIFS($D$6:D62,D62,$E$6:E62,E62)=1,MAX(SUMIFS($L$6:$L$505,$D$6:$D$505,D62,$E$6:$E$505,E62)-SUMIFS($M$6:$M$505,$D$6:$D$505,D62,$E$6:$E$505,E62),0),""))</x:f>
      </x:c>
    </x:row>
    <x:row r="63" ht="28" customHeight="1">
      <x:c r="A63" s="113" t="str">
        <x:f>IF(D63="","",IF(COUNTIFS(Trips!$A$6:$A$105,D63)=1,INDEX(Trips!$C$6:$C$105,MATCH(D63,Trips!$A$6:$A$105,0)),""))</x:f>
      </x:c>
      <x:c r="B63" s="90" t="str">
        <x:f>IF(D63="","",IF(COUNTIFS(Trips!$A$6:$A$105,D63)=1,INDEX(Trips!$B$6:$B$105,MATCH(D63,Trips!$A$6:$A$105,0)),""))</x:f>
      </x:c>
      <x:c r="C63" s="90" t="str">
        <x:f>IF(D63="","",IF(COUNTIFS(Trips!$A$6:$A$105,D63)=1,INDEX(Trips!$D$6:$D$105,MATCH(D63,Trips!$A$6:$A$105,0)),""))</x:f>
      </x:c>
      <x:c r="D63" s="107" t="str">
        <x:f>IF(Trips!B63="","",Trips!A63)</x:f>
      </x:c>
      <x:c r="E63" s="107"/>
      <x:c r="F63" s="90" t="str">
        <x:f>IF(E63="","",IF(COUNTIFS(Counters!$A$6:$A$105,E63)=1,INDEX(Counters!$B$6:$B$105,MATCH(E63,Counters!$A$6:$A$105,0)),""))</x:f>
      </x:c>
      <x:c r="G63" s="107"/>
      <x:c r="H63" s="98" t="str">
        <x:f>IF(C63="","",IF(COUNTIFS('Route List'!$F$6:$F$205,C63)=1,IF(COUNTIFS('Route List'!$F$6:$F$205,C63,'Route List'!$G$6:$G$205,"&lt;&gt;")=1,INDEX('Route List'!$G$6:$G$205,MATCH(C63,'Route List'!$F$6:$F$205,0)),"Enter route fare"),"Enter route fare"))</x:f>
      </x:c>
      <x:c r="I63" s="98" t="str">
        <x:f>IF(F63="","",IF(F63="Own",0,50))</x:f>
      </x:c>
      <x:c r="J63" s="98" t="str">
        <x:f>IF(OR(D63="",E63=""),"",IF(AND(ISNUMBER(G63),ISNUMBER(H63)),ROUND(G63*H63,2),""))</x:f>
      </x:c>
      <x:c r="K63" s="98" t="str">
        <x:f>IF(OR(D63="",E63=""),"",IF(AND(ISNUMBER(G63),ISNUMBER(I63)),ROUND(G63*I63,2),""))</x:f>
      </x:c>
      <x:c r="L63" s="98" t="str">
        <x:f>IF(OR(D63="",E63=""),"",IF(AND(ISNUMBER(J63),ISNUMBER(K63)),J63-K63,""))</x:f>
      </x:c>
      <x:c r="M63" s="114"/>
      <x:c r="N63" s="98" t="str">
        <x:f>IF(OR(D63="",E63=""),"",IF(COUNTIFS($D$6:D63,D63,$E$6:E63,E63)=1,MAX(SUMIFS($L$6:$L$505,$D$6:$D$505,D63,$E$6:$E$505,E63)-SUMIFS($M$6:$M$505,$D$6:$D$505,D63,$E$6:$E$505,E63),0),""))</x:f>
      </x:c>
    </x:row>
    <x:row r="64" ht="28" customHeight="1">
      <x:c r="A64" s="113" t="str">
        <x:f>IF(D64="","",IF(COUNTIFS(Trips!$A$6:$A$105,D64)=1,INDEX(Trips!$C$6:$C$105,MATCH(D64,Trips!$A$6:$A$105,0)),""))</x:f>
      </x:c>
      <x:c r="B64" s="90" t="str">
        <x:f>IF(D64="","",IF(COUNTIFS(Trips!$A$6:$A$105,D64)=1,INDEX(Trips!$B$6:$B$105,MATCH(D64,Trips!$A$6:$A$105,0)),""))</x:f>
      </x:c>
      <x:c r="C64" s="90" t="str">
        <x:f>IF(D64="","",IF(COUNTIFS(Trips!$A$6:$A$105,D64)=1,INDEX(Trips!$D$6:$D$105,MATCH(D64,Trips!$A$6:$A$105,0)),""))</x:f>
      </x:c>
      <x:c r="D64" s="107" t="str">
        <x:f>IF(Trips!B64="","",Trips!A64)</x:f>
      </x:c>
      <x:c r="E64" s="107"/>
      <x:c r="F64" s="90" t="str">
        <x:f>IF(E64="","",IF(COUNTIFS(Counters!$A$6:$A$105,E64)=1,INDEX(Counters!$B$6:$B$105,MATCH(E64,Counters!$A$6:$A$105,0)),""))</x:f>
      </x:c>
      <x:c r="G64" s="107"/>
      <x:c r="H64" s="98" t="str">
        <x:f>IF(C64="","",IF(COUNTIFS('Route List'!$F$6:$F$205,C64)=1,IF(COUNTIFS('Route List'!$F$6:$F$205,C64,'Route List'!$G$6:$G$205,"&lt;&gt;")=1,INDEX('Route List'!$G$6:$G$205,MATCH(C64,'Route List'!$F$6:$F$205,0)),"Enter route fare"),"Enter route fare"))</x:f>
      </x:c>
      <x:c r="I64" s="98" t="str">
        <x:f>IF(F64="","",IF(F64="Own",0,50))</x:f>
      </x:c>
      <x:c r="J64" s="98" t="str">
        <x:f>IF(OR(D64="",E64=""),"",IF(AND(ISNUMBER(G64),ISNUMBER(H64)),ROUND(G64*H64,2),""))</x:f>
      </x:c>
      <x:c r="K64" s="98" t="str">
        <x:f>IF(OR(D64="",E64=""),"",IF(AND(ISNUMBER(G64),ISNUMBER(I64)),ROUND(G64*I64,2),""))</x:f>
      </x:c>
      <x:c r="L64" s="98" t="str">
        <x:f>IF(OR(D64="",E64=""),"",IF(AND(ISNUMBER(J64),ISNUMBER(K64)),J64-K64,""))</x:f>
      </x:c>
      <x:c r="M64" s="114"/>
      <x:c r="N64" s="98" t="str">
        <x:f>IF(OR(D64="",E64=""),"",IF(COUNTIFS($D$6:D64,D64,$E$6:E64,E64)=1,MAX(SUMIFS($L$6:$L$505,$D$6:$D$505,D64,$E$6:$E$505,E64)-SUMIFS($M$6:$M$505,$D$6:$D$505,D64,$E$6:$E$505,E64),0),""))</x:f>
      </x:c>
    </x:row>
    <x:row r="65" ht="28" customHeight="1">
      <x:c r="A65" s="113" t="str">
        <x:f>IF(D65="","",IF(COUNTIFS(Trips!$A$6:$A$105,D65)=1,INDEX(Trips!$C$6:$C$105,MATCH(D65,Trips!$A$6:$A$105,0)),""))</x:f>
      </x:c>
      <x:c r="B65" s="90" t="str">
        <x:f>IF(D65="","",IF(COUNTIFS(Trips!$A$6:$A$105,D65)=1,INDEX(Trips!$B$6:$B$105,MATCH(D65,Trips!$A$6:$A$105,0)),""))</x:f>
      </x:c>
      <x:c r="C65" s="90" t="str">
        <x:f>IF(D65="","",IF(COUNTIFS(Trips!$A$6:$A$105,D65)=1,INDEX(Trips!$D$6:$D$105,MATCH(D65,Trips!$A$6:$A$105,0)),""))</x:f>
      </x:c>
      <x:c r="D65" s="107" t="str">
        <x:f>IF(Trips!B65="","",Trips!A65)</x:f>
      </x:c>
      <x:c r="E65" s="107"/>
      <x:c r="F65" s="90" t="str">
        <x:f>IF(E65="","",IF(COUNTIFS(Counters!$A$6:$A$105,E65)=1,INDEX(Counters!$B$6:$B$105,MATCH(E65,Counters!$A$6:$A$105,0)),""))</x:f>
      </x:c>
      <x:c r="G65" s="107"/>
      <x:c r="H65" s="98" t="str">
        <x:f>IF(C65="","",IF(COUNTIFS('Route List'!$F$6:$F$205,C65)=1,IF(COUNTIFS('Route List'!$F$6:$F$205,C65,'Route List'!$G$6:$G$205,"&lt;&gt;")=1,INDEX('Route List'!$G$6:$G$205,MATCH(C65,'Route List'!$F$6:$F$205,0)),"Enter route fare"),"Enter route fare"))</x:f>
      </x:c>
      <x:c r="I65" s="98" t="str">
        <x:f>IF(F65="","",IF(F65="Own",0,50))</x:f>
      </x:c>
      <x:c r="J65" s="98" t="str">
        <x:f>IF(OR(D65="",E65=""),"",IF(AND(ISNUMBER(G65),ISNUMBER(H65)),ROUND(G65*H65,2),""))</x:f>
      </x:c>
      <x:c r="K65" s="98" t="str">
        <x:f>IF(OR(D65="",E65=""),"",IF(AND(ISNUMBER(G65),ISNUMBER(I65)),ROUND(G65*I65,2),""))</x:f>
      </x:c>
      <x:c r="L65" s="98" t="str">
        <x:f>IF(OR(D65="",E65=""),"",IF(AND(ISNUMBER(J65),ISNUMBER(K65)),J65-K65,""))</x:f>
      </x:c>
      <x:c r="M65" s="114"/>
      <x:c r="N65" s="98" t="str">
        <x:f>IF(OR(D65="",E65=""),"",IF(COUNTIFS($D$6:D65,D65,$E$6:E65,E65)=1,MAX(SUMIFS($L$6:$L$505,$D$6:$D$505,D65,$E$6:$E$505,E65)-SUMIFS($M$6:$M$505,$D$6:$D$505,D65,$E$6:$E$505,E65),0),""))</x:f>
      </x:c>
    </x:row>
    <x:row r="66" ht="28" customHeight="1">
      <x:c r="A66" s="113" t="str">
        <x:f>IF(D66="","",IF(COUNTIFS(Trips!$A$6:$A$105,D66)=1,INDEX(Trips!$C$6:$C$105,MATCH(D66,Trips!$A$6:$A$105,0)),""))</x:f>
      </x:c>
      <x:c r="B66" s="90" t="str">
        <x:f>IF(D66="","",IF(COUNTIFS(Trips!$A$6:$A$105,D66)=1,INDEX(Trips!$B$6:$B$105,MATCH(D66,Trips!$A$6:$A$105,0)),""))</x:f>
      </x:c>
      <x:c r="C66" s="90" t="str">
        <x:f>IF(D66="","",IF(COUNTIFS(Trips!$A$6:$A$105,D66)=1,INDEX(Trips!$D$6:$D$105,MATCH(D66,Trips!$A$6:$A$105,0)),""))</x:f>
      </x:c>
      <x:c r="D66" s="107" t="str">
        <x:f>IF(Trips!B66="","",Trips!A66)</x:f>
      </x:c>
      <x:c r="E66" s="107"/>
      <x:c r="F66" s="90" t="str">
        <x:f>IF(E66="","",IF(COUNTIFS(Counters!$A$6:$A$105,E66)=1,INDEX(Counters!$B$6:$B$105,MATCH(E66,Counters!$A$6:$A$105,0)),""))</x:f>
      </x:c>
      <x:c r="G66" s="107"/>
      <x:c r="H66" s="98" t="str">
        <x:f>IF(C66="","",IF(COUNTIFS('Route List'!$F$6:$F$205,C66)=1,IF(COUNTIFS('Route List'!$F$6:$F$205,C66,'Route List'!$G$6:$G$205,"&lt;&gt;")=1,INDEX('Route List'!$G$6:$G$205,MATCH(C66,'Route List'!$F$6:$F$205,0)),"Enter route fare"),"Enter route fare"))</x:f>
      </x:c>
      <x:c r="I66" s="98" t="str">
        <x:f>IF(F66="","",IF(F66="Own",0,50))</x:f>
      </x:c>
      <x:c r="J66" s="98" t="str">
        <x:f>IF(OR(D66="",E66=""),"",IF(AND(ISNUMBER(G66),ISNUMBER(H66)),ROUND(G66*H66,2),""))</x:f>
      </x:c>
      <x:c r="K66" s="98" t="str">
        <x:f>IF(OR(D66="",E66=""),"",IF(AND(ISNUMBER(G66),ISNUMBER(I66)),ROUND(G66*I66,2),""))</x:f>
      </x:c>
      <x:c r="L66" s="98" t="str">
        <x:f>IF(OR(D66="",E66=""),"",IF(AND(ISNUMBER(J66),ISNUMBER(K66)),J66-K66,""))</x:f>
      </x:c>
      <x:c r="M66" s="114"/>
      <x:c r="N66" s="98" t="str">
        <x:f>IF(OR(D66="",E66=""),"",IF(COUNTIFS($D$6:D66,D66,$E$6:E66,E66)=1,MAX(SUMIFS($L$6:$L$505,$D$6:$D$505,D66,$E$6:$E$505,E66)-SUMIFS($M$6:$M$505,$D$6:$D$505,D66,$E$6:$E$505,E66),0),""))</x:f>
      </x:c>
    </x:row>
    <x:row r="67" ht="28" customHeight="1">
      <x:c r="A67" s="113" t="str">
        <x:f>IF(D67="","",IF(COUNTIFS(Trips!$A$6:$A$105,D67)=1,INDEX(Trips!$C$6:$C$105,MATCH(D67,Trips!$A$6:$A$105,0)),""))</x:f>
      </x:c>
      <x:c r="B67" s="90" t="str">
        <x:f>IF(D67="","",IF(COUNTIFS(Trips!$A$6:$A$105,D67)=1,INDEX(Trips!$B$6:$B$105,MATCH(D67,Trips!$A$6:$A$105,0)),""))</x:f>
      </x:c>
      <x:c r="C67" s="90" t="str">
        <x:f>IF(D67="","",IF(COUNTIFS(Trips!$A$6:$A$105,D67)=1,INDEX(Trips!$D$6:$D$105,MATCH(D67,Trips!$A$6:$A$105,0)),""))</x:f>
      </x:c>
      <x:c r="D67" s="107" t="str">
        <x:f>IF(Trips!B67="","",Trips!A67)</x:f>
      </x:c>
      <x:c r="E67" s="107"/>
      <x:c r="F67" s="90" t="str">
        <x:f>IF(E67="","",IF(COUNTIFS(Counters!$A$6:$A$105,E67)=1,INDEX(Counters!$B$6:$B$105,MATCH(E67,Counters!$A$6:$A$105,0)),""))</x:f>
      </x:c>
      <x:c r="G67" s="107"/>
      <x:c r="H67" s="98" t="str">
        <x:f>IF(C67="","",IF(COUNTIFS('Route List'!$F$6:$F$205,C67)=1,IF(COUNTIFS('Route List'!$F$6:$F$205,C67,'Route List'!$G$6:$G$205,"&lt;&gt;")=1,INDEX('Route List'!$G$6:$G$205,MATCH(C67,'Route List'!$F$6:$F$205,0)),"Enter route fare"),"Enter route fare"))</x:f>
      </x:c>
      <x:c r="I67" s="98" t="str">
        <x:f>IF(F67="","",IF(F67="Own",0,50))</x:f>
      </x:c>
      <x:c r="J67" s="98" t="str">
        <x:f>IF(OR(D67="",E67=""),"",IF(AND(ISNUMBER(G67),ISNUMBER(H67)),ROUND(G67*H67,2),""))</x:f>
      </x:c>
      <x:c r="K67" s="98" t="str">
        <x:f>IF(OR(D67="",E67=""),"",IF(AND(ISNUMBER(G67),ISNUMBER(I67)),ROUND(G67*I67,2),""))</x:f>
      </x:c>
      <x:c r="L67" s="98" t="str">
        <x:f>IF(OR(D67="",E67=""),"",IF(AND(ISNUMBER(J67),ISNUMBER(K67)),J67-K67,""))</x:f>
      </x:c>
      <x:c r="M67" s="114"/>
      <x:c r="N67" s="98" t="str">
        <x:f>IF(OR(D67="",E67=""),"",IF(COUNTIFS($D$6:D67,D67,$E$6:E67,E67)=1,MAX(SUMIFS($L$6:$L$505,$D$6:$D$505,D67,$E$6:$E$505,E67)-SUMIFS($M$6:$M$505,$D$6:$D$505,D67,$E$6:$E$505,E67),0),""))</x:f>
      </x:c>
    </x:row>
    <x:row r="68" ht="28" customHeight="1">
      <x:c r="A68" s="113" t="str">
        <x:f>IF(D68="","",IF(COUNTIFS(Trips!$A$6:$A$105,D68)=1,INDEX(Trips!$C$6:$C$105,MATCH(D68,Trips!$A$6:$A$105,0)),""))</x:f>
      </x:c>
      <x:c r="B68" s="90" t="str">
        <x:f>IF(D68="","",IF(COUNTIFS(Trips!$A$6:$A$105,D68)=1,INDEX(Trips!$B$6:$B$105,MATCH(D68,Trips!$A$6:$A$105,0)),""))</x:f>
      </x:c>
      <x:c r="C68" s="90" t="str">
        <x:f>IF(D68="","",IF(COUNTIFS(Trips!$A$6:$A$105,D68)=1,INDEX(Trips!$D$6:$D$105,MATCH(D68,Trips!$A$6:$A$105,0)),""))</x:f>
      </x:c>
      <x:c r="D68" s="107" t="str">
        <x:f>IF(Trips!B68="","",Trips!A68)</x:f>
      </x:c>
      <x:c r="E68" s="107"/>
      <x:c r="F68" s="90" t="str">
        <x:f>IF(E68="","",IF(COUNTIFS(Counters!$A$6:$A$105,E68)=1,INDEX(Counters!$B$6:$B$105,MATCH(E68,Counters!$A$6:$A$105,0)),""))</x:f>
      </x:c>
      <x:c r="G68" s="107"/>
      <x:c r="H68" s="98" t="str">
        <x:f>IF(C68="","",IF(COUNTIFS('Route List'!$F$6:$F$205,C68)=1,IF(COUNTIFS('Route List'!$F$6:$F$205,C68,'Route List'!$G$6:$G$205,"&lt;&gt;")=1,INDEX('Route List'!$G$6:$G$205,MATCH(C68,'Route List'!$F$6:$F$205,0)),"Enter route fare"),"Enter route fare"))</x:f>
      </x:c>
      <x:c r="I68" s="98" t="str">
        <x:f>IF(F68="","",IF(F68="Own",0,50))</x:f>
      </x:c>
      <x:c r="J68" s="98" t="str">
        <x:f>IF(OR(D68="",E68=""),"",IF(AND(ISNUMBER(G68),ISNUMBER(H68)),ROUND(G68*H68,2),""))</x:f>
      </x:c>
      <x:c r="K68" s="98" t="str">
        <x:f>IF(OR(D68="",E68=""),"",IF(AND(ISNUMBER(G68),ISNUMBER(I68)),ROUND(G68*I68,2),""))</x:f>
      </x:c>
      <x:c r="L68" s="98" t="str">
        <x:f>IF(OR(D68="",E68=""),"",IF(AND(ISNUMBER(J68),ISNUMBER(K68)),J68-K68,""))</x:f>
      </x:c>
      <x:c r="M68" s="114"/>
      <x:c r="N68" s="98" t="str">
        <x:f>IF(OR(D68="",E68=""),"",IF(COUNTIFS($D$6:D68,D68,$E$6:E68,E68)=1,MAX(SUMIFS($L$6:$L$505,$D$6:$D$505,D68,$E$6:$E$505,E68)-SUMIFS($M$6:$M$505,$D$6:$D$505,D68,$E$6:$E$505,E68),0),""))</x:f>
      </x:c>
    </x:row>
    <x:row r="69" ht="28" customHeight="1">
      <x:c r="A69" s="113" t="str">
        <x:f>IF(D69="","",IF(COUNTIFS(Trips!$A$6:$A$105,D69)=1,INDEX(Trips!$C$6:$C$105,MATCH(D69,Trips!$A$6:$A$105,0)),""))</x:f>
      </x:c>
      <x:c r="B69" s="90" t="str">
        <x:f>IF(D69="","",IF(COUNTIFS(Trips!$A$6:$A$105,D69)=1,INDEX(Trips!$B$6:$B$105,MATCH(D69,Trips!$A$6:$A$105,0)),""))</x:f>
      </x:c>
      <x:c r="C69" s="90" t="str">
        <x:f>IF(D69="","",IF(COUNTIFS(Trips!$A$6:$A$105,D69)=1,INDEX(Trips!$D$6:$D$105,MATCH(D69,Trips!$A$6:$A$105,0)),""))</x:f>
      </x:c>
      <x:c r="D69" s="107" t="str">
        <x:f>IF(Trips!B69="","",Trips!A69)</x:f>
      </x:c>
      <x:c r="E69" s="107"/>
      <x:c r="F69" s="90" t="str">
        <x:f>IF(E69="","",IF(COUNTIFS(Counters!$A$6:$A$105,E69)=1,INDEX(Counters!$B$6:$B$105,MATCH(E69,Counters!$A$6:$A$105,0)),""))</x:f>
      </x:c>
      <x:c r="G69" s="107"/>
      <x:c r="H69" s="98" t="str">
        <x:f>IF(C69="","",IF(COUNTIFS('Route List'!$F$6:$F$205,C69)=1,IF(COUNTIFS('Route List'!$F$6:$F$205,C69,'Route List'!$G$6:$G$205,"&lt;&gt;")=1,INDEX('Route List'!$G$6:$G$205,MATCH(C69,'Route List'!$F$6:$F$205,0)),"Enter route fare"),"Enter route fare"))</x:f>
      </x:c>
      <x:c r="I69" s="98" t="str">
        <x:f>IF(F69="","",IF(F69="Own",0,50))</x:f>
      </x:c>
      <x:c r="J69" s="98" t="str">
        <x:f>IF(OR(D69="",E69=""),"",IF(AND(ISNUMBER(G69),ISNUMBER(H69)),ROUND(G69*H69,2),""))</x:f>
      </x:c>
      <x:c r="K69" s="98" t="str">
        <x:f>IF(OR(D69="",E69=""),"",IF(AND(ISNUMBER(G69),ISNUMBER(I69)),ROUND(G69*I69,2),""))</x:f>
      </x:c>
      <x:c r="L69" s="98" t="str">
        <x:f>IF(OR(D69="",E69=""),"",IF(AND(ISNUMBER(J69),ISNUMBER(K69)),J69-K69,""))</x:f>
      </x:c>
      <x:c r="M69" s="114"/>
      <x:c r="N69" s="98" t="str">
        <x:f>IF(OR(D69="",E69=""),"",IF(COUNTIFS($D$6:D69,D69,$E$6:E69,E69)=1,MAX(SUMIFS($L$6:$L$505,$D$6:$D$505,D69,$E$6:$E$505,E69)-SUMIFS($M$6:$M$505,$D$6:$D$505,D69,$E$6:$E$505,E69),0),""))</x:f>
      </x:c>
    </x:row>
    <x:row r="70" ht="28" customHeight="1">
      <x:c r="A70" s="113" t="str">
        <x:f>IF(D70="","",IF(COUNTIFS(Trips!$A$6:$A$105,D70)=1,INDEX(Trips!$C$6:$C$105,MATCH(D70,Trips!$A$6:$A$105,0)),""))</x:f>
      </x:c>
      <x:c r="B70" s="90" t="str">
        <x:f>IF(D70="","",IF(COUNTIFS(Trips!$A$6:$A$105,D70)=1,INDEX(Trips!$B$6:$B$105,MATCH(D70,Trips!$A$6:$A$105,0)),""))</x:f>
      </x:c>
      <x:c r="C70" s="90" t="str">
        <x:f>IF(D70="","",IF(COUNTIFS(Trips!$A$6:$A$105,D70)=1,INDEX(Trips!$D$6:$D$105,MATCH(D70,Trips!$A$6:$A$105,0)),""))</x:f>
      </x:c>
      <x:c r="D70" s="107" t="str">
        <x:f>IF(Trips!B70="","",Trips!A70)</x:f>
      </x:c>
      <x:c r="E70" s="107"/>
      <x:c r="F70" s="90" t="str">
        <x:f>IF(E70="","",IF(COUNTIFS(Counters!$A$6:$A$105,E70)=1,INDEX(Counters!$B$6:$B$105,MATCH(E70,Counters!$A$6:$A$105,0)),""))</x:f>
      </x:c>
      <x:c r="G70" s="107"/>
      <x:c r="H70" s="98" t="str">
        <x:f>IF(C70="","",IF(COUNTIFS('Route List'!$F$6:$F$205,C70)=1,IF(COUNTIFS('Route List'!$F$6:$F$205,C70,'Route List'!$G$6:$G$205,"&lt;&gt;")=1,INDEX('Route List'!$G$6:$G$205,MATCH(C70,'Route List'!$F$6:$F$205,0)),"Enter route fare"),"Enter route fare"))</x:f>
      </x:c>
      <x:c r="I70" s="98" t="str">
        <x:f>IF(F70="","",IF(F70="Own",0,50))</x:f>
      </x:c>
      <x:c r="J70" s="98" t="str">
        <x:f>IF(OR(D70="",E70=""),"",IF(AND(ISNUMBER(G70),ISNUMBER(H70)),ROUND(G70*H70,2),""))</x:f>
      </x:c>
      <x:c r="K70" s="98" t="str">
        <x:f>IF(OR(D70="",E70=""),"",IF(AND(ISNUMBER(G70),ISNUMBER(I70)),ROUND(G70*I70,2),""))</x:f>
      </x:c>
      <x:c r="L70" s="98" t="str">
        <x:f>IF(OR(D70="",E70=""),"",IF(AND(ISNUMBER(J70),ISNUMBER(K70)),J70-K70,""))</x:f>
      </x:c>
      <x:c r="M70" s="114"/>
      <x:c r="N70" s="98" t="str">
        <x:f>IF(OR(D70="",E70=""),"",IF(COUNTIFS($D$6:D70,D70,$E$6:E70,E70)=1,MAX(SUMIFS($L$6:$L$505,$D$6:$D$505,D70,$E$6:$E$505,E70)-SUMIFS($M$6:$M$505,$D$6:$D$505,D70,$E$6:$E$505,E70),0),""))</x:f>
      </x:c>
    </x:row>
    <x:row r="71" ht="28" customHeight="1">
      <x:c r="A71" s="113" t="str">
        <x:f>IF(D71="","",IF(COUNTIFS(Trips!$A$6:$A$105,D71)=1,INDEX(Trips!$C$6:$C$105,MATCH(D71,Trips!$A$6:$A$105,0)),""))</x:f>
      </x:c>
      <x:c r="B71" s="90" t="str">
        <x:f>IF(D71="","",IF(COUNTIFS(Trips!$A$6:$A$105,D71)=1,INDEX(Trips!$B$6:$B$105,MATCH(D71,Trips!$A$6:$A$105,0)),""))</x:f>
      </x:c>
      <x:c r="C71" s="90" t="str">
        <x:f>IF(D71="","",IF(COUNTIFS(Trips!$A$6:$A$105,D71)=1,INDEX(Trips!$D$6:$D$105,MATCH(D71,Trips!$A$6:$A$105,0)),""))</x:f>
      </x:c>
      <x:c r="D71" s="107" t="str">
        <x:f>IF(Trips!B71="","",Trips!A71)</x:f>
      </x:c>
      <x:c r="E71" s="107"/>
      <x:c r="F71" s="90" t="str">
        <x:f>IF(E71="","",IF(COUNTIFS(Counters!$A$6:$A$105,E71)=1,INDEX(Counters!$B$6:$B$105,MATCH(E71,Counters!$A$6:$A$105,0)),""))</x:f>
      </x:c>
      <x:c r="G71" s="107"/>
      <x:c r="H71" s="98" t="str">
        <x:f>IF(C71="","",IF(COUNTIFS('Route List'!$F$6:$F$205,C71)=1,IF(COUNTIFS('Route List'!$F$6:$F$205,C71,'Route List'!$G$6:$G$205,"&lt;&gt;")=1,INDEX('Route List'!$G$6:$G$205,MATCH(C71,'Route List'!$F$6:$F$205,0)),"Enter route fare"),"Enter route fare"))</x:f>
      </x:c>
      <x:c r="I71" s="98" t="str">
        <x:f>IF(F71="","",IF(F71="Own",0,50))</x:f>
      </x:c>
      <x:c r="J71" s="98" t="str">
        <x:f>IF(OR(D71="",E71=""),"",IF(AND(ISNUMBER(G71),ISNUMBER(H71)),ROUND(G71*H71,2),""))</x:f>
      </x:c>
      <x:c r="K71" s="98" t="str">
        <x:f>IF(OR(D71="",E71=""),"",IF(AND(ISNUMBER(G71),ISNUMBER(I71)),ROUND(G71*I71,2),""))</x:f>
      </x:c>
      <x:c r="L71" s="98" t="str">
        <x:f>IF(OR(D71="",E71=""),"",IF(AND(ISNUMBER(J71),ISNUMBER(K71)),J71-K71,""))</x:f>
      </x:c>
      <x:c r="M71" s="114"/>
      <x:c r="N71" s="98" t="str">
        <x:f>IF(OR(D71="",E71=""),"",IF(COUNTIFS($D$6:D71,D71,$E$6:E71,E71)=1,MAX(SUMIFS($L$6:$L$505,$D$6:$D$505,D71,$E$6:$E$505,E71)-SUMIFS($M$6:$M$505,$D$6:$D$505,D71,$E$6:$E$505,E71),0),""))</x:f>
      </x:c>
    </x:row>
    <x:row r="72" ht="28" customHeight="1">
      <x:c r="A72" s="113" t="str">
        <x:f>IF(D72="","",IF(COUNTIFS(Trips!$A$6:$A$105,D72)=1,INDEX(Trips!$C$6:$C$105,MATCH(D72,Trips!$A$6:$A$105,0)),""))</x:f>
      </x:c>
      <x:c r="B72" s="90" t="str">
        <x:f>IF(D72="","",IF(COUNTIFS(Trips!$A$6:$A$105,D72)=1,INDEX(Trips!$B$6:$B$105,MATCH(D72,Trips!$A$6:$A$105,0)),""))</x:f>
      </x:c>
      <x:c r="C72" s="90" t="str">
        <x:f>IF(D72="","",IF(COUNTIFS(Trips!$A$6:$A$105,D72)=1,INDEX(Trips!$D$6:$D$105,MATCH(D72,Trips!$A$6:$A$105,0)),""))</x:f>
      </x:c>
      <x:c r="D72" s="107" t="str">
        <x:f>IF(Trips!B72="","",Trips!A72)</x:f>
      </x:c>
      <x:c r="E72" s="107"/>
      <x:c r="F72" s="90" t="str">
        <x:f>IF(E72="","",IF(COUNTIFS(Counters!$A$6:$A$105,E72)=1,INDEX(Counters!$B$6:$B$105,MATCH(E72,Counters!$A$6:$A$105,0)),""))</x:f>
      </x:c>
      <x:c r="G72" s="107"/>
      <x:c r="H72" s="98" t="str">
        <x:f>IF(C72="","",IF(COUNTIFS('Route List'!$F$6:$F$205,C72)=1,IF(COUNTIFS('Route List'!$F$6:$F$205,C72,'Route List'!$G$6:$G$205,"&lt;&gt;")=1,INDEX('Route List'!$G$6:$G$205,MATCH(C72,'Route List'!$F$6:$F$205,0)),"Enter route fare"),"Enter route fare"))</x:f>
      </x:c>
      <x:c r="I72" s="98" t="str">
        <x:f>IF(F72="","",IF(F72="Own",0,50))</x:f>
      </x:c>
      <x:c r="J72" s="98" t="str">
        <x:f>IF(OR(D72="",E72=""),"",IF(AND(ISNUMBER(G72),ISNUMBER(H72)),ROUND(G72*H72,2),""))</x:f>
      </x:c>
      <x:c r="K72" s="98" t="str">
        <x:f>IF(OR(D72="",E72=""),"",IF(AND(ISNUMBER(G72),ISNUMBER(I72)),ROUND(G72*I72,2),""))</x:f>
      </x:c>
      <x:c r="L72" s="98" t="str">
        <x:f>IF(OR(D72="",E72=""),"",IF(AND(ISNUMBER(J72),ISNUMBER(K72)),J72-K72,""))</x:f>
      </x:c>
      <x:c r="M72" s="114"/>
      <x:c r="N72" s="98" t="str">
        <x:f>IF(OR(D72="",E72=""),"",IF(COUNTIFS($D$6:D72,D72,$E$6:E72,E72)=1,MAX(SUMIFS($L$6:$L$505,$D$6:$D$505,D72,$E$6:$E$505,E72)-SUMIFS($M$6:$M$505,$D$6:$D$505,D72,$E$6:$E$505,E72),0),""))</x:f>
      </x:c>
    </x:row>
    <x:row r="73" ht="28" customHeight="1">
      <x:c r="A73" s="113" t="str">
        <x:f>IF(D73="","",IF(COUNTIFS(Trips!$A$6:$A$105,D73)=1,INDEX(Trips!$C$6:$C$105,MATCH(D73,Trips!$A$6:$A$105,0)),""))</x:f>
      </x:c>
      <x:c r="B73" s="90" t="str">
        <x:f>IF(D73="","",IF(COUNTIFS(Trips!$A$6:$A$105,D73)=1,INDEX(Trips!$B$6:$B$105,MATCH(D73,Trips!$A$6:$A$105,0)),""))</x:f>
      </x:c>
      <x:c r="C73" s="90" t="str">
        <x:f>IF(D73="","",IF(COUNTIFS(Trips!$A$6:$A$105,D73)=1,INDEX(Trips!$D$6:$D$105,MATCH(D73,Trips!$A$6:$A$105,0)),""))</x:f>
      </x:c>
      <x:c r="D73" s="107" t="str">
        <x:f>IF(Trips!B73="","",Trips!A73)</x:f>
      </x:c>
      <x:c r="E73" s="107"/>
      <x:c r="F73" s="90" t="str">
        <x:f>IF(E73="","",IF(COUNTIFS(Counters!$A$6:$A$105,E73)=1,INDEX(Counters!$B$6:$B$105,MATCH(E73,Counters!$A$6:$A$105,0)),""))</x:f>
      </x:c>
      <x:c r="G73" s="107"/>
      <x:c r="H73" s="98" t="str">
        <x:f>IF(C73="","",IF(COUNTIFS('Route List'!$F$6:$F$205,C73)=1,IF(COUNTIFS('Route List'!$F$6:$F$205,C73,'Route List'!$G$6:$G$205,"&lt;&gt;")=1,INDEX('Route List'!$G$6:$G$205,MATCH(C73,'Route List'!$F$6:$F$205,0)),"Enter route fare"),"Enter route fare"))</x:f>
      </x:c>
      <x:c r="I73" s="98" t="str">
        <x:f>IF(F73="","",IF(F73="Own",0,50))</x:f>
      </x:c>
      <x:c r="J73" s="98" t="str">
        <x:f>IF(OR(D73="",E73=""),"",IF(AND(ISNUMBER(G73),ISNUMBER(H73)),ROUND(G73*H73,2),""))</x:f>
      </x:c>
      <x:c r="K73" s="98" t="str">
        <x:f>IF(OR(D73="",E73=""),"",IF(AND(ISNUMBER(G73),ISNUMBER(I73)),ROUND(G73*I73,2),""))</x:f>
      </x:c>
      <x:c r="L73" s="98" t="str">
        <x:f>IF(OR(D73="",E73=""),"",IF(AND(ISNUMBER(J73),ISNUMBER(K73)),J73-K73,""))</x:f>
      </x:c>
      <x:c r="M73" s="114"/>
      <x:c r="N73" s="98" t="str">
        <x:f>IF(OR(D73="",E73=""),"",IF(COUNTIFS($D$6:D73,D73,$E$6:E73,E73)=1,MAX(SUMIFS($L$6:$L$505,$D$6:$D$505,D73,$E$6:$E$505,E73)-SUMIFS($M$6:$M$505,$D$6:$D$505,D73,$E$6:$E$505,E73),0),""))</x:f>
      </x:c>
    </x:row>
    <x:row r="74" ht="28" customHeight="1">
      <x:c r="A74" s="113" t="str">
        <x:f>IF(D74="","",IF(COUNTIFS(Trips!$A$6:$A$105,D74)=1,INDEX(Trips!$C$6:$C$105,MATCH(D74,Trips!$A$6:$A$105,0)),""))</x:f>
      </x:c>
      <x:c r="B74" s="90" t="str">
        <x:f>IF(D74="","",IF(COUNTIFS(Trips!$A$6:$A$105,D74)=1,INDEX(Trips!$B$6:$B$105,MATCH(D74,Trips!$A$6:$A$105,0)),""))</x:f>
      </x:c>
      <x:c r="C74" s="90" t="str">
        <x:f>IF(D74="","",IF(COUNTIFS(Trips!$A$6:$A$105,D74)=1,INDEX(Trips!$D$6:$D$105,MATCH(D74,Trips!$A$6:$A$105,0)),""))</x:f>
      </x:c>
      <x:c r="D74" s="107" t="str">
        <x:f>IF(Trips!B74="","",Trips!A74)</x:f>
      </x:c>
      <x:c r="E74" s="107"/>
      <x:c r="F74" s="90" t="str">
        <x:f>IF(E74="","",IF(COUNTIFS(Counters!$A$6:$A$105,E74)=1,INDEX(Counters!$B$6:$B$105,MATCH(E74,Counters!$A$6:$A$105,0)),""))</x:f>
      </x:c>
      <x:c r="G74" s="107"/>
      <x:c r="H74" s="98" t="str">
        <x:f>IF(C74="","",IF(COUNTIFS('Route List'!$F$6:$F$205,C74)=1,IF(COUNTIFS('Route List'!$F$6:$F$205,C74,'Route List'!$G$6:$G$205,"&lt;&gt;")=1,INDEX('Route List'!$G$6:$G$205,MATCH(C74,'Route List'!$F$6:$F$205,0)),"Enter route fare"),"Enter route fare"))</x:f>
      </x:c>
      <x:c r="I74" s="98" t="str">
        <x:f>IF(F74="","",IF(F74="Own",0,50))</x:f>
      </x:c>
      <x:c r="J74" s="98" t="str">
        <x:f>IF(OR(D74="",E74=""),"",IF(AND(ISNUMBER(G74),ISNUMBER(H74)),ROUND(G74*H74,2),""))</x:f>
      </x:c>
      <x:c r="K74" s="98" t="str">
        <x:f>IF(OR(D74="",E74=""),"",IF(AND(ISNUMBER(G74),ISNUMBER(I74)),ROUND(G74*I74,2),""))</x:f>
      </x:c>
      <x:c r="L74" s="98" t="str">
        <x:f>IF(OR(D74="",E74=""),"",IF(AND(ISNUMBER(J74),ISNUMBER(K74)),J74-K74,""))</x:f>
      </x:c>
      <x:c r="M74" s="114"/>
      <x:c r="N74" s="98" t="str">
        <x:f>IF(OR(D74="",E74=""),"",IF(COUNTIFS($D$6:D74,D74,$E$6:E74,E74)=1,MAX(SUMIFS($L$6:$L$505,$D$6:$D$505,D74,$E$6:$E$505,E74)-SUMIFS($M$6:$M$505,$D$6:$D$505,D74,$E$6:$E$505,E74),0),""))</x:f>
      </x:c>
    </x:row>
    <x:row r="75" ht="28" customHeight="1">
      <x:c r="A75" s="113" t="str">
        <x:f>IF(D75="","",IF(COUNTIFS(Trips!$A$6:$A$105,D75)=1,INDEX(Trips!$C$6:$C$105,MATCH(D75,Trips!$A$6:$A$105,0)),""))</x:f>
      </x:c>
      <x:c r="B75" s="90" t="str">
        <x:f>IF(D75="","",IF(COUNTIFS(Trips!$A$6:$A$105,D75)=1,INDEX(Trips!$B$6:$B$105,MATCH(D75,Trips!$A$6:$A$105,0)),""))</x:f>
      </x:c>
      <x:c r="C75" s="90" t="str">
        <x:f>IF(D75="","",IF(COUNTIFS(Trips!$A$6:$A$105,D75)=1,INDEX(Trips!$D$6:$D$105,MATCH(D75,Trips!$A$6:$A$105,0)),""))</x:f>
      </x:c>
      <x:c r="D75" s="107" t="str">
        <x:f>IF(Trips!B75="","",Trips!A75)</x:f>
      </x:c>
      <x:c r="E75" s="107"/>
      <x:c r="F75" s="90" t="str">
        <x:f>IF(E75="","",IF(COUNTIFS(Counters!$A$6:$A$105,E75)=1,INDEX(Counters!$B$6:$B$105,MATCH(E75,Counters!$A$6:$A$105,0)),""))</x:f>
      </x:c>
      <x:c r="G75" s="107"/>
      <x:c r="H75" s="98" t="str">
        <x:f>IF(C75="","",IF(COUNTIFS('Route List'!$F$6:$F$205,C75)=1,IF(COUNTIFS('Route List'!$F$6:$F$205,C75,'Route List'!$G$6:$G$205,"&lt;&gt;")=1,INDEX('Route List'!$G$6:$G$205,MATCH(C75,'Route List'!$F$6:$F$205,0)),"Enter route fare"),"Enter route fare"))</x:f>
      </x:c>
      <x:c r="I75" s="98" t="str">
        <x:f>IF(F75="","",IF(F75="Own",0,50))</x:f>
      </x:c>
      <x:c r="J75" s="98" t="str">
        <x:f>IF(OR(D75="",E75=""),"",IF(AND(ISNUMBER(G75),ISNUMBER(H75)),ROUND(G75*H75,2),""))</x:f>
      </x:c>
      <x:c r="K75" s="98" t="str">
        <x:f>IF(OR(D75="",E75=""),"",IF(AND(ISNUMBER(G75),ISNUMBER(I75)),ROUND(G75*I75,2),""))</x:f>
      </x:c>
      <x:c r="L75" s="98" t="str">
        <x:f>IF(OR(D75="",E75=""),"",IF(AND(ISNUMBER(J75),ISNUMBER(K75)),J75-K75,""))</x:f>
      </x:c>
      <x:c r="M75" s="114"/>
      <x:c r="N75" s="98" t="str">
        <x:f>IF(OR(D75="",E75=""),"",IF(COUNTIFS($D$6:D75,D75,$E$6:E75,E75)=1,MAX(SUMIFS($L$6:$L$505,$D$6:$D$505,D75,$E$6:$E$505,E75)-SUMIFS($M$6:$M$505,$D$6:$D$505,D75,$E$6:$E$505,E75),0),""))</x:f>
      </x:c>
    </x:row>
    <x:row r="76" ht="28" customHeight="1">
      <x:c r="A76" s="113" t="str">
        <x:f>IF(D76="","",IF(COUNTIFS(Trips!$A$6:$A$105,D76)=1,INDEX(Trips!$C$6:$C$105,MATCH(D76,Trips!$A$6:$A$105,0)),""))</x:f>
      </x:c>
      <x:c r="B76" s="90" t="str">
        <x:f>IF(D76="","",IF(COUNTIFS(Trips!$A$6:$A$105,D76)=1,INDEX(Trips!$B$6:$B$105,MATCH(D76,Trips!$A$6:$A$105,0)),""))</x:f>
      </x:c>
      <x:c r="C76" s="90" t="str">
        <x:f>IF(D76="","",IF(COUNTIFS(Trips!$A$6:$A$105,D76)=1,INDEX(Trips!$D$6:$D$105,MATCH(D76,Trips!$A$6:$A$105,0)),""))</x:f>
      </x:c>
      <x:c r="D76" s="107" t="str">
        <x:f>IF(Trips!B76="","",Trips!A76)</x:f>
      </x:c>
      <x:c r="E76" s="107"/>
      <x:c r="F76" s="90" t="str">
        <x:f>IF(E76="","",IF(COUNTIFS(Counters!$A$6:$A$105,E76)=1,INDEX(Counters!$B$6:$B$105,MATCH(E76,Counters!$A$6:$A$105,0)),""))</x:f>
      </x:c>
      <x:c r="G76" s="107"/>
      <x:c r="H76" s="98" t="str">
        <x:f>IF(C76="","",IF(COUNTIFS('Route List'!$F$6:$F$205,C76)=1,IF(COUNTIFS('Route List'!$F$6:$F$205,C76,'Route List'!$G$6:$G$205,"&lt;&gt;")=1,INDEX('Route List'!$G$6:$G$205,MATCH(C76,'Route List'!$F$6:$F$205,0)),"Enter route fare"),"Enter route fare"))</x:f>
      </x:c>
      <x:c r="I76" s="98" t="str">
        <x:f>IF(F76="","",IF(F76="Own",0,50))</x:f>
      </x:c>
      <x:c r="J76" s="98" t="str">
        <x:f>IF(OR(D76="",E76=""),"",IF(AND(ISNUMBER(G76),ISNUMBER(H76)),ROUND(G76*H76,2),""))</x:f>
      </x:c>
      <x:c r="K76" s="98" t="str">
        <x:f>IF(OR(D76="",E76=""),"",IF(AND(ISNUMBER(G76),ISNUMBER(I76)),ROUND(G76*I76,2),""))</x:f>
      </x:c>
      <x:c r="L76" s="98" t="str">
        <x:f>IF(OR(D76="",E76=""),"",IF(AND(ISNUMBER(J76),ISNUMBER(K76)),J76-K76,""))</x:f>
      </x:c>
      <x:c r="M76" s="114"/>
      <x:c r="N76" s="98" t="str">
        <x:f>IF(OR(D76="",E76=""),"",IF(COUNTIFS($D$6:D76,D76,$E$6:E76,E76)=1,MAX(SUMIFS($L$6:$L$505,$D$6:$D$505,D76,$E$6:$E$505,E76)-SUMIFS($M$6:$M$505,$D$6:$D$505,D76,$E$6:$E$505,E76),0),""))</x:f>
      </x:c>
    </x:row>
    <x:row r="77" ht="28" customHeight="1">
      <x:c r="A77" s="113" t="str">
        <x:f>IF(D77="","",IF(COUNTIFS(Trips!$A$6:$A$105,D77)=1,INDEX(Trips!$C$6:$C$105,MATCH(D77,Trips!$A$6:$A$105,0)),""))</x:f>
      </x:c>
      <x:c r="B77" s="90" t="str">
        <x:f>IF(D77="","",IF(COUNTIFS(Trips!$A$6:$A$105,D77)=1,INDEX(Trips!$B$6:$B$105,MATCH(D77,Trips!$A$6:$A$105,0)),""))</x:f>
      </x:c>
      <x:c r="C77" s="90" t="str">
        <x:f>IF(D77="","",IF(COUNTIFS(Trips!$A$6:$A$105,D77)=1,INDEX(Trips!$D$6:$D$105,MATCH(D77,Trips!$A$6:$A$105,0)),""))</x:f>
      </x:c>
      <x:c r="D77" s="107" t="str">
        <x:f>IF(Trips!B77="","",Trips!A77)</x:f>
      </x:c>
      <x:c r="E77" s="107"/>
      <x:c r="F77" s="90" t="str">
        <x:f>IF(E77="","",IF(COUNTIFS(Counters!$A$6:$A$105,E77)=1,INDEX(Counters!$B$6:$B$105,MATCH(E77,Counters!$A$6:$A$105,0)),""))</x:f>
      </x:c>
      <x:c r="G77" s="107"/>
      <x:c r="H77" s="98" t="str">
        <x:f>IF(C77="","",IF(COUNTIFS('Route List'!$F$6:$F$205,C77)=1,IF(COUNTIFS('Route List'!$F$6:$F$205,C77,'Route List'!$G$6:$G$205,"&lt;&gt;")=1,INDEX('Route List'!$G$6:$G$205,MATCH(C77,'Route List'!$F$6:$F$205,0)),"Enter route fare"),"Enter route fare"))</x:f>
      </x:c>
      <x:c r="I77" s="98" t="str">
        <x:f>IF(F77="","",IF(F77="Own",0,50))</x:f>
      </x:c>
      <x:c r="J77" s="98" t="str">
        <x:f>IF(OR(D77="",E77=""),"",IF(AND(ISNUMBER(G77),ISNUMBER(H77)),ROUND(G77*H77,2),""))</x:f>
      </x:c>
      <x:c r="K77" s="98" t="str">
        <x:f>IF(OR(D77="",E77=""),"",IF(AND(ISNUMBER(G77),ISNUMBER(I77)),ROUND(G77*I77,2),""))</x:f>
      </x:c>
      <x:c r="L77" s="98" t="str">
        <x:f>IF(OR(D77="",E77=""),"",IF(AND(ISNUMBER(J77),ISNUMBER(K77)),J77-K77,""))</x:f>
      </x:c>
      <x:c r="M77" s="114"/>
      <x:c r="N77" s="98" t="str">
        <x:f>IF(OR(D77="",E77=""),"",IF(COUNTIFS($D$6:D77,D77,$E$6:E77,E77)=1,MAX(SUMIFS($L$6:$L$505,$D$6:$D$505,D77,$E$6:$E$505,E77)-SUMIFS($M$6:$M$505,$D$6:$D$505,D77,$E$6:$E$505,E77),0),""))</x:f>
      </x:c>
    </x:row>
    <x:row r="78" ht="28" customHeight="1">
      <x:c r="A78" s="113" t="str">
        <x:f>IF(D78="","",IF(COUNTIFS(Trips!$A$6:$A$105,D78)=1,INDEX(Trips!$C$6:$C$105,MATCH(D78,Trips!$A$6:$A$105,0)),""))</x:f>
      </x:c>
      <x:c r="B78" s="90" t="str">
        <x:f>IF(D78="","",IF(COUNTIFS(Trips!$A$6:$A$105,D78)=1,INDEX(Trips!$B$6:$B$105,MATCH(D78,Trips!$A$6:$A$105,0)),""))</x:f>
      </x:c>
      <x:c r="C78" s="90" t="str">
        <x:f>IF(D78="","",IF(COUNTIFS(Trips!$A$6:$A$105,D78)=1,INDEX(Trips!$D$6:$D$105,MATCH(D78,Trips!$A$6:$A$105,0)),""))</x:f>
      </x:c>
      <x:c r="D78" s="107" t="str">
        <x:f>IF(Trips!B78="","",Trips!A78)</x:f>
      </x:c>
      <x:c r="E78" s="107"/>
      <x:c r="F78" s="90" t="str">
        <x:f>IF(E78="","",IF(COUNTIFS(Counters!$A$6:$A$105,E78)=1,INDEX(Counters!$B$6:$B$105,MATCH(E78,Counters!$A$6:$A$105,0)),""))</x:f>
      </x:c>
      <x:c r="G78" s="107"/>
      <x:c r="H78" s="98" t="str">
        <x:f>IF(C78="","",IF(COUNTIFS('Route List'!$F$6:$F$205,C78)=1,IF(COUNTIFS('Route List'!$F$6:$F$205,C78,'Route List'!$G$6:$G$205,"&lt;&gt;")=1,INDEX('Route List'!$G$6:$G$205,MATCH(C78,'Route List'!$F$6:$F$205,0)),"Enter route fare"),"Enter route fare"))</x:f>
      </x:c>
      <x:c r="I78" s="98" t="str">
        <x:f>IF(F78="","",IF(F78="Own",0,50))</x:f>
      </x:c>
      <x:c r="J78" s="98" t="str">
        <x:f>IF(OR(D78="",E78=""),"",IF(AND(ISNUMBER(G78),ISNUMBER(H78)),ROUND(G78*H78,2),""))</x:f>
      </x:c>
      <x:c r="K78" s="98" t="str">
        <x:f>IF(OR(D78="",E78=""),"",IF(AND(ISNUMBER(G78),ISNUMBER(I78)),ROUND(G78*I78,2),""))</x:f>
      </x:c>
      <x:c r="L78" s="98" t="str">
        <x:f>IF(OR(D78="",E78=""),"",IF(AND(ISNUMBER(J78),ISNUMBER(K78)),J78-K78,""))</x:f>
      </x:c>
      <x:c r="M78" s="114"/>
      <x:c r="N78" s="98" t="str">
        <x:f>IF(OR(D78="",E78=""),"",IF(COUNTIFS($D$6:D78,D78,$E$6:E78,E78)=1,MAX(SUMIFS($L$6:$L$505,$D$6:$D$505,D78,$E$6:$E$505,E78)-SUMIFS($M$6:$M$505,$D$6:$D$505,D78,$E$6:$E$505,E78),0),""))</x:f>
      </x:c>
    </x:row>
    <x:row r="79" ht="28" customHeight="1">
      <x:c r="A79" s="113" t="str">
        <x:f>IF(D79="","",IF(COUNTIFS(Trips!$A$6:$A$105,D79)=1,INDEX(Trips!$C$6:$C$105,MATCH(D79,Trips!$A$6:$A$105,0)),""))</x:f>
      </x:c>
      <x:c r="B79" s="90" t="str">
        <x:f>IF(D79="","",IF(COUNTIFS(Trips!$A$6:$A$105,D79)=1,INDEX(Trips!$B$6:$B$105,MATCH(D79,Trips!$A$6:$A$105,0)),""))</x:f>
      </x:c>
      <x:c r="C79" s="90" t="str">
        <x:f>IF(D79="","",IF(COUNTIFS(Trips!$A$6:$A$105,D79)=1,INDEX(Trips!$D$6:$D$105,MATCH(D79,Trips!$A$6:$A$105,0)),""))</x:f>
      </x:c>
      <x:c r="D79" s="107" t="str">
        <x:f>IF(Trips!B79="","",Trips!A79)</x:f>
      </x:c>
      <x:c r="E79" s="107"/>
      <x:c r="F79" s="90" t="str">
        <x:f>IF(E79="","",IF(COUNTIFS(Counters!$A$6:$A$105,E79)=1,INDEX(Counters!$B$6:$B$105,MATCH(E79,Counters!$A$6:$A$105,0)),""))</x:f>
      </x:c>
      <x:c r="G79" s="107"/>
      <x:c r="H79" s="98" t="str">
        <x:f>IF(C79="","",IF(COUNTIFS('Route List'!$F$6:$F$205,C79)=1,IF(COUNTIFS('Route List'!$F$6:$F$205,C79,'Route List'!$G$6:$G$205,"&lt;&gt;")=1,INDEX('Route List'!$G$6:$G$205,MATCH(C79,'Route List'!$F$6:$F$205,0)),"Enter route fare"),"Enter route fare"))</x:f>
      </x:c>
      <x:c r="I79" s="98" t="str">
        <x:f>IF(F79="","",IF(F79="Own",0,50))</x:f>
      </x:c>
      <x:c r="J79" s="98" t="str">
        <x:f>IF(OR(D79="",E79=""),"",IF(AND(ISNUMBER(G79),ISNUMBER(H79)),ROUND(G79*H79,2),""))</x:f>
      </x:c>
      <x:c r="K79" s="98" t="str">
        <x:f>IF(OR(D79="",E79=""),"",IF(AND(ISNUMBER(G79),ISNUMBER(I79)),ROUND(G79*I79,2),""))</x:f>
      </x:c>
      <x:c r="L79" s="98" t="str">
        <x:f>IF(OR(D79="",E79=""),"",IF(AND(ISNUMBER(J79),ISNUMBER(K79)),J79-K79,""))</x:f>
      </x:c>
      <x:c r="M79" s="114"/>
      <x:c r="N79" s="98" t="str">
        <x:f>IF(OR(D79="",E79=""),"",IF(COUNTIFS($D$6:D79,D79,$E$6:E79,E79)=1,MAX(SUMIFS($L$6:$L$505,$D$6:$D$505,D79,$E$6:$E$505,E79)-SUMIFS($M$6:$M$505,$D$6:$D$505,D79,$E$6:$E$505,E79),0),""))</x:f>
      </x:c>
    </x:row>
    <x:row r="80" ht="28" customHeight="1">
      <x:c r="A80" s="113" t="str">
        <x:f>IF(D80="","",IF(COUNTIFS(Trips!$A$6:$A$105,D80)=1,INDEX(Trips!$C$6:$C$105,MATCH(D80,Trips!$A$6:$A$105,0)),""))</x:f>
      </x:c>
      <x:c r="B80" s="90" t="str">
        <x:f>IF(D80="","",IF(COUNTIFS(Trips!$A$6:$A$105,D80)=1,INDEX(Trips!$B$6:$B$105,MATCH(D80,Trips!$A$6:$A$105,0)),""))</x:f>
      </x:c>
      <x:c r="C80" s="90" t="str">
        <x:f>IF(D80="","",IF(COUNTIFS(Trips!$A$6:$A$105,D80)=1,INDEX(Trips!$D$6:$D$105,MATCH(D80,Trips!$A$6:$A$105,0)),""))</x:f>
      </x:c>
      <x:c r="D80" s="107" t="str">
        <x:f>IF(Trips!B80="","",Trips!A80)</x:f>
      </x:c>
      <x:c r="E80" s="107"/>
      <x:c r="F80" s="90" t="str">
        <x:f>IF(E80="","",IF(COUNTIFS(Counters!$A$6:$A$105,E80)=1,INDEX(Counters!$B$6:$B$105,MATCH(E80,Counters!$A$6:$A$105,0)),""))</x:f>
      </x:c>
      <x:c r="G80" s="107"/>
      <x:c r="H80" s="98" t="str">
        <x:f>IF(C80="","",IF(COUNTIFS('Route List'!$F$6:$F$205,C80)=1,IF(COUNTIFS('Route List'!$F$6:$F$205,C80,'Route List'!$G$6:$G$205,"&lt;&gt;")=1,INDEX('Route List'!$G$6:$G$205,MATCH(C80,'Route List'!$F$6:$F$205,0)),"Enter route fare"),"Enter route fare"))</x:f>
      </x:c>
      <x:c r="I80" s="98" t="str">
        <x:f>IF(F80="","",IF(F80="Own",0,50))</x:f>
      </x:c>
      <x:c r="J80" s="98" t="str">
        <x:f>IF(OR(D80="",E80=""),"",IF(AND(ISNUMBER(G80),ISNUMBER(H80)),ROUND(G80*H80,2),""))</x:f>
      </x:c>
      <x:c r="K80" s="98" t="str">
        <x:f>IF(OR(D80="",E80=""),"",IF(AND(ISNUMBER(G80),ISNUMBER(I80)),ROUND(G80*I80,2),""))</x:f>
      </x:c>
      <x:c r="L80" s="98" t="str">
        <x:f>IF(OR(D80="",E80=""),"",IF(AND(ISNUMBER(J80),ISNUMBER(K80)),J80-K80,""))</x:f>
      </x:c>
      <x:c r="M80" s="114"/>
      <x:c r="N80" s="98" t="str">
        <x:f>IF(OR(D80="",E80=""),"",IF(COUNTIFS($D$6:D80,D80,$E$6:E80,E80)=1,MAX(SUMIFS($L$6:$L$505,$D$6:$D$505,D80,$E$6:$E$505,E80)-SUMIFS($M$6:$M$505,$D$6:$D$505,D80,$E$6:$E$505,E80),0),""))</x:f>
      </x:c>
    </x:row>
    <x:row r="81" ht="28" customHeight="1">
      <x:c r="A81" s="113" t="str">
        <x:f>IF(D81="","",IF(COUNTIFS(Trips!$A$6:$A$105,D81)=1,INDEX(Trips!$C$6:$C$105,MATCH(D81,Trips!$A$6:$A$105,0)),""))</x:f>
      </x:c>
      <x:c r="B81" s="90" t="str">
        <x:f>IF(D81="","",IF(COUNTIFS(Trips!$A$6:$A$105,D81)=1,INDEX(Trips!$B$6:$B$105,MATCH(D81,Trips!$A$6:$A$105,0)),""))</x:f>
      </x:c>
      <x:c r="C81" s="90" t="str">
        <x:f>IF(D81="","",IF(COUNTIFS(Trips!$A$6:$A$105,D81)=1,INDEX(Trips!$D$6:$D$105,MATCH(D81,Trips!$A$6:$A$105,0)),""))</x:f>
      </x:c>
      <x:c r="D81" s="107" t="str">
        <x:f>IF(Trips!B81="","",Trips!A81)</x:f>
      </x:c>
      <x:c r="E81" s="107"/>
      <x:c r="F81" s="90" t="str">
        <x:f>IF(E81="","",IF(COUNTIFS(Counters!$A$6:$A$105,E81)=1,INDEX(Counters!$B$6:$B$105,MATCH(E81,Counters!$A$6:$A$105,0)),""))</x:f>
      </x:c>
      <x:c r="G81" s="107"/>
      <x:c r="H81" s="98" t="str">
        <x:f>IF(C81="","",IF(COUNTIFS('Route List'!$F$6:$F$205,C81)=1,IF(COUNTIFS('Route List'!$F$6:$F$205,C81,'Route List'!$G$6:$G$205,"&lt;&gt;")=1,INDEX('Route List'!$G$6:$G$205,MATCH(C81,'Route List'!$F$6:$F$205,0)),"Enter route fare"),"Enter route fare"))</x:f>
      </x:c>
      <x:c r="I81" s="98" t="str">
        <x:f>IF(F81="","",IF(F81="Own",0,50))</x:f>
      </x:c>
      <x:c r="J81" s="98" t="str">
        <x:f>IF(OR(D81="",E81=""),"",IF(AND(ISNUMBER(G81),ISNUMBER(H81)),ROUND(G81*H81,2),""))</x:f>
      </x:c>
      <x:c r="K81" s="98" t="str">
        <x:f>IF(OR(D81="",E81=""),"",IF(AND(ISNUMBER(G81),ISNUMBER(I81)),ROUND(G81*I81,2),""))</x:f>
      </x:c>
      <x:c r="L81" s="98" t="str">
        <x:f>IF(OR(D81="",E81=""),"",IF(AND(ISNUMBER(J81),ISNUMBER(K81)),J81-K81,""))</x:f>
      </x:c>
      <x:c r="M81" s="114"/>
      <x:c r="N81" s="98" t="str">
        <x:f>IF(OR(D81="",E81=""),"",IF(COUNTIFS($D$6:D81,D81,$E$6:E81,E81)=1,MAX(SUMIFS($L$6:$L$505,$D$6:$D$505,D81,$E$6:$E$505,E81)-SUMIFS($M$6:$M$505,$D$6:$D$505,D81,$E$6:$E$505,E81),0),""))</x:f>
      </x:c>
    </x:row>
    <x:row r="82" ht="28" customHeight="1">
      <x:c r="A82" s="113" t="str">
        <x:f>IF(D82="","",IF(COUNTIFS(Trips!$A$6:$A$105,D82)=1,INDEX(Trips!$C$6:$C$105,MATCH(D82,Trips!$A$6:$A$105,0)),""))</x:f>
      </x:c>
      <x:c r="B82" s="90" t="str">
        <x:f>IF(D82="","",IF(COUNTIFS(Trips!$A$6:$A$105,D82)=1,INDEX(Trips!$B$6:$B$105,MATCH(D82,Trips!$A$6:$A$105,0)),""))</x:f>
      </x:c>
      <x:c r="C82" s="90" t="str">
        <x:f>IF(D82="","",IF(COUNTIFS(Trips!$A$6:$A$105,D82)=1,INDEX(Trips!$D$6:$D$105,MATCH(D82,Trips!$A$6:$A$105,0)),""))</x:f>
      </x:c>
      <x:c r="D82" s="107" t="str">
        <x:f>IF(Trips!B82="","",Trips!A82)</x:f>
      </x:c>
      <x:c r="E82" s="107"/>
      <x:c r="F82" s="90" t="str">
        <x:f>IF(E82="","",IF(COUNTIFS(Counters!$A$6:$A$105,E82)=1,INDEX(Counters!$B$6:$B$105,MATCH(E82,Counters!$A$6:$A$105,0)),""))</x:f>
      </x:c>
      <x:c r="G82" s="107"/>
      <x:c r="H82" s="98" t="str">
        <x:f>IF(C82="","",IF(COUNTIFS('Route List'!$F$6:$F$205,C82)=1,IF(COUNTIFS('Route List'!$F$6:$F$205,C82,'Route List'!$G$6:$G$205,"&lt;&gt;")=1,INDEX('Route List'!$G$6:$G$205,MATCH(C82,'Route List'!$F$6:$F$205,0)),"Enter route fare"),"Enter route fare"))</x:f>
      </x:c>
      <x:c r="I82" s="98" t="str">
        <x:f>IF(F82="","",IF(F82="Own",0,50))</x:f>
      </x:c>
      <x:c r="J82" s="98" t="str">
        <x:f>IF(OR(D82="",E82=""),"",IF(AND(ISNUMBER(G82),ISNUMBER(H82)),ROUND(G82*H82,2),""))</x:f>
      </x:c>
      <x:c r="K82" s="98" t="str">
        <x:f>IF(OR(D82="",E82=""),"",IF(AND(ISNUMBER(G82),ISNUMBER(I82)),ROUND(G82*I82,2),""))</x:f>
      </x:c>
      <x:c r="L82" s="98" t="str">
        <x:f>IF(OR(D82="",E82=""),"",IF(AND(ISNUMBER(J82),ISNUMBER(K82)),J82-K82,""))</x:f>
      </x:c>
      <x:c r="M82" s="114"/>
      <x:c r="N82" s="98" t="str">
        <x:f>IF(OR(D82="",E82=""),"",IF(COUNTIFS($D$6:D82,D82,$E$6:E82,E82)=1,MAX(SUMIFS($L$6:$L$505,$D$6:$D$505,D82,$E$6:$E$505,E82)-SUMIFS($M$6:$M$505,$D$6:$D$505,D82,$E$6:$E$505,E82),0),""))</x:f>
      </x:c>
    </x:row>
    <x:row r="83" ht="28" customHeight="1">
      <x:c r="A83" s="113" t="str">
        <x:f>IF(D83="","",IF(COUNTIFS(Trips!$A$6:$A$105,D83)=1,INDEX(Trips!$C$6:$C$105,MATCH(D83,Trips!$A$6:$A$105,0)),""))</x:f>
      </x:c>
      <x:c r="B83" s="90" t="str">
        <x:f>IF(D83="","",IF(COUNTIFS(Trips!$A$6:$A$105,D83)=1,INDEX(Trips!$B$6:$B$105,MATCH(D83,Trips!$A$6:$A$105,0)),""))</x:f>
      </x:c>
      <x:c r="C83" s="90" t="str">
        <x:f>IF(D83="","",IF(COUNTIFS(Trips!$A$6:$A$105,D83)=1,INDEX(Trips!$D$6:$D$105,MATCH(D83,Trips!$A$6:$A$105,0)),""))</x:f>
      </x:c>
      <x:c r="D83" s="107" t="str">
        <x:f>IF(Trips!B83="","",Trips!A83)</x:f>
      </x:c>
      <x:c r="E83" s="107"/>
      <x:c r="F83" s="90" t="str">
        <x:f>IF(E83="","",IF(COUNTIFS(Counters!$A$6:$A$105,E83)=1,INDEX(Counters!$B$6:$B$105,MATCH(E83,Counters!$A$6:$A$105,0)),""))</x:f>
      </x:c>
      <x:c r="G83" s="107"/>
      <x:c r="H83" s="98" t="str">
        <x:f>IF(C83="","",IF(COUNTIFS('Route List'!$F$6:$F$205,C83)=1,IF(COUNTIFS('Route List'!$F$6:$F$205,C83,'Route List'!$G$6:$G$205,"&lt;&gt;")=1,INDEX('Route List'!$G$6:$G$205,MATCH(C83,'Route List'!$F$6:$F$205,0)),"Enter route fare"),"Enter route fare"))</x:f>
      </x:c>
      <x:c r="I83" s="98" t="str">
        <x:f>IF(F83="","",IF(F83="Own",0,50))</x:f>
      </x:c>
      <x:c r="J83" s="98" t="str">
        <x:f>IF(OR(D83="",E83=""),"",IF(AND(ISNUMBER(G83),ISNUMBER(H83)),ROUND(G83*H83,2),""))</x:f>
      </x:c>
      <x:c r="K83" s="98" t="str">
        <x:f>IF(OR(D83="",E83=""),"",IF(AND(ISNUMBER(G83),ISNUMBER(I83)),ROUND(G83*I83,2),""))</x:f>
      </x:c>
      <x:c r="L83" s="98" t="str">
        <x:f>IF(OR(D83="",E83=""),"",IF(AND(ISNUMBER(J83),ISNUMBER(K83)),J83-K83,""))</x:f>
      </x:c>
      <x:c r="M83" s="114"/>
      <x:c r="N83" s="98" t="str">
        <x:f>IF(OR(D83="",E83=""),"",IF(COUNTIFS($D$6:D83,D83,$E$6:E83,E83)=1,MAX(SUMIFS($L$6:$L$505,$D$6:$D$505,D83,$E$6:$E$505,E83)-SUMIFS($M$6:$M$505,$D$6:$D$505,D83,$E$6:$E$505,E83),0),""))</x:f>
      </x:c>
    </x:row>
    <x:row r="84" ht="28" customHeight="1">
      <x:c r="A84" s="113" t="str">
        <x:f>IF(D84="","",IF(COUNTIFS(Trips!$A$6:$A$105,D84)=1,INDEX(Trips!$C$6:$C$105,MATCH(D84,Trips!$A$6:$A$105,0)),""))</x:f>
      </x:c>
      <x:c r="B84" s="90" t="str">
        <x:f>IF(D84="","",IF(COUNTIFS(Trips!$A$6:$A$105,D84)=1,INDEX(Trips!$B$6:$B$105,MATCH(D84,Trips!$A$6:$A$105,0)),""))</x:f>
      </x:c>
      <x:c r="C84" s="90" t="str">
        <x:f>IF(D84="","",IF(COUNTIFS(Trips!$A$6:$A$105,D84)=1,INDEX(Trips!$D$6:$D$105,MATCH(D84,Trips!$A$6:$A$105,0)),""))</x:f>
      </x:c>
      <x:c r="D84" s="107" t="str">
        <x:f>IF(Trips!B84="","",Trips!A84)</x:f>
      </x:c>
      <x:c r="E84" s="107"/>
      <x:c r="F84" s="90" t="str">
        <x:f>IF(E84="","",IF(COUNTIFS(Counters!$A$6:$A$105,E84)=1,INDEX(Counters!$B$6:$B$105,MATCH(E84,Counters!$A$6:$A$105,0)),""))</x:f>
      </x:c>
      <x:c r="G84" s="107"/>
      <x:c r="H84" s="98" t="str">
        <x:f>IF(C84="","",IF(COUNTIFS('Route List'!$F$6:$F$205,C84)=1,IF(COUNTIFS('Route List'!$F$6:$F$205,C84,'Route List'!$G$6:$G$205,"&lt;&gt;")=1,INDEX('Route List'!$G$6:$G$205,MATCH(C84,'Route List'!$F$6:$F$205,0)),"Enter route fare"),"Enter route fare"))</x:f>
      </x:c>
      <x:c r="I84" s="98" t="str">
        <x:f>IF(F84="","",IF(F84="Own",0,50))</x:f>
      </x:c>
      <x:c r="J84" s="98" t="str">
        <x:f>IF(OR(D84="",E84=""),"",IF(AND(ISNUMBER(G84),ISNUMBER(H84)),ROUND(G84*H84,2),""))</x:f>
      </x:c>
      <x:c r="K84" s="98" t="str">
        <x:f>IF(OR(D84="",E84=""),"",IF(AND(ISNUMBER(G84),ISNUMBER(I84)),ROUND(G84*I84,2),""))</x:f>
      </x:c>
      <x:c r="L84" s="98" t="str">
        <x:f>IF(OR(D84="",E84=""),"",IF(AND(ISNUMBER(J84),ISNUMBER(K84)),J84-K84,""))</x:f>
      </x:c>
      <x:c r="M84" s="114"/>
      <x:c r="N84" s="98" t="str">
        <x:f>IF(OR(D84="",E84=""),"",IF(COUNTIFS($D$6:D84,D84,$E$6:E84,E84)=1,MAX(SUMIFS($L$6:$L$505,$D$6:$D$505,D84,$E$6:$E$505,E84)-SUMIFS($M$6:$M$505,$D$6:$D$505,D84,$E$6:$E$505,E84),0),""))</x:f>
      </x:c>
    </x:row>
    <x:row r="85" ht="28" customHeight="1">
      <x:c r="A85" s="113" t="str">
        <x:f>IF(D85="","",IF(COUNTIFS(Trips!$A$6:$A$105,D85)=1,INDEX(Trips!$C$6:$C$105,MATCH(D85,Trips!$A$6:$A$105,0)),""))</x:f>
      </x:c>
      <x:c r="B85" s="90" t="str">
        <x:f>IF(D85="","",IF(COUNTIFS(Trips!$A$6:$A$105,D85)=1,INDEX(Trips!$B$6:$B$105,MATCH(D85,Trips!$A$6:$A$105,0)),""))</x:f>
      </x:c>
      <x:c r="C85" s="90" t="str">
        <x:f>IF(D85="","",IF(COUNTIFS(Trips!$A$6:$A$105,D85)=1,INDEX(Trips!$D$6:$D$105,MATCH(D85,Trips!$A$6:$A$105,0)),""))</x:f>
      </x:c>
      <x:c r="D85" s="107" t="str">
        <x:f>IF(Trips!B85="","",Trips!A85)</x:f>
      </x:c>
      <x:c r="E85" s="107"/>
      <x:c r="F85" s="90" t="str">
        <x:f>IF(E85="","",IF(COUNTIFS(Counters!$A$6:$A$105,E85)=1,INDEX(Counters!$B$6:$B$105,MATCH(E85,Counters!$A$6:$A$105,0)),""))</x:f>
      </x:c>
      <x:c r="G85" s="107"/>
      <x:c r="H85" s="98" t="str">
        <x:f>IF(C85="","",IF(COUNTIFS('Route List'!$F$6:$F$205,C85)=1,IF(COUNTIFS('Route List'!$F$6:$F$205,C85,'Route List'!$G$6:$G$205,"&lt;&gt;")=1,INDEX('Route List'!$G$6:$G$205,MATCH(C85,'Route List'!$F$6:$F$205,0)),"Enter route fare"),"Enter route fare"))</x:f>
      </x:c>
      <x:c r="I85" s="98" t="str">
        <x:f>IF(F85="","",IF(F85="Own",0,50))</x:f>
      </x:c>
      <x:c r="J85" s="98" t="str">
        <x:f>IF(OR(D85="",E85=""),"",IF(AND(ISNUMBER(G85),ISNUMBER(H85)),ROUND(G85*H85,2),""))</x:f>
      </x:c>
      <x:c r="K85" s="98" t="str">
        <x:f>IF(OR(D85="",E85=""),"",IF(AND(ISNUMBER(G85),ISNUMBER(I85)),ROUND(G85*I85,2),""))</x:f>
      </x:c>
      <x:c r="L85" s="98" t="str">
        <x:f>IF(OR(D85="",E85=""),"",IF(AND(ISNUMBER(J85),ISNUMBER(K85)),J85-K85,""))</x:f>
      </x:c>
      <x:c r="M85" s="114"/>
      <x:c r="N85" s="98" t="str">
        <x:f>IF(OR(D85="",E85=""),"",IF(COUNTIFS($D$6:D85,D85,$E$6:E85,E85)=1,MAX(SUMIFS($L$6:$L$505,$D$6:$D$505,D85,$E$6:$E$505,E85)-SUMIFS($M$6:$M$505,$D$6:$D$505,D85,$E$6:$E$505,E85),0),""))</x:f>
      </x:c>
    </x:row>
    <x:row r="86" ht="28" customHeight="1">
      <x:c r="A86" s="113" t="str">
        <x:f>IF(D86="","",IF(COUNTIFS(Trips!$A$6:$A$105,D86)=1,INDEX(Trips!$C$6:$C$105,MATCH(D86,Trips!$A$6:$A$105,0)),""))</x:f>
      </x:c>
      <x:c r="B86" s="90" t="str">
        <x:f>IF(D86="","",IF(COUNTIFS(Trips!$A$6:$A$105,D86)=1,INDEX(Trips!$B$6:$B$105,MATCH(D86,Trips!$A$6:$A$105,0)),""))</x:f>
      </x:c>
      <x:c r="C86" s="90" t="str">
        <x:f>IF(D86="","",IF(COUNTIFS(Trips!$A$6:$A$105,D86)=1,INDEX(Trips!$D$6:$D$105,MATCH(D86,Trips!$A$6:$A$105,0)),""))</x:f>
      </x:c>
      <x:c r="D86" s="107" t="str">
        <x:f>IF(Trips!B86="","",Trips!A86)</x:f>
      </x:c>
      <x:c r="E86" s="107"/>
      <x:c r="F86" s="90" t="str">
        <x:f>IF(E86="","",IF(COUNTIFS(Counters!$A$6:$A$105,E86)=1,INDEX(Counters!$B$6:$B$105,MATCH(E86,Counters!$A$6:$A$105,0)),""))</x:f>
      </x:c>
      <x:c r="G86" s="107"/>
      <x:c r="H86" s="98" t="str">
        <x:f>IF(C86="","",IF(COUNTIFS('Route List'!$F$6:$F$205,C86)=1,IF(COUNTIFS('Route List'!$F$6:$F$205,C86,'Route List'!$G$6:$G$205,"&lt;&gt;")=1,INDEX('Route List'!$G$6:$G$205,MATCH(C86,'Route List'!$F$6:$F$205,0)),"Enter route fare"),"Enter route fare"))</x:f>
      </x:c>
      <x:c r="I86" s="98" t="str">
        <x:f>IF(F86="","",IF(F86="Own",0,50))</x:f>
      </x:c>
      <x:c r="J86" s="98" t="str">
        <x:f>IF(OR(D86="",E86=""),"",IF(AND(ISNUMBER(G86),ISNUMBER(H86)),ROUND(G86*H86,2),""))</x:f>
      </x:c>
      <x:c r="K86" s="98" t="str">
        <x:f>IF(OR(D86="",E86=""),"",IF(AND(ISNUMBER(G86),ISNUMBER(I86)),ROUND(G86*I86,2),""))</x:f>
      </x:c>
      <x:c r="L86" s="98" t="str">
        <x:f>IF(OR(D86="",E86=""),"",IF(AND(ISNUMBER(J86),ISNUMBER(K86)),J86-K86,""))</x:f>
      </x:c>
      <x:c r="M86" s="114"/>
      <x:c r="N86" s="98" t="str">
        <x:f>IF(OR(D86="",E86=""),"",IF(COUNTIFS($D$6:D86,D86,$E$6:E86,E86)=1,MAX(SUMIFS($L$6:$L$505,$D$6:$D$505,D86,$E$6:$E$505,E86)-SUMIFS($M$6:$M$505,$D$6:$D$505,D86,$E$6:$E$505,E86),0),""))</x:f>
      </x:c>
    </x:row>
    <x:row r="87" ht="28" customHeight="1">
      <x:c r="A87" s="113" t="str">
        <x:f>IF(D87="","",IF(COUNTIFS(Trips!$A$6:$A$105,D87)=1,INDEX(Trips!$C$6:$C$105,MATCH(D87,Trips!$A$6:$A$105,0)),""))</x:f>
      </x:c>
      <x:c r="B87" s="90" t="str">
        <x:f>IF(D87="","",IF(COUNTIFS(Trips!$A$6:$A$105,D87)=1,INDEX(Trips!$B$6:$B$105,MATCH(D87,Trips!$A$6:$A$105,0)),""))</x:f>
      </x:c>
      <x:c r="C87" s="90" t="str">
        <x:f>IF(D87="","",IF(COUNTIFS(Trips!$A$6:$A$105,D87)=1,INDEX(Trips!$D$6:$D$105,MATCH(D87,Trips!$A$6:$A$105,0)),""))</x:f>
      </x:c>
      <x:c r="D87" s="107" t="str">
        <x:f>IF(Trips!B87="","",Trips!A87)</x:f>
      </x:c>
      <x:c r="E87" s="107"/>
      <x:c r="F87" s="90" t="str">
        <x:f>IF(E87="","",IF(COUNTIFS(Counters!$A$6:$A$105,E87)=1,INDEX(Counters!$B$6:$B$105,MATCH(E87,Counters!$A$6:$A$105,0)),""))</x:f>
      </x:c>
      <x:c r="G87" s="107"/>
      <x:c r="H87" s="98" t="str">
        <x:f>IF(C87="","",IF(COUNTIFS('Route List'!$F$6:$F$205,C87)=1,IF(COUNTIFS('Route List'!$F$6:$F$205,C87,'Route List'!$G$6:$G$205,"&lt;&gt;")=1,INDEX('Route List'!$G$6:$G$205,MATCH(C87,'Route List'!$F$6:$F$205,0)),"Enter route fare"),"Enter route fare"))</x:f>
      </x:c>
      <x:c r="I87" s="98" t="str">
        <x:f>IF(F87="","",IF(F87="Own",0,50))</x:f>
      </x:c>
      <x:c r="J87" s="98" t="str">
        <x:f>IF(OR(D87="",E87=""),"",IF(AND(ISNUMBER(G87),ISNUMBER(H87)),ROUND(G87*H87,2),""))</x:f>
      </x:c>
      <x:c r="K87" s="98" t="str">
        <x:f>IF(OR(D87="",E87=""),"",IF(AND(ISNUMBER(G87),ISNUMBER(I87)),ROUND(G87*I87,2),""))</x:f>
      </x:c>
      <x:c r="L87" s="98" t="str">
        <x:f>IF(OR(D87="",E87=""),"",IF(AND(ISNUMBER(J87),ISNUMBER(K87)),J87-K87,""))</x:f>
      </x:c>
      <x:c r="M87" s="114"/>
      <x:c r="N87" s="98" t="str">
        <x:f>IF(OR(D87="",E87=""),"",IF(COUNTIFS($D$6:D87,D87,$E$6:E87,E87)=1,MAX(SUMIFS($L$6:$L$505,$D$6:$D$505,D87,$E$6:$E$505,E87)-SUMIFS($M$6:$M$505,$D$6:$D$505,D87,$E$6:$E$505,E87),0),""))</x:f>
      </x:c>
    </x:row>
    <x:row r="88" ht="28" customHeight="1">
      <x:c r="A88" s="113" t="str">
        <x:f>IF(D88="","",IF(COUNTIFS(Trips!$A$6:$A$105,D88)=1,INDEX(Trips!$C$6:$C$105,MATCH(D88,Trips!$A$6:$A$105,0)),""))</x:f>
      </x:c>
      <x:c r="B88" s="90" t="str">
        <x:f>IF(D88="","",IF(COUNTIFS(Trips!$A$6:$A$105,D88)=1,INDEX(Trips!$B$6:$B$105,MATCH(D88,Trips!$A$6:$A$105,0)),""))</x:f>
      </x:c>
      <x:c r="C88" s="90" t="str">
        <x:f>IF(D88="","",IF(COUNTIFS(Trips!$A$6:$A$105,D88)=1,INDEX(Trips!$D$6:$D$105,MATCH(D88,Trips!$A$6:$A$105,0)),""))</x:f>
      </x:c>
      <x:c r="D88" s="107" t="str">
        <x:f>IF(Trips!B88="","",Trips!A88)</x:f>
      </x:c>
      <x:c r="E88" s="107"/>
      <x:c r="F88" s="90" t="str">
        <x:f>IF(E88="","",IF(COUNTIFS(Counters!$A$6:$A$105,E88)=1,INDEX(Counters!$B$6:$B$105,MATCH(E88,Counters!$A$6:$A$105,0)),""))</x:f>
      </x:c>
      <x:c r="G88" s="107"/>
      <x:c r="H88" s="98" t="str">
        <x:f>IF(C88="","",IF(COUNTIFS('Route List'!$F$6:$F$205,C88)=1,IF(COUNTIFS('Route List'!$F$6:$F$205,C88,'Route List'!$G$6:$G$205,"&lt;&gt;")=1,INDEX('Route List'!$G$6:$G$205,MATCH(C88,'Route List'!$F$6:$F$205,0)),"Enter route fare"),"Enter route fare"))</x:f>
      </x:c>
      <x:c r="I88" s="98" t="str">
        <x:f>IF(F88="","",IF(F88="Own",0,50))</x:f>
      </x:c>
      <x:c r="J88" s="98" t="str">
        <x:f>IF(OR(D88="",E88=""),"",IF(AND(ISNUMBER(G88),ISNUMBER(H88)),ROUND(G88*H88,2),""))</x:f>
      </x:c>
      <x:c r="K88" s="98" t="str">
        <x:f>IF(OR(D88="",E88=""),"",IF(AND(ISNUMBER(G88),ISNUMBER(I88)),ROUND(G88*I88,2),""))</x:f>
      </x:c>
      <x:c r="L88" s="98" t="str">
        <x:f>IF(OR(D88="",E88=""),"",IF(AND(ISNUMBER(J88),ISNUMBER(K88)),J88-K88,""))</x:f>
      </x:c>
      <x:c r="M88" s="114"/>
      <x:c r="N88" s="98" t="str">
        <x:f>IF(OR(D88="",E88=""),"",IF(COUNTIFS($D$6:D88,D88,$E$6:E88,E88)=1,MAX(SUMIFS($L$6:$L$505,$D$6:$D$505,D88,$E$6:$E$505,E88)-SUMIFS($M$6:$M$505,$D$6:$D$505,D88,$E$6:$E$505,E88),0),""))</x:f>
      </x:c>
    </x:row>
    <x:row r="89" ht="28" customHeight="1">
      <x:c r="A89" s="113" t="str">
        <x:f>IF(D89="","",IF(COUNTIFS(Trips!$A$6:$A$105,D89)=1,INDEX(Trips!$C$6:$C$105,MATCH(D89,Trips!$A$6:$A$105,0)),""))</x:f>
      </x:c>
      <x:c r="B89" s="90" t="str">
        <x:f>IF(D89="","",IF(COUNTIFS(Trips!$A$6:$A$105,D89)=1,INDEX(Trips!$B$6:$B$105,MATCH(D89,Trips!$A$6:$A$105,0)),""))</x:f>
      </x:c>
      <x:c r="C89" s="90" t="str">
        <x:f>IF(D89="","",IF(COUNTIFS(Trips!$A$6:$A$105,D89)=1,INDEX(Trips!$D$6:$D$105,MATCH(D89,Trips!$A$6:$A$105,0)),""))</x:f>
      </x:c>
      <x:c r="D89" s="107" t="str">
        <x:f>IF(Trips!B89="","",Trips!A89)</x:f>
      </x:c>
      <x:c r="E89" s="107"/>
      <x:c r="F89" s="90" t="str">
        <x:f>IF(E89="","",IF(COUNTIFS(Counters!$A$6:$A$105,E89)=1,INDEX(Counters!$B$6:$B$105,MATCH(E89,Counters!$A$6:$A$105,0)),""))</x:f>
      </x:c>
      <x:c r="G89" s="107"/>
      <x:c r="H89" s="98" t="str">
        <x:f>IF(C89="","",IF(COUNTIFS('Route List'!$F$6:$F$205,C89)=1,IF(COUNTIFS('Route List'!$F$6:$F$205,C89,'Route List'!$G$6:$G$205,"&lt;&gt;")=1,INDEX('Route List'!$G$6:$G$205,MATCH(C89,'Route List'!$F$6:$F$205,0)),"Enter route fare"),"Enter route fare"))</x:f>
      </x:c>
      <x:c r="I89" s="98" t="str">
        <x:f>IF(F89="","",IF(F89="Own",0,50))</x:f>
      </x:c>
      <x:c r="J89" s="98" t="str">
        <x:f>IF(OR(D89="",E89=""),"",IF(AND(ISNUMBER(G89),ISNUMBER(H89)),ROUND(G89*H89,2),""))</x:f>
      </x:c>
      <x:c r="K89" s="98" t="str">
        <x:f>IF(OR(D89="",E89=""),"",IF(AND(ISNUMBER(G89),ISNUMBER(I89)),ROUND(G89*I89,2),""))</x:f>
      </x:c>
      <x:c r="L89" s="98" t="str">
        <x:f>IF(OR(D89="",E89=""),"",IF(AND(ISNUMBER(J89),ISNUMBER(K89)),J89-K89,""))</x:f>
      </x:c>
      <x:c r="M89" s="114"/>
      <x:c r="N89" s="98" t="str">
        <x:f>IF(OR(D89="",E89=""),"",IF(COUNTIFS($D$6:D89,D89,$E$6:E89,E89)=1,MAX(SUMIFS($L$6:$L$505,$D$6:$D$505,D89,$E$6:$E$505,E89)-SUMIFS($M$6:$M$505,$D$6:$D$505,D89,$E$6:$E$505,E89),0),""))</x:f>
      </x:c>
    </x:row>
    <x:row r="90" ht="28" customHeight="1">
      <x:c r="A90" s="113" t="str">
        <x:f>IF(D90="","",IF(COUNTIFS(Trips!$A$6:$A$105,D90)=1,INDEX(Trips!$C$6:$C$105,MATCH(D90,Trips!$A$6:$A$105,0)),""))</x:f>
      </x:c>
      <x:c r="B90" s="90" t="str">
        <x:f>IF(D90="","",IF(COUNTIFS(Trips!$A$6:$A$105,D90)=1,INDEX(Trips!$B$6:$B$105,MATCH(D90,Trips!$A$6:$A$105,0)),""))</x:f>
      </x:c>
      <x:c r="C90" s="90" t="str">
        <x:f>IF(D90="","",IF(COUNTIFS(Trips!$A$6:$A$105,D90)=1,INDEX(Trips!$D$6:$D$105,MATCH(D90,Trips!$A$6:$A$105,0)),""))</x:f>
      </x:c>
      <x:c r="D90" s="107" t="str">
        <x:f>IF(Trips!B90="","",Trips!A90)</x:f>
      </x:c>
      <x:c r="E90" s="107"/>
      <x:c r="F90" s="90" t="str">
        <x:f>IF(E90="","",IF(COUNTIFS(Counters!$A$6:$A$105,E90)=1,INDEX(Counters!$B$6:$B$105,MATCH(E90,Counters!$A$6:$A$105,0)),""))</x:f>
      </x:c>
      <x:c r="G90" s="107"/>
      <x:c r="H90" s="98" t="str">
        <x:f>IF(C90="","",IF(COUNTIFS('Route List'!$F$6:$F$205,C90)=1,IF(COUNTIFS('Route List'!$F$6:$F$205,C90,'Route List'!$G$6:$G$205,"&lt;&gt;")=1,INDEX('Route List'!$G$6:$G$205,MATCH(C90,'Route List'!$F$6:$F$205,0)),"Enter route fare"),"Enter route fare"))</x:f>
      </x:c>
      <x:c r="I90" s="98" t="str">
        <x:f>IF(F90="","",IF(F90="Own",0,50))</x:f>
      </x:c>
      <x:c r="J90" s="98" t="str">
        <x:f>IF(OR(D90="",E90=""),"",IF(AND(ISNUMBER(G90),ISNUMBER(H90)),ROUND(G90*H90,2),""))</x:f>
      </x:c>
      <x:c r="K90" s="98" t="str">
        <x:f>IF(OR(D90="",E90=""),"",IF(AND(ISNUMBER(G90),ISNUMBER(I90)),ROUND(G90*I90,2),""))</x:f>
      </x:c>
      <x:c r="L90" s="98" t="str">
        <x:f>IF(OR(D90="",E90=""),"",IF(AND(ISNUMBER(J90),ISNUMBER(K90)),J90-K90,""))</x:f>
      </x:c>
      <x:c r="M90" s="114"/>
      <x:c r="N90" s="98" t="str">
        <x:f>IF(OR(D90="",E90=""),"",IF(COUNTIFS($D$6:D90,D90,$E$6:E90,E90)=1,MAX(SUMIFS($L$6:$L$505,$D$6:$D$505,D90,$E$6:$E$505,E90)-SUMIFS($M$6:$M$505,$D$6:$D$505,D90,$E$6:$E$505,E90),0),""))</x:f>
      </x:c>
    </x:row>
    <x:row r="91" ht="28" customHeight="1">
      <x:c r="A91" s="113" t="str">
        <x:f>IF(D91="","",IF(COUNTIFS(Trips!$A$6:$A$105,D91)=1,INDEX(Trips!$C$6:$C$105,MATCH(D91,Trips!$A$6:$A$105,0)),""))</x:f>
      </x:c>
      <x:c r="B91" s="90" t="str">
        <x:f>IF(D91="","",IF(COUNTIFS(Trips!$A$6:$A$105,D91)=1,INDEX(Trips!$B$6:$B$105,MATCH(D91,Trips!$A$6:$A$105,0)),""))</x:f>
      </x:c>
      <x:c r="C91" s="90" t="str">
        <x:f>IF(D91="","",IF(COUNTIFS(Trips!$A$6:$A$105,D91)=1,INDEX(Trips!$D$6:$D$105,MATCH(D91,Trips!$A$6:$A$105,0)),""))</x:f>
      </x:c>
      <x:c r="D91" s="107" t="str">
        <x:f>IF(Trips!B91="","",Trips!A91)</x:f>
      </x:c>
      <x:c r="E91" s="107"/>
      <x:c r="F91" s="90" t="str">
        <x:f>IF(E91="","",IF(COUNTIFS(Counters!$A$6:$A$105,E91)=1,INDEX(Counters!$B$6:$B$105,MATCH(E91,Counters!$A$6:$A$105,0)),""))</x:f>
      </x:c>
      <x:c r="G91" s="107"/>
      <x:c r="H91" s="98" t="str">
        <x:f>IF(C91="","",IF(COUNTIFS('Route List'!$F$6:$F$205,C91)=1,IF(COUNTIFS('Route List'!$F$6:$F$205,C91,'Route List'!$G$6:$G$205,"&lt;&gt;")=1,INDEX('Route List'!$G$6:$G$205,MATCH(C91,'Route List'!$F$6:$F$205,0)),"Enter route fare"),"Enter route fare"))</x:f>
      </x:c>
      <x:c r="I91" s="98" t="str">
        <x:f>IF(F91="","",IF(F91="Own",0,50))</x:f>
      </x:c>
      <x:c r="J91" s="98" t="str">
        <x:f>IF(OR(D91="",E91=""),"",IF(AND(ISNUMBER(G91),ISNUMBER(H91)),ROUND(G91*H91,2),""))</x:f>
      </x:c>
      <x:c r="K91" s="98" t="str">
        <x:f>IF(OR(D91="",E91=""),"",IF(AND(ISNUMBER(G91),ISNUMBER(I91)),ROUND(G91*I91,2),""))</x:f>
      </x:c>
      <x:c r="L91" s="98" t="str">
        <x:f>IF(OR(D91="",E91=""),"",IF(AND(ISNUMBER(J91),ISNUMBER(K91)),J91-K91,""))</x:f>
      </x:c>
      <x:c r="M91" s="114"/>
      <x:c r="N91" s="98" t="str">
        <x:f>IF(OR(D91="",E91=""),"",IF(COUNTIFS($D$6:D91,D91,$E$6:E91,E91)=1,MAX(SUMIFS($L$6:$L$505,$D$6:$D$505,D91,$E$6:$E$505,E91)-SUMIFS($M$6:$M$505,$D$6:$D$505,D91,$E$6:$E$505,E91),0),""))</x:f>
      </x:c>
    </x:row>
    <x:row r="92" ht="28" customHeight="1">
      <x:c r="A92" s="113" t="str">
        <x:f>IF(D92="","",IF(COUNTIFS(Trips!$A$6:$A$105,D92)=1,INDEX(Trips!$C$6:$C$105,MATCH(D92,Trips!$A$6:$A$105,0)),""))</x:f>
      </x:c>
      <x:c r="B92" s="90" t="str">
        <x:f>IF(D92="","",IF(COUNTIFS(Trips!$A$6:$A$105,D92)=1,INDEX(Trips!$B$6:$B$105,MATCH(D92,Trips!$A$6:$A$105,0)),""))</x:f>
      </x:c>
      <x:c r="C92" s="90" t="str">
        <x:f>IF(D92="","",IF(COUNTIFS(Trips!$A$6:$A$105,D92)=1,INDEX(Trips!$D$6:$D$105,MATCH(D92,Trips!$A$6:$A$105,0)),""))</x:f>
      </x:c>
      <x:c r="D92" s="107" t="str">
        <x:f>IF(Trips!B92="","",Trips!A92)</x:f>
      </x:c>
      <x:c r="E92" s="107"/>
      <x:c r="F92" s="90" t="str">
        <x:f>IF(E92="","",IF(COUNTIFS(Counters!$A$6:$A$105,E92)=1,INDEX(Counters!$B$6:$B$105,MATCH(E92,Counters!$A$6:$A$105,0)),""))</x:f>
      </x:c>
      <x:c r="G92" s="107"/>
      <x:c r="H92" s="98" t="str">
        <x:f>IF(C92="","",IF(COUNTIFS('Route List'!$F$6:$F$205,C92)=1,IF(COUNTIFS('Route List'!$F$6:$F$205,C92,'Route List'!$G$6:$G$205,"&lt;&gt;")=1,INDEX('Route List'!$G$6:$G$205,MATCH(C92,'Route List'!$F$6:$F$205,0)),"Enter route fare"),"Enter route fare"))</x:f>
      </x:c>
      <x:c r="I92" s="98" t="str">
        <x:f>IF(F92="","",IF(F92="Own",0,50))</x:f>
      </x:c>
      <x:c r="J92" s="98" t="str">
        <x:f>IF(OR(D92="",E92=""),"",IF(AND(ISNUMBER(G92),ISNUMBER(H92)),ROUND(G92*H92,2),""))</x:f>
      </x:c>
      <x:c r="K92" s="98" t="str">
        <x:f>IF(OR(D92="",E92=""),"",IF(AND(ISNUMBER(G92),ISNUMBER(I92)),ROUND(G92*I92,2),""))</x:f>
      </x:c>
      <x:c r="L92" s="98" t="str">
        <x:f>IF(OR(D92="",E92=""),"",IF(AND(ISNUMBER(J92),ISNUMBER(K92)),J92-K92,""))</x:f>
      </x:c>
      <x:c r="M92" s="114"/>
      <x:c r="N92" s="98" t="str">
        <x:f>IF(OR(D92="",E92=""),"",IF(COUNTIFS($D$6:D92,D92,$E$6:E92,E92)=1,MAX(SUMIFS($L$6:$L$505,$D$6:$D$505,D92,$E$6:$E$505,E92)-SUMIFS($M$6:$M$505,$D$6:$D$505,D92,$E$6:$E$505,E92),0),""))</x:f>
      </x:c>
    </x:row>
    <x:row r="93" ht="28" customHeight="1">
      <x:c r="A93" s="113" t="str">
        <x:f>IF(D93="","",IF(COUNTIFS(Trips!$A$6:$A$105,D93)=1,INDEX(Trips!$C$6:$C$105,MATCH(D93,Trips!$A$6:$A$105,0)),""))</x:f>
      </x:c>
      <x:c r="B93" s="90" t="str">
        <x:f>IF(D93="","",IF(COUNTIFS(Trips!$A$6:$A$105,D93)=1,INDEX(Trips!$B$6:$B$105,MATCH(D93,Trips!$A$6:$A$105,0)),""))</x:f>
      </x:c>
      <x:c r="C93" s="90" t="str">
        <x:f>IF(D93="","",IF(COUNTIFS(Trips!$A$6:$A$105,D93)=1,INDEX(Trips!$D$6:$D$105,MATCH(D93,Trips!$A$6:$A$105,0)),""))</x:f>
      </x:c>
      <x:c r="D93" s="107" t="str">
        <x:f>IF(Trips!B93="","",Trips!A93)</x:f>
      </x:c>
      <x:c r="E93" s="107"/>
      <x:c r="F93" s="90" t="str">
        <x:f>IF(E93="","",IF(COUNTIFS(Counters!$A$6:$A$105,E93)=1,INDEX(Counters!$B$6:$B$105,MATCH(E93,Counters!$A$6:$A$105,0)),""))</x:f>
      </x:c>
      <x:c r="G93" s="107"/>
      <x:c r="H93" s="98" t="str">
        <x:f>IF(C93="","",IF(COUNTIFS('Route List'!$F$6:$F$205,C93)=1,IF(COUNTIFS('Route List'!$F$6:$F$205,C93,'Route List'!$G$6:$G$205,"&lt;&gt;")=1,INDEX('Route List'!$G$6:$G$205,MATCH(C93,'Route List'!$F$6:$F$205,0)),"Enter route fare"),"Enter route fare"))</x:f>
      </x:c>
      <x:c r="I93" s="98" t="str">
        <x:f>IF(F93="","",IF(F93="Own",0,50))</x:f>
      </x:c>
      <x:c r="J93" s="98" t="str">
        <x:f>IF(OR(D93="",E93=""),"",IF(AND(ISNUMBER(G93),ISNUMBER(H93)),ROUND(G93*H93,2),""))</x:f>
      </x:c>
      <x:c r="K93" s="98" t="str">
        <x:f>IF(OR(D93="",E93=""),"",IF(AND(ISNUMBER(G93),ISNUMBER(I93)),ROUND(G93*I93,2),""))</x:f>
      </x:c>
      <x:c r="L93" s="98" t="str">
        <x:f>IF(OR(D93="",E93=""),"",IF(AND(ISNUMBER(J93),ISNUMBER(K93)),J93-K93,""))</x:f>
      </x:c>
      <x:c r="M93" s="114"/>
      <x:c r="N93" s="98" t="str">
        <x:f>IF(OR(D93="",E93=""),"",IF(COUNTIFS($D$6:D93,D93,$E$6:E93,E93)=1,MAX(SUMIFS($L$6:$L$505,$D$6:$D$505,D93,$E$6:$E$505,E93)-SUMIFS($M$6:$M$505,$D$6:$D$505,D93,$E$6:$E$505,E93),0),""))</x:f>
      </x:c>
    </x:row>
    <x:row r="94" ht="28" customHeight="1">
      <x:c r="A94" s="113" t="str">
        <x:f>IF(D94="","",IF(COUNTIFS(Trips!$A$6:$A$105,D94)=1,INDEX(Trips!$C$6:$C$105,MATCH(D94,Trips!$A$6:$A$105,0)),""))</x:f>
      </x:c>
      <x:c r="B94" s="90" t="str">
        <x:f>IF(D94="","",IF(COUNTIFS(Trips!$A$6:$A$105,D94)=1,INDEX(Trips!$B$6:$B$105,MATCH(D94,Trips!$A$6:$A$105,0)),""))</x:f>
      </x:c>
      <x:c r="C94" s="90" t="str">
        <x:f>IF(D94="","",IF(COUNTIFS(Trips!$A$6:$A$105,D94)=1,INDEX(Trips!$D$6:$D$105,MATCH(D94,Trips!$A$6:$A$105,0)),""))</x:f>
      </x:c>
      <x:c r="D94" s="107" t="str">
        <x:f>IF(Trips!B94="","",Trips!A94)</x:f>
      </x:c>
      <x:c r="E94" s="107"/>
      <x:c r="F94" s="90" t="str">
        <x:f>IF(E94="","",IF(COUNTIFS(Counters!$A$6:$A$105,E94)=1,INDEX(Counters!$B$6:$B$105,MATCH(E94,Counters!$A$6:$A$105,0)),""))</x:f>
      </x:c>
      <x:c r="G94" s="107"/>
      <x:c r="H94" s="98" t="str">
        <x:f>IF(C94="","",IF(COUNTIFS('Route List'!$F$6:$F$205,C94)=1,IF(COUNTIFS('Route List'!$F$6:$F$205,C94,'Route List'!$G$6:$G$205,"&lt;&gt;")=1,INDEX('Route List'!$G$6:$G$205,MATCH(C94,'Route List'!$F$6:$F$205,0)),"Enter route fare"),"Enter route fare"))</x:f>
      </x:c>
      <x:c r="I94" s="98" t="str">
        <x:f>IF(F94="","",IF(F94="Own",0,50))</x:f>
      </x:c>
      <x:c r="J94" s="98" t="str">
        <x:f>IF(OR(D94="",E94=""),"",IF(AND(ISNUMBER(G94),ISNUMBER(H94)),ROUND(G94*H94,2),""))</x:f>
      </x:c>
      <x:c r="K94" s="98" t="str">
        <x:f>IF(OR(D94="",E94=""),"",IF(AND(ISNUMBER(G94),ISNUMBER(I94)),ROUND(G94*I94,2),""))</x:f>
      </x:c>
      <x:c r="L94" s="98" t="str">
        <x:f>IF(OR(D94="",E94=""),"",IF(AND(ISNUMBER(J94),ISNUMBER(K94)),J94-K94,""))</x:f>
      </x:c>
      <x:c r="M94" s="114"/>
      <x:c r="N94" s="98" t="str">
        <x:f>IF(OR(D94="",E94=""),"",IF(COUNTIFS($D$6:D94,D94,$E$6:E94,E94)=1,MAX(SUMIFS($L$6:$L$505,$D$6:$D$505,D94,$E$6:$E$505,E94)-SUMIFS($M$6:$M$505,$D$6:$D$505,D94,$E$6:$E$505,E94),0),""))</x:f>
      </x:c>
    </x:row>
    <x:row r="95" ht="28" customHeight="1">
      <x:c r="A95" s="113" t="str">
        <x:f>IF(D95="","",IF(COUNTIFS(Trips!$A$6:$A$105,D95)=1,INDEX(Trips!$C$6:$C$105,MATCH(D95,Trips!$A$6:$A$105,0)),""))</x:f>
      </x:c>
      <x:c r="B95" s="90" t="str">
        <x:f>IF(D95="","",IF(COUNTIFS(Trips!$A$6:$A$105,D95)=1,INDEX(Trips!$B$6:$B$105,MATCH(D95,Trips!$A$6:$A$105,0)),""))</x:f>
      </x:c>
      <x:c r="C95" s="90" t="str">
        <x:f>IF(D95="","",IF(COUNTIFS(Trips!$A$6:$A$105,D95)=1,INDEX(Trips!$D$6:$D$105,MATCH(D95,Trips!$A$6:$A$105,0)),""))</x:f>
      </x:c>
      <x:c r="D95" s="107" t="str">
        <x:f>IF(Trips!B95="","",Trips!A95)</x:f>
      </x:c>
      <x:c r="E95" s="107"/>
      <x:c r="F95" s="90" t="str">
        <x:f>IF(E95="","",IF(COUNTIFS(Counters!$A$6:$A$105,E95)=1,INDEX(Counters!$B$6:$B$105,MATCH(E95,Counters!$A$6:$A$105,0)),""))</x:f>
      </x:c>
      <x:c r="G95" s="107"/>
      <x:c r="H95" s="98" t="str">
        <x:f>IF(C95="","",IF(COUNTIFS('Route List'!$F$6:$F$205,C95)=1,IF(COUNTIFS('Route List'!$F$6:$F$205,C95,'Route List'!$G$6:$G$205,"&lt;&gt;")=1,INDEX('Route List'!$G$6:$G$205,MATCH(C95,'Route List'!$F$6:$F$205,0)),"Enter route fare"),"Enter route fare"))</x:f>
      </x:c>
      <x:c r="I95" s="98" t="str">
        <x:f>IF(F95="","",IF(F95="Own",0,50))</x:f>
      </x:c>
      <x:c r="J95" s="98" t="str">
        <x:f>IF(OR(D95="",E95=""),"",IF(AND(ISNUMBER(G95),ISNUMBER(H95)),ROUND(G95*H95,2),""))</x:f>
      </x:c>
      <x:c r="K95" s="98" t="str">
        <x:f>IF(OR(D95="",E95=""),"",IF(AND(ISNUMBER(G95),ISNUMBER(I95)),ROUND(G95*I95,2),""))</x:f>
      </x:c>
      <x:c r="L95" s="98" t="str">
        <x:f>IF(OR(D95="",E95=""),"",IF(AND(ISNUMBER(J95),ISNUMBER(K95)),J95-K95,""))</x:f>
      </x:c>
      <x:c r="M95" s="114"/>
      <x:c r="N95" s="98" t="str">
        <x:f>IF(OR(D95="",E95=""),"",IF(COUNTIFS($D$6:D95,D95,$E$6:E95,E95)=1,MAX(SUMIFS($L$6:$L$505,$D$6:$D$505,D95,$E$6:$E$505,E95)-SUMIFS($M$6:$M$505,$D$6:$D$505,D95,$E$6:$E$505,E95),0),""))</x:f>
      </x:c>
    </x:row>
    <x:row r="96" ht="28" customHeight="1">
      <x:c r="A96" s="113" t="str">
        <x:f>IF(D96="","",IF(COUNTIFS(Trips!$A$6:$A$105,D96)=1,INDEX(Trips!$C$6:$C$105,MATCH(D96,Trips!$A$6:$A$105,0)),""))</x:f>
      </x:c>
      <x:c r="B96" s="90" t="str">
        <x:f>IF(D96="","",IF(COUNTIFS(Trips!$A$6:$A$105,D96)=1,INDEX(Trips!$B$6:$B$105,MATCH(D96,Trips!$A$6:$A$105,0)),""))</x:f>
      </x:c>
      <x:c r="C96" s="90" t="str">
        <x:f>IF(D96="","",IF(COUNTIFS(Trips!$A$6:$A$105,D96)=1,INDEX(Trips!$D$6:$D$105,MATCH(D96,Trips!$A$6:$A$105,0)),""))</x:f>
      </x:c>
      <x:c r="D96" s="107" t="str">
        <x:f>IF(Trips!B96="","",Trips!A96)</x:f>
      </x:c>
      <x:c r="E96" s="107"/>
      <x:c r="F96" s="90" t="str">
        <x:f>IF(E96="","",IF(COUNTIFS(Counters!$A$6:$A$105,E96)=1,INDEX(Counters!$B$6:$B$105,MATCH(E96,Counters!$A$6:$A$105,0)),""))</x:f>
      </x:c>
      <x:c r="G96" s="107"/>
      <x:c r="H96" s="98" t="str">
        <x:f>IF(C96="","",IF(COUNTIFS('Route List'!$F$6:$F$205,C96)=1,IF(COUNTIFS('Route List'!$F$6:$F$205,C96,'Route List'!$G$6:$G$205,"&lt;&gt;")=1,INDEX('Route List'!$G$6:$G$205,MATCH(C96,'Route List'!$F$6:$F$205,0)),"Enter route fare"),"Enter route fare"))</x:f>
      </x:c>
      <x:c r="I96" s="98" t="str">
        <x:f>IF(F96="","",IF(F96="Own",0,50))</x:f>
      </x:c>
      <x:c r="J96" s="98" t="str">
        <x:f>IF(OR(D96="",E96=""),"",IF(AND(ISNUMBER(G96),ISNUMBER(H96)),ROUND(G96*H96,2),""))</x:f>
      </x:c>
      <x:c r="K96" s="98" t="str">
        <x:f>IF(OR(D96="",E96=""),"",IF(AND(ISNUMBER(G96),ISNUMBER(I96)),ROUND(G96*I96,2),""))</x:f>
      </x:c>
      <x:c r="L96" s="98" t="str">
        <x:f>IF(OR(D96="",E96=""),"",IF(AND(ISNUMBER(J96),ISNUMBER(K96)),J96-K96,""))</x:f>
      </x:c>
      <x:c r="M96" s="114"/>
      <x:c r="N96" s="98" t="str">
        <x:f>IF(OR(D96="",E96=""),"",IF(COUNTIFS($D$6:D96,D96,$E$6:E96,E96)=1,MAX(SUMIFS($L$6:$L$505,$D$6:$D$505,D96,$E$6:$E$505,E96)-SUMIFS($M$6:$M$505,$D$6:$D$505,D96,$E$6:$E$505,E96),0),""))</x:f>
      </x:c>
    </x:row>
    <x:row r="97" ht="28" customHeight="1">
      <x:c r="A97" s="113" t="str">
        <x:f>IF(D97="","",IF(COUNTIFS(Trips!$A$6:$A$105,D97)=1,INDEX(Trips!$C$6:$C$105,MATCH(D97,Trips!$A$6:$A$105,0)),""))</x:f>
      </x:c>
      <x:c r="B97" s="90" t="str">
        <x:f>IF(D97="","",IF(COUNTIFS(Trips!$A$6:$A$105,D97)=1,INDEX(Trips!$B$6:$B$105,MATCH(D97,Trips!$A$6:$A$105,0)),""))</x:f>
      </x:c>
      <x:c r="C97" s="90" t="str">
        <x:f>IF(D97="","",IF(COUNTIFS(Trips!$A$6:$A$105,D97)=1,INDEX(Trips!$D$6:$D$105,MATCH(D97,Trips!$A$6:$A$105,0)),""))</x:f>
      </x:c>
      <x:c r="D97" s="107" t="str">
        <x:f>IF(Trips!B97="","",Trips!A97)</x:f>
      </x:c>
      <x:c r="E97" s="107"/>
      <x:c r="F97" s="90" t="str">
        <x:f>IF(E97="","",IF(COUNTIFS(Counters!$A$6:$A$105,E97)=1,INDEX(Counters!$B$6:$B$105,MATCH(E97,Counters!$A$6:$A$105,0)),""))</x:f>
      </x:c>
      <x:c r="G97" s="107"/>
      <x:c r="H97" s="98" t="str">
        <x:f>IF(C97="","",IF(COUNTIFS('Route List'!$F$6:$F$205,C97)=1,IF(COUNTIFS('Route List'!$F$6:$F$205,C97,'Route List'!$G$6:$G$205,"&lt;&gt;")=1,INDEX('Route List'!$G$6:$G$205,MATCH(C97,'Route List'!$F$6:$F$205,0)),"Enter route fare"),"Enter route fare"))</x:f>
      </x:c>
      <x:c r="I97" s="98" t="str">
        <x:f>IF(F97="","",IF(F97="Own",0,50))</x:f>
      </x:c>
      <x:c r="J97" s="98" t="str">
        <x:f>IF(OR(D97="",E97=""),"",IF(AND(ISNUMBER(G97),ISNUMBER(H97)),ROUND(G97*H97,2),""))</x:f>
      </x:c>
      <x:c r="K97" s="98" t="str">
        <x:f>IF(OR(D97="",E97=""),"",IF(AND(ISNUMBER(G97),ISNUMBER(I97)),ROUND(G97*I97,2),""))</x:f>
      </x:c>
      <x:c r="L97" s="98" t="str">
        <x:f>IF(OR(D97="",E97=""),"",IF(AND(ISNUMBER(J97),ISNUMBER(K97)),J97-K97,""))</x:f>
      </x:c>
      <x:c r="M97" s="114"/>
      <x:c r="N97" s="98" t="str">
        <x:f>IF(OR(D97="",E97=""),"",IF(COUNTIFS($D$6:D97,D97,$E$6:E97,E97)=1,MAX(SUMIFS($L$6:$L$505,$D$6:$D$505,D97,$E$6:$E$505,E97)-SUMIFS($M$6:$M$505,$D$6:$D$505,D97,$E$6:$E$505,E97),0),""))</x:f>
      </x:c>
    </x:row>
    <x:row r="98" ht="28" customHeight="1">
      <x:c r="A98" s="113" t="str">
        <x:f>IF(D98="","",IF(COUNTIFS(Trips!$A$6:$A$105,D98)=1,INDEX(Trips!$C$6:$C$105,MATCH(D98,Trips!$A$6:$A$105,0)),""))</x:f>
      </x:c>
      <x:c r="B98" s="90" t="str">
        <x:f>IF(D98="","",IF(COUNTIFS(Trips!$A$6:$A$105,D98)=1,INDEX(Trips!$B$6:$B$105,MATCH(D98,Trips!$A$6:$A$105,0)),""))</x:f>
      </x:c>
      <x:c r="C98" s="90" t="str">
        <x:f>IF(D98="","",IF(COUNTIFS(Trips!$A$6:$A$105,D98)=1,INDEX(Trips!$D$6:$D$105,MATCH(D98,Trips!$A$6:$A$105,0)),""))</x:f>
      </x:c>
      <x:c r="D98" s="107" t="str">
        <x:f>IF(Trips!B98="","",Trips!A98)</x:f>
      </x:c>
      <x:c r="E98" s="107"/>
      <x:c r="F98" s="90" t="str">
        <x:f>IF(E98="","",IF(COUNTIFS(Counters!$A$6:$A$105,E98)=1,INDEX(Counters!$B$6:$B$105,MATCH(E98,Counters!$A$6:$A$105,0)),""))</x:f>
      </x:c>
      <x:c r="G98" s="107"/>
      <x:c r="H98" s="98" t="str">
        <x:f>IF(C98="","",IF(COUNTIFS('Route List'!$F$6:$F$205,C98)=1,IF(COUNTIFS('Route List'!$F$6:$F$205,C98,'Route List'!$G$6:$G$205,"&lt;&gt;")=1,INDEX('Route List'!$G$6:$G$205,MATCH(C98,'Route List'!$F$6:$F$205,0)),"Enter route fare"),"Enter route fare"))</x:f>
      </x:c>
      <x:c r="I98" s="98" t="str">
        <x:f>IF(F98="","",IF(F98="Own",0,50))</x:f>
      </x:c>
      <x:c r="J98" s="98" t="str">
        <x:f>IF(OR(D98="",E98=""),"",IF(AND(ISNUMBER(G98),ISNUMBER(H98)),ROUND(G98*H98,2),""))</x:f>
      </x:c>
      <x:c r="K98" s="98" t="str">
        <x:f>IF(OR(D98="",E98=""),"",IF(AND(ISNUMBER(G98),ISNUMBER(I98)),ROUND(G98*I98,2),""))</x:f>
      </x:c>
      <x:c r="L98" s="98" t="str">
        <x:f>IF(OR(D98="",E98=""),"",IF(AND(ISNUMBER(J98),ISNUMBER(K98)),J98-K98,""))</x:f>
      </x:c>
      <x:c r="M98" s="114"/>
      <x:c r="N98" s="98" t="str">
        <x:f>IF(OR(D98="",E98=""),"",IF(COUNTIFS($D$6:D98,D98,$E$6:E98,E98)=1,MAX(SUMIFS($L$6:$L$505,$D$6:$D$505,D98,$E$6:$E$505,E98)-SUMIFS($M$6:$M$505,$D$6:$D$505,D98,$E$6:$E$505,E98),0),""))</x:f>
      </x:c>
    </x:row>
    <x:row r="99" ht="28" customHeight="1">
      <x:c r="A99" s="113" t="str">
        <x:f>IF(D99="","",IF(COUNTIFS(Trips!$A$6:$A$105,D99)=1,INDEX(Trips!$C$6:$C$105,MATCH(D99,Trips!$A$6:$A$105,0)),""))</x:f>
      </x:c>
      <x:c r="B99" s="90" t="str">
        <x:f>IF(D99="","",IF(COUNTIFS(Trips!$A$6:$A$105,D99)=1,INDEX(Trips!$B$6:$B$105,MATCH(D99,Trips!$A$6:$A$105,0)),""))</x:f>
      </x:c>
      <x:c r="C99" s="90" t="str">
        <x:f>IF(D99="","",IF(COUNTIFS(Trips!$A$6:$A$105,D99)=1,INDEX(Trips!$D$6:$D$105,MATCH(D99,Trips!$A$6:$A$105,0)),""))</x:f>
      </x:c>
      <x:c r="D99" s="107" t="str">
        <x:f>IF(Trips!B99="","",Trips!A99)</x:f>
      </x:c>
      <x:c r="E99" s="107"/>
      <x:c r="F99" s="90" t="str">
        <x:f>IF(E99="","",IF(COUNTIFS(Counters!$A$6:$A$105,E99)=1,INDEX(Counters!$B$6:$B$105,MATCH(E99,Counters!$A$6:$A$105,0)),""))</x:f>
      </x:c>
      <x:c r="G99" s="107"/>
      <x:c r="H99" s="98" t="str">
        <x:f>IF(C99="","",IF(COUNTIFS('Route List'!$F$6:$F$205,C99)=1,IF(COUNTIFS('Route List'!$F$6:$F$205,C99,'Route List'!$G$6:$G$205,"&lt;&gt;")=1,INDEX('Route List'!$G$6:$G$205,MATCH(C99,'Route List'!$F$6:$F$205,0)),"Enter route fare"),"Enter route fare"))</x:f>
      </x:c>
      <x:c r="I99" s="98" t="str">
        <x:f>IF(F99="","",IF(F99="Own",0,50))</x:f>
      </x:c>
      <x:c r="J99" s="98" t="str">
        <x:f>IF(OR(D99="",E99=""),"",IF(AND(ISNUMBER(G99),ISNUMBER(H99)),ROUND(G99*H99,2),""))</x:f>
      </x:c>
      <x:c r="K99" s="98" t="str">
        <x:f>IF(OR(D99="",E99=""),"",IF(AND(ISNUMBER(G99),ISNUMBER(I99)),ROUND(G99*I99,2),""))</x:f>
      </x:c>
      <x:c r="L99" s="98" t="str">
        <x:f>IF(OR(D99="",E99=""),"",IF(AND(ISNUMBER(J99),ISNUMBER(K99)),J99-K99,""))</x:f>
      </x:c>
      <x:c r="M99" s="114"/>
      <x:c r="N99" s="98" t="str">
        <x:f>IF(OR(D99="",E99=""),"",IF(COUNTIFS($D$6:D99,D99,$E$6:E99,E99)=1,MAX(SUMIFS($L$6:$L$505,$D$6:$D$505,D99,$E$6:$E$505,E99)-SUMIFS($M$6:$M$505,$D$6:$D$505,D99,$E$6:$E$505,E99),0),""))</x:f>
      </x:c>
    </x:row>
    <x:row r="100" ht="28" customHeight="1">
      <x:c r="A100" s="113" t="str">
        <x:f>IF(D100="","",IF(COUNTIFS(Trips!$A$6:$A$105,D100)=1,INDEX(Trips!$C$6:$C$105,MATCH(D100,Trips!$A$6:$A$105,0)),""))</x:f>
      </x:c>
      <x:c r="B100" s="90" t="str">
        <x:f>IF(D100="","",IF(COUNTIFS(Trips!$A$6:$A$105,D100)=1,INDEX(Trips!$B$6:$B$105,MATCH(D100,Trips!$A$6:$A$105,0)),""))</x:f>
      </x:c>
      <x:c r="C100" s="90" t="str">
        <x:f>IF(D100="","",IF(COUNTIFS(Trips!$A$6:$A$105,D100)=1,INDEX(Trips!$D$6:$D$105,MATCH(D100,Trips!$A$6:$A$105,0)),""))</x:f>
      </x:c>
      <x:c r="D100" s="107" t="str">
        <x:f>IF(Trips!B100="","",Trips!A100)</x:f>
      </x:c>
      <x:c r="E100" s="107"/>
      <x:c r="F100" s="90" t="str">
        <x:f>IF(E100="","",IF(COUNTIFS(Counters!$A$6:$A$105,E100)=1,INDEX(Counters!$B$6:$B$105,MATCH(E100,Counters!$A$6:$A$105,0)),""))</x:f>
      </x:c>
      <x:c r="G100" s="107"/>
      <x:c r="H100" s="98" t="str">
        <x:f>IF(C100="","",IF(COUNTIFS('Route List'!$F$6:$F$205,C100)=1,IF(COUNTIFS('Route List'!$F$6:$F$205,C100,'Route List'!$G$6:$G$205,"&lt;&gt;")=1,INDEX('Route List'!$G$6:$G$205,MATCH(C100,'Route List'!$F$6:$F$205,0)),"Enter route fare"),"Enter route fare"))</x:f>
      </x:c>
      <x:c r="I100" s="98" t="str">
        <x:f>IF(F100="","",IF(F100="Own",0,50))</x:f>
      </x:c>
      <x:c r="J100" s="98" t="str">
        <x:f>IF(OR(D100="",E100=""),"",IF(AND(ISNUMBER(G100),ISNUMBER(H100)),ROUND(G100*H100,2),""))</x:f>
      </x:c>
      <x:c r="K100" s="98" t="str">
        <x:f>IF(OR(D100="",E100=""),"",IF(AND(ISNUMBER(G100),ISNUMBER(I100)),ROUND(G100*I100,2),""))</x:f>
      </x:c>
      <x:c r="L100" s="98" t="str">
        <x:f>IF(OR(D100="",E100=""),"",IF(AND(ISNUMBER(J100),ISNUMBER(K100)),J100-K100,""))</x:f>
      </x:c>
      <x:c r="M100" s="114"/>
      <x:c r="N100" s="98" t="str">
        <x:f>IF(OR(D100="",E100=""),"",IF(COUNTIFS($D$6:D100,D100,$E$6:E100,E100)=1,MAX(SUMIFS($L$6:$L$505,$D$6:$D$505,D100,$E$6:$E$505,E100)-SUMIFS($M$6:$M$505,$D$6:$D$505,D100,$E$6:$E$505,E100),0),""))</x:f>
      </x:c>
    </x:row>
    <x:row r="101" ht="28" customHeight="1">
      <x:c r="A101" s="113" t="str">
        <x:f>IF(D101="","",IF(COUNTIFS(Trips!$A$6:$A$105,D101)=1,INDEX(Trips!$C$6:$C$105,MATCH(D101,Trips!$A$6:$A$105,0)),""))</x:f>
      </x:c>
      <x:c r="B101" s="90" t="str">
        <x:f>IF(D101="","",IF(COUNTIFS(Trips!$A$6:$A$105,D101)=1,INDEX(Trips!$B$6:$B$105,MATCH(D101,Trips!$A$6:$A$105,0)),""))</x:f>
      </x:c>
      <x:c r="C101" s="90" t="str">
        <x:f>IF(D101="","",IF(COUNTIFS(Trips!$A$6:$A$105,D101)=1,INDEX(Trips!$D$6:$D$105,MATCH(D101,Trips!$A$6:$A$105,0)),""))</x:f>
      </x:c>
      <x:c r="D101" s="107" t="str">
        <x:f>IF(Trips!B101="","",Trips!A101)</x:f>
      </x:c>
      <x:c r="E101" s="107"/>
      <x:c r="F101" s="90" t="str">
        <x:f>IF(E101="","",IF(COUNTIFS(Counters!$A$6:$A$105,E101)=1,INDEX(Counters!$B$6:$B$105,MATCH(E101,Counters!$A$6:$A$105,0)),""))</x:f>
      </x:c>
      <x:c r="G101" s="107"/>
      <x:c r="H101" s="98" t="str">
        <x:f>IF(C101="","",IF(COUNTIFS('Route List'!$F$6:$F$205,C101)=1,IF(COUNTIFS('Route List'!$F$6:$F$205,C101,'Route List'!$G$6:$G$205,"&lt;&gt;")=1,INDEX('Route List'!$G$6:$G$205,MATCH(C101,'Route List'!$F$6:$F$205,0)),"Enter route fare"),"Enter route fare"))</x:f>
      </x:c>
      <x:c r="I101" s="98" t="str">
        <x:f>IF(F101="","",IF(F101="Own",0,50))</x:f>
      </x:c>
      <x:c r="J101" s="98" t="str">
        <x:f>IF(OR(D101="",E101=""),"",IF(AND(ISNUMBER(G101),ISNUMBER(H101)),ROUND(G101*H101,2),""))</x:f>
      </x:c>
      <x:c r="K101" s="98" t="str">
        <x:f>IF(OR(D101="",E101=""),"",IF(AND(ISNUMBER(G101),ISNUMBER(I101)),ROUND(G101*I101,2),""))</x:f>
      </x:c>
      <x:c r="L101" s="98" t="str">
        <x:f>IF(OR(D101="",E101=""),"",IF(AND(ISNUMBER(J101),ISNUMBER(K101)),J101-K101,""))</x:f>
      </x:c>
      <x:c r="M101" s="114"/>
      <x:c r="N101" s="98" t="str">
        <x:f>IF(OR(D101="",E101=""),"",IF(COUNTIFS($D$6:D101,D101,$E$6:E101,E101)=1,MAX(SUMIFS($L$6:$L$505,$D$6:$D$505,D101,$E$6:$E$505,E101)-SUMIFS($M$6:$M$505,$D$6:$D$505,D101,$E$6:$E$505,E101),0),""))</x:f>
      </x:c>
    </x:row>
    <x:row r="102" ht="28" customHeight="1">
      <x:c r="A102" s="113" t="str">
        <x:f>IF(D102="","",IF(COUNTIFS(Trips!$A$6:$A$105,D102)=1,INDEX(Trips!$C$6:$C$105,MATCH(D102,Trips!$A$6:$A$105,0)),""))</x:f>
      </x:c>
      <x:c r="B102" s="90" t="str">
        <x:f>IF(D102="","",IF(COUNTIFS(Trips!$A$6:$A$105,D102)=1,INDEX(Trips!$B$6:$B$105,MATCH(D102,Trips!$A$6:$A$105,0)),""))</x:f>
      </x:c>
      <x:c r="C102" s="90" t="str">
        <x:f>IF(D102="","",IF(COUNTIFS(Trips!$A$6:$A$105,D102)=1,INDEX(Trips!$D$6:$D$105,MATCH(D102,Trips!$A$6:$A$105,0)),""))</x:f>
      </x:c>
      <x:c r="D102" s="107" t="str">
        <x:f>IF(Trips!B102="","",Trips!A102)</x:f>
      </x:c>
      <x:c r="E102" s="107"/>
      <x:c r="F102" s="90" t="str">
        <x:f>IF(E102="","",IF(COUNTIFS(Counters!$A$6:$A$105,E102)=1,INDEX(Counters!$B$6:$B$105,MATCH(E102,Counters!$A$6:$A$105,0)),""))</x:f>
      </x:c>
      <x:c r="G102" s="107"/>
      <x:c r="H102" s="98" t="str">
        <x:f>IF(C102="","",IF(COUNTIFS('Route List'!$F$6:$F$205,C102)=1,IF(COUNTIFS('Route List'!$F$6:$F$205,C102,'Route List'!$G$6:$G$205,"&lt;&gt;")=1,INDEX('Route List'!$G$6:$G$205,MATCH(C102,'Route List'!$F$6:$F$205,0)),"Enter route fare"),"Enter route fare"))</x:f>
      </x:c>
      <x:c r="I102" s="98" t="str">
        <x:f>IF(F102="","",IF(F102="Own",0,50))</x:f>
      </x:c>
      <x:c r="J102" s="98" t="str">
        <x:f>IF(OR(D102="",E102=""),"",IF(AND(ISNUMBER(G102),ISNUMBER(H102)),ROUND(G102*H102,2),""))</x:f>
      </x:c>
      <x:c r="K102" s="98" t="str">
        <x:f>IF(OR(D102="",E102=""),"",IF(AND(ISNUMBER(G102),ISNUMBER(I102)),ROUND(G102*I102,2),""))</x:f>
      </x:c>
      <x:c r="L102" s="98" t="str">
        <x:f>IF(OR(D102="",E102=""),"",IF(AND(ISNUMBER(J102),ISNUMBER(K102)),J102-K102,""))</x:f>
      </x:c>
      <x:c r="M102" s="114"/>
      <x:c r="N102" s="98" t="str">
        <x:f>IF(OR(D102="",E102=""),"",IF(COUNTIFS($D$6:D102,D102,$E$6:E102,E102)=1,MAX(SUMIFS($L$6:$L$505,$D$6:$D$505,D102,$E$6:$E$505,E102)-SUMIFS($M$6:$M$505,$D$6:$D$505,D102,$E$6:$E$505,E102),0),""))</x:f>
      </x:c>
    </x:row>
    <x:row r="103" ht="28" customHeight="1">
      <x:c r="A103" s="113" t="str">
        <x:f>IF(D103="","",IF(COUNTIFS(Trips!$A$6:$A$105,D103)=1,INDEX(Trips!$C$6:$C$105,MATCH(D103,Trips!$A$6:$A$105,0)),""))</x:f>
      </x:c>
      <x:c r="B103" s="90" t="str">
        <x:f>IF(D103="","",IF(COUNTIFS(Trips!$A$6:$A$105,D103)=1,INDEX(Trips!$B$6:$B$105,MATCH(D103,Trips!$A$6:$A$105,0)),""))</x:f>
      </x:c>
      <x:c r="C103" s="90" t="str">
        <x:f>IF(D103="","",IF(COUNTIFS(Trips!$A$6:$A$105,D103)=1,INDEX(Trips!$D$6:$D$105,MATCH(D103,Trips!$A$6:$A$105,0)),""))</x:f>
      </x:c>
      <x:c r="D103" s="107" t="str">
        <x:f>IF(Trips!B103="","",Trips!A103)</x:f>
      </x:c>
      <x:c r="E103" s="107"/>
      <x:c r="F103" s="90" t="str">
        <x:f>IF(E103="","",IF(COUNTIFS(Counters!$A$6:$A$105,E103)=1,INDEX(Counters!$B$6:$B$105,MATCH(E103,Counters!$A$6:$A$105,0)),""))</x:f>
      </x:c>
      <x:c r="G103" s="107"/>
      <x:c r="H103" s="98" t="str">
        <x:f>IF(C103="","",IF(COUNTIFS('Route List'!$F$6:$F$205,C103)=1,IF(COUNTIFS('Route List'!$F$6:$F$205,C103,'Route List'!$G$6:$G$205,"&lt;&gt;")=1,INDEX('Route List'!$G$6:$G$205,MATCH(C103,'Route List'!$F$6:$F$205,0)),"Enter route fare"),"Enter route fare"))</x:f>
      </x:c>
      <x:c r="I103" s="98" t="str">
        <x:f>IF(F103="","",IF(F103="Own",0,50))</x:f>
      </x:c>
      <x:c r="J103" s="98" t="str">
        <x:f>IF(OR(D103="",E103=""),"",IF(AND(ISNUMBER(G103),ISNUMBER(H103)),ROUND(G103*H103,2),""))</x:f>
      </x:c>
      <x:c r="K103" s="98" t="str">
        <x:f>IF(OR(D103="",E103=""),"",IF(AND(ISNUMBER(G103),ISNUMBER(I103)),ROUND(G103*I103,2),""))</x:f>
      </x:c>
      <x:c r="L103" s="98" t="str">
        <x:f>IF(OR(D103="",E103=""),"",IF(AND(ISNUMBER(J103),ISNUMBER(K103)),J103-K103,""))</x:f>
      </x:c>
      <x:c r="M103" s="114"/>
      <x:c r="N103" s="98" t="str">
        <x:f>IF(OR(D103="",E103=""),"",IF(COUNTIFS($D$6:D103,D103,$E$6:E103,E103)=1,MAX(SUMIFS($L$6:$L$505,$D$6:$D$505,D103,$E$6:$E$505,E103)-SUMIFS($M$6:$M$505,$D$6:$D$505,D103,$E$6:$E$505,E103),0),""))</x:f>
      </x:c>
    </x:row>
    <x:row r="104" ht="28" customHeight="1">
      <x:c r="A104" s="113" t="str">
        <x:f>IF(D104="","",IF(COUNTIFS(Trips!$A$6:$A$105,D104)=1,INDEX(Trips!$C$6:$C$105,MATCH(D104,Trips!$A$6:$A$105,0)),""))</x:f>
      </x:c>
      <x:c r="B104" s="90" t="str">
        <x:f>IF(D104="","",IF(COUNTIFS(Trips!$A$6:$A$105,D104)=1,INDEX(Trips!$B$6:$B$105,MATCH(D104,Trips!$A$6:$A$105,0)),""))</x:f>
      </x:c>
      <x:c r="C104" s="90" t="str">
        <x:f>IF(D104="","",IF(COUNTIFS(Trips!$A$6:$A$105,D104)=1,INDEX(Trips!$D$6:$D$105,MATCH(D104,Trips!$A$6:$A$105,0)),""))</x:f>
      </x:c>
      <x:c r="D104" s="107" t="str">
        <x:f>IF(Trips!B104="","",Trips!A104)</x:f>
      </x:c>
      <x:c r="E104" s="107"/>
      <x:c r="F104" s="90" t="str">
        <x:f>IF(E104="","",IF(COUNTIFS(Counters!$A$6:$A$105,E104)=1,INDEX(Counters!$B$6:$B$105,MATCH(E104,Counters!$A$6:$A$105,0)),""))</x:f>
      </x:c>
      <x:c r="G104" s="107"/>
      <x:c r="H104" s="98" t="str">
        <x:f>IF(C104="","",IF(COUNTIFS('Route List'!$F$6:$F$205,C104)=1,IF(COUNTIFS('Route List'!$F$6:$F$205,C104,'Route List'!$G$6:$G$205,"&lt;&gt;")=1,INDEX('Route List'!$G$6:$G$205,MATCH(C104,'Route List'!$F$6:$F$205,0)),"Enter route fare"),"Enter route fare"))</x:f>
      </x:c>
      <x:c r="I104" s="98" t="str">
        <x:f>IF(F104="","",IF(F104="Own",0,50))</x:f>
      </x:c>
      <x:c r="J104" s="98" t="str">
        <x:f>IF(OR(D104="",E104=""),"",IF(AND(ISNUMBER(G104),ISNUMBER(H104)),ROUND(G104*H104,2),""))</x:f>
      </x:c>
      <x:c r="K104" s="98" t="str">
        <x:f>IF(OR(D104="",E104=""),"",IF(AND(ISNUMBER(G104),ISNUMBER(I104)),ROUND(G104*I104,2),""))</x:f>
      </x:c>
      <x:c r="L104" s="98" t="str">
        <x:f>IF(OR(D104="",E104=""),"",IF(AND(ISNUMBER(J104),ISNUMBER(K104)),J104-K104,""))</x:f>
      </x:c>
      <x:c r="M104" s="114"/>
      <x:c r="N104" s="98" t="str">
        <x:f>IF(OR(D104="",E104=""),"",IF(COUNTIFS($D$6:D104,D104,$E$6:E104,E104)=1,MAX(SUMIFS($L$6:$L$505,$D$6:$D$505,D104,$E$6:$E$505,E104)-SUMIFS($M$6:$M$505,$D$6:$D$505,D104,$E$6:$E$505,E104),0),""))</x:f>
      </x:c>
    </x:row>
    <x:row r="105" ht="28" customHeight="1">
      <x:c r="A105" s="113" t="str">
        <x:f>IF(D105="","",IF(COUNTIFS(Trips!$A$6:$A$105,D105)=1,INDEX(Trips!$C$6:$C$105,MATCH(D105,Trips!$A$6:$A$105,0)),""))</x:f>
      </x:c>
      <x:c r="B105" s="90" t="str">
        <x:f>IF(D105="","",IF(COUNTIFS(Trips!$A$6:$A$105,D105)=1,INDEX(Trips!$B$6:$B$105,MATCH(D105,Trips!$A$6:$A$105,0)),""))</x:f>
      </x:c>
      <x:c r="C105" s="90" t="str">
        <x:f>IF(D105="","",IF(COUNTIFS(Trips!$A$6:$A$105,D105)=1,INDEX(Trips!$D$6:$D$105,MATCH(D105,Trips!$A$6:$A$105,0)),""))</x:f>
      </x:c>
      <x:c r="D105" s="107" t="str">
        <x:f>IF(Trips!B105="","",Trips!A105)</x:f>
      </x:c>
      <x:c r="E105" s="107"/>
      <x:c r="F105" s="90" t="str">
        <x:f>IF(E105="","",IF(COUNTIFS(Counters!$A$6:$A$105,E105)=1,INDEX(Counters!$B$6:$B$105,MATCH(E105,Counters!$A$6:$A$105,0)),""))</x:f>
      </x:c>
      <x:c r="G105" s="107"/>
      <x:c r="H105" s="98" t="str">
        <x:f>IF(C105="","",IF(COUNTIFS('Route List'!$F$6:$F$205,C105)=1,IF(COUNTIFS('Route List'!$F$6:$F$205,C105,'Route List'!$G$6:$G$205,"&lt;&gt;")=1,INDEX('Route List'!$G$6:$G$205,MATCH(C105,'Route List'!$F$6:$F$205,0)),"Enter route fare"),"Enter route fare"))</x:f>
      </x:c>
      <x:c r="I105" s="98" t="str">
        <x:f>IF(F105="","",IF(F105="Own",0,50))</x:f>
      </x:c>
      <x:c r="J105" s="98" t="str">
        <x:f>IF(OR(D105="",E105=""),"",IF(AND(ISNUMBER(G105),ISNUMBER(H105)),ROUND(G105*H105,2),""))</x:f>
      </x:c>
      <x:c r="K105" s="98" t="str">
        <x:f>IF(OR(D105="",E105=""),"",IF(AND(ISNUMBER(G105),ISNUMBER(I105)),ROUND(G105*I105,2),""))</x:f>
      </x:c>
      <x:c r="L105" s="98" t="str">
        <x:f>IF(OR(D105="",E105=""),"",IF(AND(ISNUMBER(J105),ISNUMBER(K105)),J105-K105,""))</x:f>
      </x:c>
      <x:c r="M105" s="114"/>
      <x:c r="N105" s="98" t="str">
        <x:f>IF(OR(D105="",E105=""),"",IF(COUNTIFS($D$6:D105,D105,$E$6:E105,E105)=1,MAX(SUMIFS($L$6:$L$505,$D$6:$D$505,D105,$E$6:$E$505,E105)-SUMIFS($M$6:$M$505,$D$6:$D$505,D105,$E$6:$E$505,E105),0),""))</x:f>
      </x:c>
    </x:row>
    <x:row r="106" ht="28" customHeight="1">
      <x:c r="A106" s="113" t="str">
        <x:f>IF(D106="","",IF(COUNTIFS(Trips!$A$6:$A$105,D106)=1,INDEX(Trips!$C$6:$C$105,MATCH(D106,Trips!$A$6:$A$105,0)),""))</x:f>
      </x:c>
      <x:c r="B106" s="90" t="str">
        <x:f>IF(D106="","",IF(COUNTIFS(Trips!$A$6:$A$105,D106)=1,INDEX(Trips!$B$6:$B$105,MATCH(D106,Trips!$A$6:$A$105,0)),""))</x:f>
      </x:c>
      <x:c r="C106" s="90" t="str">
        <x:f>IF(D106="","",IF(COUNTIFS(Trips!$A$6:$A$105,D106)=1,INDEX(Trips!$D$6:$D$105,MATCH(D106,Trips!$A$6:$A$105,0)),""))</x:f>
      </x:c>
      <x:c r="D106" s="107"/>
      <x:c r="E106" s="107"/>
      <x:c r="F106" s="90" t="str">
        <x:f>IF(E106="","",IF(COUNTIFS(Counters!$A$6:$A$105,E106)=1,INDEX(Counters!$B$6:$B$105,MATCH(E106,Counters!$A$6:$A$105,0)),""))</x:f>
      </x:c>
      <x:c r="G106" s="107"/>
      <x:c r="H106" s="98" t="str">
        <x:f>IF(C106="","",IF(COUNTIFS('Route List'!$F$6:$F$205,C106)=1,IF(COUNTIFS('Route List'!$F$6:$F$205,C106,'Route List'!$G$6:$G$205,"&lt;&gt;")=1,INDEX('Route List'!$G$6:$G$205,MATCH(C106,'Route List'!$F$6:$F$205,0)),"Enter route fare"),"Enter route fare"))</x:f>
      </x:c>
      <x:c r="I106" s="98" t="str">
        <x:f>IF(F106="","",IF(F106="Own",0,50))</x:f>
      </x:c>
      <x:c r="J106" s="98" t="str">
        <x:f>IF(OR(D106="",E106=""),"",IF(AND(ISNUMBER(G106),ISNUMBER(H106)),ROUND(G106*H106,2),""))</x:f>
      </x:c>
      <x:c r="K106" s="98" t="str">
        <x:f>IF(OR(D106="",E106=""),"",IF(AND(ISNUMBER(G106),ISNUMBER(I106)),ROUND(G106*I106,2),""))</x:f>
      </x:c>
      <x:c r="L106" s="98" t="str">
        <x:f>IF(OR(D106="",E106=""),"",IF(AND(ISNUMBER(J106),ISNUMBER(K106)),J106-K106,""))</x:f>
      </x:c>
      <x:c r="M106" s="114"/>
      <x:c r="N106" s="98" t="str">
        <x:f>IF(OR(D106="",E106=""),"",IF(COUNTIFS($D$6:D106,D106,$E$6:E106,E106)=1,MAX(SUMIFS($L$6:$L$505,$D$6:$D$505,D106,$E$6:$E$505,E106)-SUMIFS($M$6:$M$505,$D$6:$D$505,D106,$E$6:$E$505,E106),0),""))</x:f>
      </x:c>
    </x:row>
    <x:row r="107" ht="28" customHeight="1">
      <x:c r="A107" s="113" t="str">
        <x:f>IF(D107="","",IF(COUNTIFS(Trips!$A$6:$A$105,D107)=1,INDEX(Trips!$C$6:$C$105,MATCH(D107,Trips!$A$6:$A$105,0)),""))</x:f>
      </x:c>
      <x:c r="B107" s="90" t="str">
        <x:f>IF(D107="","",IF(COUNTIFS(Trips!$A$6:$A$105,D107)=1,INDEX(Trips!$B$6:$B$105,MATCH(D107,Trips!$A$6:$A$105,0)),""))</x:f>
      </x:c>
      <x:c r="C107" s="90" t="str">
        <x:f>IF(D107="","",IF(COUNTIFS(Trips!$A$6:$A$105,D107)=1,INDEX(Trips!$D$6:$D$105,MATCH(D107,Trips!$A$6:$A$105,0)),""))</x:f>
      </x:c>
      <x:c r="D107" s="107"/>
      <x:c r="E107" s="107"/>
      <x:c r="F107" s="90" t="str">
        <x:f>IF(E107="","",IF(COUNTIFS(Counters!$A$6:$A$105,E107)=1,INDEX(Counters!$B$6:$B$105,MATCH(E107,Counters!$A$6:$A$105,0)),""))</x:f>
      </x:c>
      <x:c r="G107" s="107"/>
      <x:c r="H107" s="98" t="str">
        <x:f>IF(C107="","",IF(COUNTIFS('Route List'!$F$6:$F$205,C107)=1,IF(COUNTIFS('Route List'!$F$6:$F$205,C107,'Route List'!$G$6:$G$205,"&lt;&gt;")=1,INDEX('Route List'!$G$6:$G$205,MATCH(C107,'Route List'!$F$6:$F$205,0)),"Enter route fare"),"Enter route fare"))</x:f>
      </x:c>
      <x:c r="I107" s="98" t="str">
        <x:f>IF(F107="","",IF(F107="Own",0,50))</x:f>
      </x:c>
      <x:c r="J107" s="98" t="str">
        <x:f>IF(OR(D107="",E107=""),"",IF(AND(ISNUMBER(G107),ISNUMBER(H107)),ROUND(G107*H107,2),""))</x:f>
      </x:c>
      <x:c r="K107" s="98" t="str">
        <x:f>IF(OR(D107="",E107=""),"",IF(AND(ISNUMBER(G107),ISNUMBER(I107)),ROUND(G107*I107,2),""))</x:f>
      </x:c>
      <x:c r="L107" s="98" t="str">
        <x:f>IF(OR(D107="",E107=""),"",IF(AND(ISNUMBER(J107),ISNUMBER(K107)),J107-K107,""))</x:f>
      </x:c>
      <x:c r="M107" s="114"/>
      <x:c r="N107" s="98" t="str">
        <x:f>IF(OR(D107="",E107=""),"",IF(COUNTIFS($D$6:D107,D107,$E$6:E107,E107)=1,MAX(SUMIFS($L$6:$L$505,$D$6:$D$505,D107,$E$6:$E$505,E107)-SUMIFS($M$6:$M$505,$D$6:$D$505,D107,$E$6:$E$505,E107),0),""))</x:f>
      </x:c>
    </x:row>
    <x:row r="108" ht="28" customHeight="1">
      <x:c r="A108" s="113" t="str">
        <x:f>IF(D108="","",IF(COUNTIFS(Trips!$A$6:$A$105,D108)=1,INDEX(Trips!$C$6:$C$105,MATCH(D108,Trips!$A$6:$A$105,0)),""))</x:f>
      </x:c>
      <x:c r="B108" s="90" t="str">
        <x:f>IF(D108="","",IF(COUNTIFS(Trips!$A$6:$A$105,D108)=1,INDEX(Trips!$B$6:$B$105,MATCH(D108,Trips!$A$6:$A$105,0)),""))</x:f>
      </x:c>
      <x:c r="C108" s="90" t="str">
        <x:f>IF(D108="","",IF(COUNTIFS(Trips!$A$6:$A$105,D108)=1,INDEX(Trips!$D$6:$D$105,MATCH(D108,Trips!$A$6:$A$105,0)),""))</x:f>
      </x:c>
      <x:c r="D108" s="107"/>
      <x:c r="E108" s="107"/>
      <x:c r="F108" s="90" t="str">
        <x:f>IF(E108="","",IF(COUNTIFS(Counters!$A$6:$A$105,E108)=1,INDEX(Counters!$B$6:$B$105,MATCH(E108,Counters!$A$6:$A$105,0)),""))</x:f>
      </x:c>
      <x:c r="G108" s="107"/>
      <x:c r="H108" s="98" t="str">
        <x:f>IF(C108="","",IF(COUNTIFS('Route List'!$F$6:$F$205,C108)=1,IF(COUNTIFS('Route List'!$F$6:$F$205,C108,'Route List'!$G$6:$G$205,"&lt;&gt;")=1,INDEX('Route List'!$G$6:$G$205,MATCH(C108,'Route List'!$F$6:$F$205,0)),"Enter route fare"),"Enter route fare"))</x:f>
      </x:c>
      <x:c r="I108" s="98" t="str">
        <x:f>IF(F108="","",IF(F108="Own",0,50))</x:f>
      </x:c>
      <x:c r="J108" s="98" t="str">
        <x:f>IF(OR(D108="",E108=""),"",IF(AND(ISNUMBER(G108),ISNUMBER(H108)),ROUND(G108*H108,2),""))</x:f>
      </x:c>
      <x:c r="K108" s="98" t="str">
        <x:f>IF(OR(D108="",E108=""),"",IF(AND(ISNUMBER(G108),ISNUMBER(I108)),ROUND(G108*I108,2),""))</x:f>
      </x:c>
      <x:c r="L108" s="98" t="str">
        <x:f>IF(OR(D108="",E108=""),"",IF(AND(ISNUMBER(J108),ISNUMBER(K108)),J108-K108,""))</x:f>
      </x:c>
      <x:c r="M108" s="114"/>
      <x:c r="N108" s="98" t="str">
        <x:f>IF(OR(D108="",E108=""),"",IF(COUNTIFS($D$6:D108,D108,$E$6:E108,E108)=1,MAX(SUMIFS($L$6:$L$505,$D$6:$D$505,D108,$E$6:$E$505,E108)-SUMIFS($M$6:$M$505,$D$6:$D$505,D108,$E$6:$E$505,E108),0),""))</x:f>
      </x:c>
    </x:row>
    <x:row r="109" ht="28" customHeight="1">
      <x:c r="A109" s="113" t="str">
        <x:f>IF(D109="","",IF(COUNTIFS(Trips!$A$6:$A$105,D109)=1,INDEX(Trips!$C$6:$C$105,MATCH(D109,Trips!$A$6:$A$105,0)),""))</x:f>
      </x:c>
      <x:c r="B109" s="90" t="str">
        <x:f>IF(D109="","",IF(COUNTIFS(Trips!$A$6:$A$105,D109)=1,INDEX(Trips!$B$6:$B$105,MATCH(D109,Trips!$A$6:$A$105,0)),""))</x:f>
      </x:c>
      <x:c r="C109" s="90" t="str">
        <x:f>IF(D109="","",IF(COUNTIFS(Trips!$A$6:$A$105,D109)=1,INDEX(Trips!$D$6:$D$105,MATCH(D109,Trips!$A$6:$A$105,0)),""))</x:f>
      </x:c>
      <x:c r="D109" s="107"/>
      <x:c r="E109" s="107"/>
      <x:c r="F109" s="90" t="str">
        <x:f>IF(E109="","",IF(COUNTIFS(Counters!$A$6:$A$105,E109)=1,INDEX(Counters!$B$6:$B$105,MATCH(E109,Counters!$A$6:$A$105,0)),""))</x:f>
      </x:c>
      <x:c r="G109" s="107"/>
      <x:c r="H109" s="98" t="str">
        <x:f>IF(C109="","",IF(COUNTIFS('Route List'!$F$6:$F$205,C109)=1,IF(COUNTIFS('Route List'!$F$6:$F$205,C109,'Route List'!$G$6:$G$205,"&lt;&gt;")=1,INDEX('Route List'!$G$6:$G$205,MATCH(C109,'Route List'!$F$6:$F$205,0)),"Enter route fare"),"Enter route fare"))</x:f>
      </x:c>
      <x:c r="I109" s="98" t="str">
        <x:f>IF(F109="","",IF(F109="Own",0,50))</x:f>
      </x:c>
      <x:c r="J109" s="98" t="str">
        <x:f>IF(OR(D109="",E109=""),"",IF(AND(ISNUMBER(G109),ISNUMBER(H109)),ROUND(G109*H109,2),""))</x:f>
      </x:c>
      <x:c r="K109" s="98" t="str">
        <x:f>IF(OR(D109="",E109=""),"",IF(AND(ISNUMBER(G109),ISNUMBER(I109)),ROUND(G109*I109,2),""))</x:f>
      </x:c>
      <x:c r="L109" s="98" t="str">
        <x:f>IF(OR(D109="",E109=""),"",IF(AND(ISNUMBER(J109),ISNUMBER(K109)),J109-K109,""))</x:f>
      </x:c>
      <x:c r="M109" s="114"/>
      <x:c r="N109" s="98" t="str">
        <x:f>IF(OR(D109="",E109=""),"",IF(COUNTIFS($D$6:D109,D109,$E$6:E109,E109)=1,MAX(SUMIFS($L$6:$L$505,$D$6:$D$505,D109,$E$6:$E$505,E109)-SUMIFS($M$6:$M$505,$D$6:$D$505,D109,$E$6:$E$505,E109),0),""))</x:f>
      </x:c>
    </x:row>
    <x:row r="110" ht="28" customHeight="1">
      <x:c r="A110" s="113" t="str">
        <x:f>IF(D110="","",IF(COUNTIFS(Trips!$A$6:$A$105,D110)=1,INDEX(Trips!$C$6:$C$105,MATCH(D110,Trips!$A$6:$A$105,0)),""))</x:f>
      </x:c>
      <x:c r="B110" s="90" t="str">
        <x:f>IF(D110="","",IF(COUNTIFS(Trips!$A$6:$A$105,D110)=1,INDEX(Trips!$B$6:$B$105,MATCH(D110,Trips!$A$6:$A$105,0)),""))</x:f>
      </x:c>
      <x:c r="C110" s="90" t="str">
        <x:f>IF(D110="","",IF(COUNTIFS(Trips!$A$6:$A$105,D110)=1,INDEX(Trips!$D$6:$D$105,MATCH(D110,Trips!$A$6:$A$105,0)),""))</x:f>
      </x:c>
      <x:c r="D110" s="107"/>
      <x:c r="E110" s="107"/>
      <x:c r="F110" s="90" t="str">
        <x:f>IF(E110="","",IF(COUNTIFS(Counters!$A$6:$A$105,E110)=1,INDEX(Counters!$B$6:$B$105,MATCH(E110,Counters!$A$6:$A$105,0)),""))</x:f>
      </x:c>
      <x:c r="G110" s="107"/>
      <x:c r="H110" s="98" t="str">
        <x:f>IF(C110="","",IF(COUNTIFS('Route List'!$F$6:$F$205,C110)=1,IF(COUNTIFS('Route List'!$F$6:$F$205,C110,'Route List'!$G$6:$G$205,"&lt;&gt;")=1,INDEX('Route List'!$G$6:$G$205,MATCH(C110,'Route List'!$F$6:$F$205,0)),"Enter route fare"),"Enter route fare"))</x:f>
      </x:c>
      <x:c r="I110" s="98" t="str">
        <x:f>IF(F110="","",IF(F110="Own",0,50))</x:f>
      </x:c>
      <x:c r="J110" s="98" t="str">
        <x:f>IF(OR(D110="",E110=""),"",IF(AND(ISNUMBER(G110),ISNUMBER(H110)),ROUND(G110*H110,2),""))</x:f>
      </x:c>
      <x:c r="K110" s="98" t="str">
        <x:f>IF(OR(D110="",E110=""),"",IF(AND(ISNUMBER(G110),ISNUMBER(I110)),ROUND(G110*I110,2),""))</x:f>
      </x:c>
      <x:c r="L110" s="98" t="str">
        <x:f>IF(OR(D110="",E110=""),"",IF(AND(ISNUMBER(J110),ISNUMBER(K110)),J110-K110,""))</x:f>
      </x:c>
      <x:c r="M110" s="114"/>
      <x:c r="N110" s="98" t="str">
        <x:f>IF(OR(D110="",E110=""),"",IF(COUNTIFS($D$6:D110,D110,$E$6:E110,E110)=1,MAX(SUMIFS($L$6:$L$505,$D$6:$D$505,D110,$E$6:$E$505,E110)-SUMIFS($M$6:$M$505,$D$6:$D$505,D110,$E$6:$E$505,E110),0),""))</x:f>
      </x:c>
    </x:row>
    <x:row r="111" ht="28" customHeight="1">
      <x:c r="A111" s="113" t="str">
        <x:f>IF(D111="","",IF(COUNTIFS(Trips!$A$6:$A$105,D111)=1,INDEX(Trips!$C$6:$C$105,MATCH(D111,Trips!$A$6:$A$105,0)),""))</x:f>
      </x:c>
      <x:c r="B111" s="90" t="str">
        <x:f>IF(D111="","",IF(COUNTIFS(Trips!$A$6:$A$105,D111)=1,INDEX(Trips!$B$6:$B$105,MATCH(D111,Trips!$A$6:$A$105,0)),""))</x:f>
      </x:c>
      <x:c r="C111" s="90" t="str">
        <x:f>IF(D111="","",IF(COUNTIFS(Trips!$A$6:$A$105,D111)=1,INDEX(Trips!$D$6:$D$105,MATCH(D111,Trips!$A$6:$A$105,0)),""))</x:f>
      </x:c>
      <x:c r="D111" s="107"/>
      <x:c r="E111" s="107"/>
      <x:c r="F111" s="90" t="str">
        <x:f>IF(E111="","",IF(COUNTIFS(Counters!$A$6:$A$105,E111)=1,INDEX(Counters!$B$6:$B$105,MATCH(E111,Counters!$A$6:$A$105,0)),""))</x:f>
      </x:c>
      <x:c r="G111" s="107"/>
      <x:c r="H111" s="98" t="str">
        <x:f>IF(C111="","",IF(COUNTIFS('Route List'!$F$6:$F$205,C111)=1,IF(COUNTIFS('Route List'!$F$6:$F$205,C111,'Route List'!$G$6:$G$205,"&lt;&gt;")=1,INDEX('Route List'!$G$6:$G$205,MATCH(C111,'Route List'!$F$6:$F$205,0)),"Enter route fare"),"Enter route fare"))</x:f>
      </x:c>
      <x:c r="I111" s="98" t="str">
        <x:f>IF(F111="","",IF(F111="Own",0,50))</x:f>
      </x:c>
      <x:c r="J111" s="98" t="str">
        <x:f>IF(OR(D111="",E111=""),"",IF(AND(ISNUMBER(G111),ISNUMBER(H111)),ROUND(G111*H111,2),""))</x:f>
      </x:c>
      <x:c r="K111" s="98" t="str">
        <x:f>IF(OR(D111="",E111=""),"",IF(AND(ISNUMBER(G111),ISNUMBER(I111)),ROUND(G111*I111,2),""))</x:f>
      </x:c>
      <x:c r="L111" s="98" t="str">
        <x:f>IF(OR(D111="",E111=""),"",IF(AND(ISNUMBER(J111),ISNUMBER(K111)),J111-K111,""))</x:f>
      </x:c>
      <x:c r="M111" s="114"/>
      <x:c r="N111" s="98" t="str">
        <x:f>IF(OR(D111="",E111=""),"",IF(COUNTIFS($D$6:D111,D111,$E$6:E111,E111)=1,MAX(SUMIFS($L$6:$L$505,$D$6:$D$505,D111,$E$6:$E$505,E111)-SUMIFS($M$6:$M$505,$D$6:$D$505,D111,$E$6:$E$505,E111),0),""))</x:f>
      </x:c>
    </x:row>
    <x:row r="112" ht="28" customHeight="1">
      <x:c r="A112" s="113" t="str">
        <x:f>IF(D112="","",IF(COUNTIFS(Trips!$A$6:$A$105,D112)=1,INDEX(Trips!$C$6:$C$105,MATCH(D112,Trips!$A$6:$A$105,0)),""))</x:f>
      </x:c>
      <x:c r="B112" s="90" t="str">
        <x:f>IF(D112="","",IF(COUNTIFS(Trips!$A$6:$A$105,D112)=1,INDEX(Trips!$B$6:$B$105,MATCH(D112,Trips!$A$6:$A$105,0)),""))</x:f>
      </x:c>
      <x:c r="C112" s="90" t="str">
        <x:f>IF(D112="","",IF(COUNTIFS(Trips!$A$6:$A$105,D112)=1,INDEX(Trips!$D$6:$D$105,MATCH(D112,Trips!$A$6:$A$105,0)),""))</x:f>
      </x:c>
      <x:c r="D112" s="107"/>
      <x:c r="E112" s="107"/>
      <x:c r="F112" s="90" t="str">
        <x:f>IF(E112="","",IF(COUNTIFS(Counters!$A$6:$A$105,E112)=1,INDEX(Counters!$B$6:$B$105,MATCH(E112,Counters!$A$6:$A$105,0)),""))</x:f>
      </x:c>
      <x:c r="G112" s="107"/>
      <x:c r="H112" s="98" t="str">
        <x:f>IF(C112="","",IF(COUNTIFS('Route List'!$F$6:$F$205,C112)=1,IF(COUNTIFS('Route List'!$F$6:$F$205,C112,'Route List'!$G$6:$G$205,"&lt;&gt;")=1,INDEX('Route List'!$G$6:$G$205,MATCH(C112,'Route List'!$F$6:$F$205,0)),"Enter route fare"),"Enter route fare"))</x:f>
      </x:c>
      <x:c r="I112" s="98" t="str">
        <x:f>IF(F112="","",IF(F112="Own",0,50))</x:f>
      </x:c>
      <x:c r="J112" s="98" t="str">
        <x:f>IF(OR(D112="",E112=""),"",IF(AND(ISNUMBER(G112),ISNUMBER(H112)),ROUND(G112*H112,2),""))</x:f>
      </x:c>
      <x:c r="K112" s="98" t="str">
        <x:f>IF(OR(D112="",E112=""),"",IF(AND(ISNUMBER(G112),ISNUMBER(I112)),ROUND(G112*I112,2),""))</x:f>
      </x:c>
      <x:c r="L112" s="98" t="str">
        <x:f>IF(OR(D112="",E112=""),"",IF(AND(ISNUMBER(J112),ISNUMBER(K112)),J112-K112,""))</x:f>
      </x:c>
      <x:c r="M112" s="114"/>
      <x:c r="N112" s="98" t="str">
        <x:f>IF(OR(D112="",E112=""),"",IF(COUNTIFS($D$6:D112,D112,$E$6:E112,E112)=1,MAX(SUMIFS($L$6:$L$505,$D$6:$D$505,D112,$E$6:$E$505,E112)-SUMIFS($M$6:$M$505,$D$6:$D$505,D112,$E$6:$E$505,E112),0),""))</x:f>
      </x:c>
    </x:row>
    <x:row r="113" ht="28" customHeight="1">
      <x:c r="A113" s="113" t="str">
        <x:f>IF(D113="","",IF(COUNTIFS(Trips!$A$6:$A$105,D113)=1,INDEX(Trips!$C$6:$C$105,MATCH(D113,Trips!$A$6:$A$105,0)),""))</x:f>
      </x:c>
      <x:c r="B113" s="90" t="str">
        <x:f>IF(D113="","",IF(COUNTIFS(Trips!$A$6:$A$105,D113)=1,INDEX(Trips!$B$6:$B$105,MATCH(D113,Trips!$A$6:$A$105,0)),""))</x:f>
      </x:c>
      <x:c r="C113" s="90" t="str">
        <x:f>IF(D113="","",IF(COUNTIFS(Trips!$A$6:$A$105,D113)=1,INDEX(Trips!$D$6:$D$105,MATCH(D113,Trips!$A$6:$A$105,0)),""))</x:f>
      </x:c>
      <x:c r="D113" s="107"/>
      <x:c r="E113" s="107"/>
      <x:c r="F113" s="90" t="str">
        <x:f>IF(E113="","",IF(COUNTIFS(Counters!$A$6:$A$105,E113)=1,INDEX(Counters!$B$6:$B$105,MATCH(E113,Counters!$A$6:$A$105,0)),""))</x:f>
      </x:c>
      <x:c r="G113" s="107"/>
      <x:c r="H113" s="98" t="str">
        <x:f>IF(C113="","",IF(COUNTIFS('Route List'!$F$6:$F$205,C113)=1,IF(COUNTIFS('Route List'!$F$6:$F$205,C113,'Route List'!$G$6:$G$205,"&lt;&gt;")=1,INDEX('Route List'!$G$6:$G$205,MATCH(C113,'Route List'!$F$6:$F$205,0)),"Enter route fare"),"Enter route fare"))</x:f>
      </x:c>
      <x:c r="I113" s="98" t="str">
        <x:f>IF(F113="","",IF(F113="Own",0,50))</x:f>
      </x:c>
      <x:c r="J113" s="98" t="str">
        <x:f>IF(OR(D113="",E113=""),"",IF(AND(ISNUMBER(G113),ISNUMBER(H113)),ROUND(G113*H113,2),""))</x:f>
      </x:c>
      <x:c r="K113" s="98" t="str">
        <x:f>IF(OR(D113="",E113=""),"",IF(AND(ISNUMBER(G113),ISNUMBER(I113)),ROUND(G113*I113,2),""))</x:f>
      </x:c>
      <x:c r="L113" s="98" t="str">
        <x:f>IF(OR(D113="",E113=""),"",IF(AND(ISNUMBER(J113),ISNUMBER(K113)),J113-K113,""))</x:f>
      </x:c>
      <x:c r="M113" s="114"/>
      <x:c r="N113" s="98" t="str">
        <x:f>IF(OR(D113="",E113=""),"",IF(COUNTIFS($D$6:D113,D113,$E$6:E113,E113)=1,MAX(SUMIFS($L$6:$L$505,$D$6:$D$505,D113,$E$6:$E$505,E113)-SUMIFS($M$6:$M$505,$D$6:$D$505,D113,$E$6:$E$505,E113),0),""))</x:f>
      </x:c>
    </x:row>
    <x:row r="114" ht="28" customHeight="1">
      <x:c r="A114" s="113" t="str">
        <x:f>IF(D114="","",IF(COUNTIFS(Trips!$A$6:$A$105,D114)=1,INDEX(Trips!$C$6:$C$105,MATCH(D114,Trips!$A$6:$A$105,0)),""))</x:f>
      </x:c>
      <x:c r="B114" s="90" t="str">
        <x:f>IF(D114="","",IF(COUNTIFS(Trips!$A$6:$A$105,D114)=1,INDEX(Trips!$B$6:$B$105,MATCH(D114,Trips!$A$6:$A$105,0)),""))</x:f>
      </x:c>
      <x:c r="C114" s="90" t="str">
        <x:f>IF(D114="","",IF(COUNTIFS(Trips!$A$6:$A$105,D114)=1,INDEX(Trips!$D$6:$D$105,MATCH(D114,Trips!$A$6:$A$105,0)),""))</x:f>
      </x:c>
      <x:c r="D114" s="107"/>
      <x:c r="E114" s="107"/>
      <x:c r="F114" s="90" t="str">
        <x:f>IF(E114="","",IF(COUNTIFS(Counters!$A$6:$A$105,E114)=1,INDEX(Counters!$B$6:$B$105,MATCH(E114,Counters!$A$6:$A$105,0)),""))</x:f>
      </x:c>
      <x:c r="G114" s="107"/>
      <x:c r="H114" s="98" t="str">
        <x:f>IF(C114="","",IF(COUNTIFS('Route List'!$F$6:$F$205,C114)=1,IF(COUNTIFS('Route List'!$F$6:$F$205,C114,'Route List'!$G$6:$G$205,"&lt;&gt;")=1,INDEX('Route List'!$G$6:$G$205,MATCH(C114,'Route List'!$F$6:$F$205,0)),"Enter route fare"),"Enter route fare"))</x:f>
      </x:c>
      <x:c r="I114" s="98" t="str">
        <x:f>IF(F114="","",IF(F114="Own",0,50))</x:f>
      </x:c>
      <x:c r="J114" s="98" t="str">
        <x:f>IF(OR(D114="",E114=""),"",IF(AND(ISNUMBER(G114),ISNUMBER(H114)),ROUND(G114*H114,2),""))</x:f>
      </x:c>
      <x:c r="K114" s="98" t="str">
        <x:f>IF(OR(D114="",E114=""),"",IF(AND(ISNUMBER(G114),ISNUMBER(I114)),ROUND(G114*I114,2),""))</x:f>
      </x:c>
      <x:c r="L114" s="98" t="str">
        <x:f>IF(OR(D114="",E114=""),"",IF(AND(ISNUMBER(J114),ISNUMBER(K114)),J114-K114,""))</x:f>
      </x:c>
      <x:c r="M114" s="114"/>
      <x:c r="N114" s="98" t="str">
        <x:f>IF(OR(D114="",E114=""),"",IF(COUNTIFS($D$6:D114,D114,$E$6:E114,E114)=1,MAX(SUMIFS($L$6:$L$505,$D$6:$D$505,D114,$E$6:$E$505,E114)-SUMIFS($M$6:$M$505,$D$6:$D$505,D114,$E$6:$E$505,E114),0),""))</x:f>
      </x:c>
    </x:row>
    <x:row r="115" ht="28" customHeight="1">
      <x:c r="A115" s="113" t="str">
        <x:f>IF(D115="","",IF(COUNTIFS(Trips!$A$6:$A$105,D115)=1,INDEX(Trips!$C$6:$C$105,MATCH(D115,Trips!$A$6:$A$105,0)),""))</x:f>
      </x:c>
      <x:c r="B115" s="90" t="str">
        <x:f>IF(D115="","",IF(COUNTIFS(Trips!$A$6:$A$105,D115)=1,INDEX(Trips!$B$6:$B$105,MATCH(D115,Trips!$A$6:$A$105,0)),""))</x:f>
      </x:c>
      <x:c r="C115" s="90" t="str">
        <x:f>IF(D115="","",IF(COUNTIFS(Trips!$A$6:$A$105,D115)=1,INDEX(Trips!$D$6:$D$105,MATCH(D115,Trips!$A$6:$A$105,0)),""))</x:f>
      </x:c>
      <x:c r="D115" s="107"/>
      <x:c r="E115" s="107"/>
      <x:c r="F115" s="90" t="str">
        <x:f>IF(E115="","",IF(COUNTIFS(Counters!$A$6:$A$105,E115)=1,INDEX(Counters!$B$6:$B$105,MATCH(E115,Counters!$A$6:$A$105,0)),""))</x:f>
      </x:c>
      <x:c r="G115" s="107"/>
      <x:c r="H115" s="98" t="str">
        <x:f>IF(C115="","",IF(COUNTIFS('Route List'!$F$6:$F$205,C115)=1,IF(COUNTIFS('Route List'!$F$6:$F$205,C115,'Route List'!$G$6:$G$205,"&lt;&gt;")=1,INDEX('Route List'!$G$6:$G$205,MATCH(C115,'Route List'!$F$6:$F$205,0)),"Enter route fare"),"Enter route fare"))</x:f>
      </x:c>
      <x:c r="I115" s="98" t="str">
        <x:f>IF(F115="","",IF(F115="Own",0,50))</x:f>
      </x:c>
      <x:c r="J115" s="98" t="str">
        <x:f>IF(OR(D115="",E115=""),"",IF(AND(ISNUMBER(G115),ISNUMBER(H115)),ROUND(G115*H115,2),""))</x:f>
      </x:c>
      <x:c r="K115" s="98" t="str">
        <x:f>IF(OR(D115="",E115=""),"",IF(AND(ISNUMBER(G115),ISNUMBER(I115)),ROUND(G115*I115,2),""))</x:f>
      </x:c>
      <x:c r="L115" s="98" t="str">
        <x:f>IF(OR(D115="",E115=""),"",IF(AND(ISNUMBER(J115),ISNUMBER(K115)),J115-K115,""))</x:f>
      </x:c>
      <x:c r="M115" s="114"/>
      <x:c r="N115" s="98" t="str">
        <x:f>IF(OR(D115="",E115=""),"",IF(COUNTIFS($D$6:D115,D115,$E$6:E115,E115)=1,MAX(SUMIFS($L$6:$L$505,$D$6:$D$505,D115,$E$6:$E$505,E115)-SUMIFS($M$6:$M$505,$D$6:$D$505,D115,$E$6:$E$505,E115),0),""))</x:f>
      </x:c>
    </x:row>
    <x:row r="116" ht="28" customHeight="1">
      <x:c r="A116" s="113" t="str">
        <x:f>IF(D116="","",IF(COUNTIFS(Trips!$A$6:$A$105,D116)=1,INDEX(Trips!$C$6:$C$105,MATCH(D116,Trips!$A$6:$A$105,0)),""))</x:f>
      </x:c>
      <x:c r="B116" s="90" t="str">
        <x:f>IF(D116="","",IF(COUNTIFS(Trips!$A$6:$A$105,D116)=1,INDEX(Trips!$B$6:$B$105,MATCH(D116,Trips!$A$6:$A$105,0)),""))</x:f>
      </x:c>
      <x:c r="C116" s="90" t="str">
        <x:f>IF(D116="","",IF(COUNTIFS(Trips!$A$6:$A$105,D116)=1,INDEX(Trips!$D$6:$D$105,MATCH(D116,Trips!$A$6:$A$105,0)),""))</x:f>
      </x:c>
      <x:c r="D116" s="107"/>
      <x:c r="E116" s="107"/>
      <x:c r="F116" s="90" t="str">
        <x:f>IF(E116="","",IF(COUNTIFS(Counters!$A$6:$A$105,E116)=1,INDEX(Counters!$B$6:$B$105,MATCH(E116,Counters!$A$6:$A$105,0)),""))</x:f>
      </x:c>
      <x:c r="G116" s="107"/>
      <x:c r="H116" s="98" t="str">
        <x:f>IF(C116="","",IF(COUNTIFS('Route List'!$F$6:$F$205,C116)=1,IF(COUNTIFS('Route List'!$F$6:$F$205,C116,'Route List'!$G$6:$G$205,"&lt;&gt;")=1,INDEX('Route List'!$G$6:$G$205,MATCH(C116,'Route List'!$F$6:$F$205,0)),"Enter route fare"),"Enter route fare"))</x:f>
      </x:c>
      <x:c r="I116" s="98" t="str">
        <x:f>IF(F116="","",IF(F116="Own",0,50))</x:f>
      </x:c>
      <x:c r="J116" s="98" t="str">
        <x:f>IF(OR(D116="",E116=""),"",IF(AND(ISNUMBER(G116),ISNUMBER(H116)),ROUND(G116*H116,2),""))</x:f>
      </x:c>
      <x:c r="K116" s="98" t="str">
        <x:f>IF(OR(D116="",E116=""),"",IF(AND(ISNUMBER(G116),ISNUMBER(I116)),ROUND(G116*I116,2),""))</x:f>
      </x:c>
      <x:c r="L116" s="98" t="str">
        <x:f>IF(OR(D116="",E116=""),"",IF(AND(ISNUMBER(J116),ISNUMBER(K116)),J116-K116,""))</x:f>
      </x:c>
      <x:c r="M116" s="114"/>
      <x:c r="N116" s="98" t="str">
        <x:f>IF(OR(D116="",E116=""),"",IF(COUNTIFS($D$6:D116,D116,$E$6:E116,E116)=1,MAX(SUMIFS($L$6:$L$505,$D$6:$D$505,D116,$E$6:$E$505,E116)-SUMIFS($M$6:$M$505,$D$6:$D$505,D116,$E$6:$E$505,E116),0),""))</x:f>
      </x:c>
    </x:row>
    <x:row r="117" ht="28" customHeight="1">
      <x:c r="A117" s="113" t="str">
        <x:f>IF(D117="","",IF(COUNTIFS(Trips!$A$6:$A$105,D117)=1,INDEX(Trips!$C$6:$C$105,MATCH(D117,Trips!$A$6:$A$105,0)),""))</x:f>
      </x:c>
      <x:c r="B117" s="90" t="str">
        <x:f>IF(D117="","",IF(COUNTIFS(Trips!$A$6:$A$105,D117)=1,INDEX(Trips!$B$6:$B$105,MATCH(D117,Trips!$A$6:$A$105,0)),""))</x:f>
      </x:c>
      <x:c r="C117" s="90" t="str">
        <x:f>IF(D117="","",IF(COUNTIFS(Trips!$A$6:$A$105,D117)=1,INDEX(Trips!$D$6:$D$105,MATCH(D117,Trips!$A$6:$A$105,0)),""))</x:f>
      </x:c>
      <x:c r="D117" s="107"/>
      <x:c r="E117" s="107"/>
      <x:c r="F117" s="90" t="str">
        <x:f>IF(E117="","",IF(COUNTIFS(Counters!$A$6:$A$105,E117)=1,INDEX(Counters!$B$6:$B$105,MATCH(E117,Counters!$A$6:$A$105,0)),""))</x:f>
      </x:c>
      <x:c r="G117" s="107"/>
      <x:c r="H117" s="98" t="str">
        <x:f>IF(C117="","",IF(COUNTIFS('Route List'!$F$6:$F$205,C117)=1,IF(COUNTIFS('Route List'!$F$6:$F$205,C117,'Route List'!$G$6:$G$205,"&lt;&gt;")=1,INDEX('Route List'!$G$6:$G$205,MATCH(C117,'Route List'!$F$6:$F$205,0)),"Enter route fare"),"Enter route fare"))</x:f>
      </x:c>
      <x:c r="I117" s="98" t="str">
        <x:f>IF(F117="","",IF(F117="Own",0,50))</x:f>
      </x:c>
      <x:c r="J117" s="98" t="str">
        <x:f>IF(OR(D117="",E117=""),"",IF(AND(ISNUMBER(G117),ISNUMBER(H117)),ROUND(G117*H117,2),""))</x:f>
      </x:c>
      <x:c r="K117" s="98" t="str">
        <x:f>IF(OR(D117="",E117=""),"",IF(AND(ISNUMBER(G117),ISNUMBER(I117)),ROUND(G117*I117,2),""))</x:f>
      </x:c>
      <x:c r="L117" s="98" t="str">
        <x:f>IF(OR(D117="",E117=""),"",IF(AND(ISNUMBER(J117),ISNUMBER(K117)),J117-K117,""))</x:f>
      </x:c>
      <x:c r="M117" s="114"/>
      <x:c r="N117" s="98" t="str">
        <x:f>IF(OR(D117="",E117=""),"",IF(COUNTIFS($D$6:D117,D117,$E$6:E117,E117)=1,MAX(SUMIFS($L$6:$L$505,$D$6:$D$505,D117,$E$6:$E$505,E117)-SUMIFS($M$6:$M$505,$D$6:$D$505,D117,$E$6:$E$505,E117),0),""))</x:f>
      </x:c>
    </x:row>
    <x:row r="118" ht="28" customHeight="1">
      <x:c r="A118" s="113" t="str">
        <x:f>IF(D118="","",IF(COUNTIFS(Trips!$A$6:$A$105,D118)=1,INDEX(Trips!$C$6:$C$105,MATCH(D118,Trips!$A$6:$A$105,0)),""))</x:f>
      </x:c>
      <x:c r="B118" s="90" t="str">
        <x:f>IF(D118="","",IF(COUNTIFS(Trips!$A$6:$A$105,D118)=1,INDEX(Trips!$B$6:$B$105,MATCH(D118,Trips!$A$6:$A$105,0)),""))</x:f>
      </x:c>
      <x:c r="C118" s="90" t="str">
        <x:f>IF(D118="","",IF(COUNTIFS(Trips!$A$6:$A$105,D118)=1,INDEX(Trips!$D$6:$D$105,MATCH(D118,Trips!$A$6:$A$105,0)),""))</x:f>
      </x:c>
      <x:c r="D118" s="107"/>
      <x:c r="E118" s="107"/>
      <x:c r="F118" s="90" t="str">
        <x:f>IF(E118="","",IF(COUNTIFS(Counters!$A$6:$A$105,E118)=1,INDEX(Counters!$B$6:$B$105,MATCH(E118,Counters!$A$6:$A$105,0)),""))</x:f>
      </x:c>
      <x:c r="G118" s="107"/>
      <x:c r="H118" s="98" t="str">
        <x:f>IF(C118="","",IF(COUNTIFS('Route List'!$F$6:$F$205,C118)=1,IF(COUNTIFS('Route List'!$F$6:$F$205,C118,'Route List'!$G$6:$G$205,"&lt;&gt;")=1,INDEX('Route List'!$G$6:$G$205,MATCH(C118,'Route List'!$F$6:$F$205,0)),"Enter route fare"),"Enter route fare"))</x:f>
      </x:c>
      <x:c r="I118" s="98" t="str">
        <x:f>IF(F118="","",IF(F118="Own",0,50))</x:f>
      </x:c>
      <x:c r="J118" s="98" t="str">
        <x:f>IF(OR(D118="",E118=""),"",IF(AND(ISNUMBER(G118),ISNUMBER(H118)),ROUND(G118*H118,2),""))</x:f>
      </x:c>
      <x:c r="K118" s="98" t="str">
        <x:f>IF(OR(D118="",E118=""),"",IF(AND(ISNUMBER(G118),ISNUMBER(I118)),ROUND(G118*I118,2),""))</x:f>
      </x:c>
      <x:c r="L118" s="98" t="str">
        <x:f>IF(OR(D118="",E118=""),"",IF(AND(ISNUMBER(J118),ISNUMBER(K118)),J118-K118,""))</x:f>
      </x:c>
      <x:c r="M118" s="114"/>
      <x:c r="N118" s="98" t="str">
        <x:f>IF(OR(D118="",E118=""),"",IF(COUNTIFS($D$6:D118,D118,$E$6:E118,E118)=1,MAX(SUMIFS($L$6:$L$505,$D$6:$D$505,D118,$E$6:$E$505,E118)-SUMIFS($M$6:$M$505,$D$6:$D$505,D118,$E$6:$E$505,E118),0),""))</x:f>
      </x:c>
    </x:row>
    <x:row r="119" ht="28" customHeight="1">
      <x:c r="A119" s="113" t="str">
        <x:f>IF(D119="","",IF(COUNTIFS(Trips!$A$6:$A$105,D119)=1,INDEX(Trips!$C$6:$C$105,MATCH(D119,Trips!$A$6:$A$105,0)),""))</x:f>
      </x:c>
      <x:c r="B119" s="90" t="str">
        <x:f>IF(D119="","",IF(COUNTIFS(Trips!$A$6:$A$105,D119)=1,INDEX(Trips!$B$6:$B$105,MATCH(D119,Trips!$A$6:$A$105,0)),""))</x:f>
      </x:c>
      <x:c r="C119" s="90" t="str">
        <x:f>IF(D119="","",IF(COUNTIFS(Trips!$A$6:$A$105,D119)=1,INDEX(Trips!$D$6:$D$105,MATCH(D119,Trips!$A$6:$A$105,0)),""))</x:f>
      </x:c>
      <x:c r="D119" s="107"/>
      <x:c r="E119" s="107"/>
      <x:c r="F119" s="90" t="str">
        <x:f>IF(E119="","",IF(COUNTIFS(Counters!$A$6:$A$105,E119)=1,INDEX(Counters!$B$6:$B$105,MATCH(E119,Counters!$A$6:$A$105,0)),""))</x:f>
      </x:c>
      <x:c r="G119" s="107"/>
      <x:c r="H119" s="98" t="str">
        <x:f>IF(C119="","",IF(COUNTIFS('Route List'!$F$6:$F$205,C119)=1,IF(COUNTIFS('Route List'!$F$6:$F$205,C119,'Route List'!$G$6:$G$205,"&lt;&gt;")=1,INDEX('Route List'!$G$6:$G$205,MATCH(C119,'Route List'!$F$6:$F$205,0)),"Enter route fare"),"Enter route fare"))</x:f>
      </x:c>
      <x:c r="I119" s="98" t="str">
        <x:f>IF(F119="","",IF(F119="Own",0,50))</x:f>
      </x:c>
      <x:c r="J119" s="98" t="str">
        <x:f>IF(OR(D119="",E119=""),"",IF(AND(ISNUMBER(G119),ISNUMBER(H119)),ROUND(G119*H119,2),""))</x:f>
      </x:c>
      <x:c r="K119" s="98" t="str">
        <x:f>IF(OR(D119="",E119=""),"",IF(AND(ISNUMBER(G119),ISNUMBER(I119)),ROUND(G119*I119,2),""))</x:f>
      </x:c>
      <x:c r="L119" s="98" t="str">
        <x:f>IF(OR(D119="",E119=""),"",IF(AND(ISNUMBER(J119),ISNUMBER(K119)),J119-K119,""))</x:f>
      </x:c>
      <x:c r="M119" s="114"/>
      <x:c r="N119" s="98" t="str">
        <x:f>IF(OR(D119="",E119=""),"",IF(COUNTIFS($D$6:D119,D119,$E$6:E119,E119)=1,MAX(SUMIFS($L$6:$L$505,$D$6:$D$505,D119,$E$6:$E$505,E119)-SUMIFS($M$6:$M$505,$D$6:$D$505,D119,$E$6:$E$505,E119),0),""))</x:f>
      </x:c>
    </x:row>
    <x:row r="120" ht="28" customHeight="1">
      <x:c r="A120" s="113" t="str">
        <x:f>IF(D120="","",IF(COUNTIFS(Trips!$A$6:$A$105,D120)=1,INDEX(Trips!$C$6:$C$105,MATCH(D120,Trips!$A$6:$A$105,0)),""))</x:f>
      </x:c>
      <x:c r="B120" s="90" t="str">
        <x:f>IF(D120="","",IF(COUNTIFS(Trips!$A$6:$A$105,D120)=1,INDEX(Trips!$B$6:$B$105,MATCH(D120,Trips!$A$6:$A$105,0)),""))</x:f>
      </x:c>
      <x:c r="C120" s="90" t="str">
        <x:f>IF(D120="","",IF(COUNTIFS(Trips!$A$6:$A$105,D120)=1,INDEX(Trips!$D$6:$D$105,MATCH(D120,Trips!$A$6:$A$105,0)),""))</x:f>
      </x:c>
      <x:c r="D120" s="107"/>
      <x:c r="E120" s="107"/>
      <x:c r="F120" s="90" t="str">
        <x:f>IF(E120="","",IF(COUNTIFS(Counters!$A$6:$A$105,E120)=1,INDEX(Counters!$B$6:$B$105,MATCH(E120,Counters!$A$6:$A$105,0)),""))</x:f>
      </x:c>
      <x:c r="G120" s="107"/>
      <x:c r="H120" s="98" t="str">
        <x:f>IF(C120="","",IF(COUNTIFS('Route List'!$F$6:$F$205,C120)=1,IF(COUNTIFS('Route List'!$F$6:$F$205,C120,'Route List'!$G$6:$G$205,"&lt;&gt;")=1,INDEX('Route List'!$G$6:$G$205,MATCH(C120,'Route List'!$F$6:$F$205,0)),"Enter route fare"),"Enter route fare"))</x:f>
      </x:c>
      <x:c r="I120" s="98" t="str">
        <x:f>IF(F120="","",IF(F120="Own",0,50))</x:f>
      </x:c>
      <x:c r="J120" s="98" t="str">
        <x:f>IF(OR(D120="",E120=""),"",IF(AND(ISNUMBER(G120),ISNUMBER(H120)),ROUND(G120*H120,2),""))</x:f>
      </x:c>
      <x:c r="K120" s="98" t="str">
        <x:f>IF(OR(D120="",E120=""),"",IF(AND(ISNUMBER(G120),ISNUMBER(I120)),ROUND(G120*I120,2),""))</x:f>
      </x:c>
      <x:c r="L120" s="98" t="str">
        <x:f>IF(OR(D120="",E120=""),"",IF(AND(ISNUMBER(J120),ISNUMBER(K120)),J120-K120,""))</x:f>
      </x:c>
      <x:c r="M120" s="114"/>
      <x:c r="N120" s="98" t="str">
        <x:f>IF(OR(D120="",E120=""),"",IF(COUNTIFS($D$6:D120,D120,$E$6:E120,E120)=1,MAX(SUMIFS($L$6:$L$505,$D$6:$D$505,D120,$E$6:$E$505,E120)-SUMIFS($M$6:$M$505,$D$6:$D$505,D120,$E$6:$E$505,E120),0),""))</x:f>
      </x:c>
    </x:row>
    <x:row r="121" ht="28" customHeight="1">
      <x:c r="A121" s="113" t="str">
        <x:f>IF(D121="","",IF(COUNTIFS(Trips!$A$6:$A$105,D121)=1,INDEX(Trips!$C$6:$C$105,MATCH(D121,Trips!$A$6:$A$105,0)),""))</x:f>
      </x:c>
      <x:c r="B121" s="90" t="str">
        <x:f>IF(D121="","",IF(COUNTIFS(Trips!$A$6:$A$105,D121)=1,INDEX(Trips!$B$6:$B$105,MATCH(D121,Trips!$A$6:$A$105,0)),""))</x:f>
      </x:c>
      <x:c r="C121" s="90" t="str">
        <x:f>IF(D121="","",IF(COUNTIFS(Trips!$A$6:$A$105,D121)=1,INDEX(Trips!$D$6:$D$105,MATCH(D121,Trips!$A$6:$A$105,0)),""))</x:f>
      </x:c>
      <x:c r="D121" s="107"/>
      <x:c r="E121" s="107"/>
      <x:c r="F121" s="90" t="str">
        <x:f>IF(E121="","",IF(COUNTIFS(Counters!$A$6:$A$105,E121)=1,INDEX(Counters!$B$6:$B$105,MATCH(E121,Counters!$A$6:$A$105,0)),""))</x:f>
      </x:c>
      <x:c r="G121" s="107"/>
      <x:c r="H121" s="98" t="str">
        <x:f>IF(C121="","",IF(COUNTIFS('Route List'!$F$6:$F$205,C121)=1,IF(COUNTIFS('Route List'!$F$6:$F$205,C121,'Route List'!$G$6:$G$205,"&lt;&gt;")=1,INDEX('Route List'!$G$6:$G$205,MATCH(C121,'Route List'!$F$6:$F$205,0)),"Enter route fare"),"Enter route fare"))</x:f>
      </x:c>
      <x:c r="I121" s="98" t="str">
        <x:f>IF(F121="","",IF(F121="Own",0,50))</x:f>
      </x:c>
      <x:c r="J121" s="98" t="str">
        <x:f>IF(OR(D121="",E121=""),"",IF(AND(ISNUMBER(G121),ISNUMBER(H121)),ROUND(G121*H121,2),""))</x:f>
      </x:c>
      <x:c r="K121" s="98" t="str">
        <x:f>IF(OR(D121="",E121=""),"",IF(AND(ISNUMBER(G121),ISNUMBER(I121)),ROUND(G121*I121,2),""))</x:f>
      </x:c>
      <x:c r="L121" s="98" t="str">
        <x:f>IF(OR(D121="",E121=""),"",IF(AND(ISNUMBER(J121),ISNUMBER(K121)),J121-K121,""))</x:f>
      </x:c>
      <x:c r="M121" s="114"/>
      <x:c r="N121" s="98" t="str">
        <x:f>IF(OR(D121="",E121=""),"",IF(COUNTIFS($D$6:D121,D121,$E$6:E121,E121)=1,MAX(SUMIFS($L$6:$L$505,$D$6:$D$505,D121,$E$6:$E$505,E121)-SUMIFS($M$6:$M$505,$D$6:$D$505,D121,$E$6:$E$505,E121),0),""))</x:f>
      </x:c>
    </x:row>
    <x:row r="122" ht="28" customHeight="1">
      <x:c r="A122" s="113" t="str">
        <x:f>IF(D122="","",IF(COUNTIFS(Trips!$A$6:$A$105,D122)=1,INDEX(Trips!$C$6:$C$105,MATCH(D122,Trips!$A$6:$A$105,0)),""))</x:f>
      </x:c>
      <x:c r="B122" s="90" t="str">
        <x:f>IF(D122="","",IF(COUNTIFS(Trips!$A$6:$A$105,D122)=1,INDEX(Trips!$B$6:$B$105,MATCH(D122,Trips!$A$6:$A$105,0)),""))</x:f>
      </x:c>
      <x:c r="C122" s="90" t="str">
        <x:f>IF(D122="","",IF(COUNTIFS(Trips!$A$6:$A$105,D122)=1,INDEX(Trips!$D$6:$D$105,MATCH(D122,Trips!$A$6:$A$105,0)),""))</x:f>
      </x:c>
      <x:c r="D122" s="107"/>
      <x:c r="E122" s="107"/>
      <x:c r="F122" s="90" t="str">
        <x:f>IF(E122="","",IF(COUNTIFS(Counters!$A$6:$A$105,E122)=1,INDEX(Counters!$B$6:$B$105,MATCH(E122,Counters!$A$6:$A$105,0)),""))</x:f>
      </x:c>
      <x:c r="G122" s="107"/>
      <x:c r="H122" s="98" t="str">
        <x:f>IF(C122="","",IF(COUNTIFS('Route List'!$F$6:$F$205,C122)=1,IF(COUNTIFS('Route List'!$F$6:$F$205,C122,'Route List'!$G$6:$G$205,"&lt;&gt;")=1,INDEX('Route List'!$G$6:$G$205,MATCH(C122,'Route List'!$F$6:$F$205,0)),"Enter route fare"),"Enter route fare"))</x:f>
      </x:c>
      <x:c r="I122" s="98" t="str">
        <x:f>IF(F122="","",IF(F122="Own",0,50))</x:f>
      </x:c>
      <x:c r="J122" s="98" t="str">
        <x:f>IF(OR(D122="",E122=""),"",IF(AND(ISNUMBER(G122),ISNUMBER(H122)),ROUND(G122*H122,2),""))</x:f>
      </x:c>
      <x:c r="K122" s="98" t="str">
        <x:f>IF(OR(D122="",E122=""),"",IF(AND(ISNUMBER(G122),ISNUMBER(I122)),ROUND(G122*I122,2),""))</x:f>
      </x:c>
      <x:c r="L122" s="98" t="str">
        <x:f>IF(OR(D122="",E122=""),"",IF(AND(ISNUMBER(J122),ISNUMBER(K122)),J122-K122,""))</x:f>
      </x:c>
      <x:c r="M122" s="114"/>
      <x:c r="N122" s="98" t="str">
        <x:f>IF(OR(D122="",E122=""),"",IF(COUNTIFS($D$6:D122,D122,$E$6:E122,E122)=1,MAX(SUMIFS($L$6:$L$505,$D$6:$D$505,D122,$E$6:$E$505,E122)-SUMIFS($M$6:$M$505,$D$6:$D$505,D122,$E$6:$E$505,E122),0),""))</x:f>
      </x:c>
    </x:row>
    <x:row r="123" ht="28" customHeight="1">
      <x:c r="A123" s="113" t="str">
        <x:f>IF(D123="","",IF(COUNTIFS(Trips!$A$6:$A$105,D123)=1,INDEX(Trips!$C$6:$C$105,MATCH(D123,Trips!$A$6:$A$105,0)),""))</x:f>
      </x:c>
      <x:c r="B123" s="90" t="str">
        <x:f>IF(D123="","",IF(COUNTIFS(Trips!$A$6:$A$105,D123)=1,INDEX(Trips!$B$6:$B$105,MATCH(D123,Trips!$A$6:$A$105,0)),""))</x:f>
      </x:c>
      <x:c r="C123" s="90" t="str">
        <x:f>IF(D123="","",IF(COUNTIFS(Trips!$A$6:$A$105,D123)=1,INDEX(Trips!$D$6:$D$105,MATCH(D123,Trips!$A$6:$A$105,0)),""))</x:f>
      </x:c>
      <x:c r="D123" s="107"/>
      <x:c r="E123" s="107"/>
      <x:c r="F123" s="90" t="str">
        <x:f>IF(E123="","",IF(COUNTIFS(Counters!$A$6:$A$105,E123)=1,INDEX(Counters!$B$6:$B$105,MATCH(E123,Counters!$A$6:$A$105,0)),""))</x:f>
      </x:c>
      <x:c r="G123" s="107"/>
      <x:c r="H123" s="98" t="str">
        <x:f>IF(C123="","",IF(COUNTIFS('Route List'!$F$6:$F$205,C123)=1,IF(COUNTIFS('Route List'!$F$6:$F$205,C123,'Route List'!$G$6:$G$205,"&lt;&gt;")=1,INDEX('Route List'!$G$6:$G$205,MATCH(C123,'Route List'!$F$6:$F$205,0)),"Enter route fare"),"Enter route fare"))</x:f>
      </x:c>
      <x:c r="I123" s="98" t="str">
        <x:f>IF(F123="","",IF(F123="Own",0,50))</x:f>
      </x:c>
      <x:c r="J123" s="98" t="str">
        <x:f>IF(OR(D123="",E123=""),"",IF(AND(ISNUMBER(G123),ISNUMBER(H123)),ROUND(G123*H123,2),""))</x:f>
      </x:c>
      <x:c r="K123" s="98" t="str">
        <x:f>IF(OR(D123="",E123=""),"",IF(AND(ISNUMBER(G123),ISNUMBER(I123)),ROUND(G123*I123,2),""))</x:f>
      </x:c>
      <x:c r="L123" s="98" t="str">
        <x:f>IF(OR(D123="",E123=""),"",IF(AND(ISNUMBER(J123),ISNUMBER(K123)),J123-K123,""))</x:f>
      </x:c>
      <x:c r="M123" s="114"/>
      <x:c r="N123" s="98" t="str">
        <x:f>IF(OR(D123="",E123=""),"",IF(COUNTIFS($D$6:D123,D123,$E$6:E123,E123)=1,MAX(SUMIFS($L$6:$L$505,$D$6:$D$505,D123,$E$6:$E$505,E123)-SUMIFS($M$6:$M$505,$D$6:$D$505,D123,$E$6:$E$505,E123),0),""))</x:f>
      </x:c>
    </x:row>
    <x:row r="124" ht="28" customHeight="1">
      <x:c r="A124" s="113" t="str">
        <x:f>IF(D124="","",IF(COUNTIFS(Trips!$A$6:$A$105,D124)=1,INDEX(Trips!$C$6:$C$105,MATCH(D124,Trips!$A$6:$A$105,0)),""))</x:f>
      </x:c>
      <x:c r="B124" s="90" t="str">
        <x:f>IF(D124="","",IF(COUNTIFS(Trips!$A$6:$A$105,D124)=1,INDEX(Trips!$B$6:$B$105,MATCH(D124,Trips!$A$6:$A$105,0)),""))</x:f>
      </x:c>
      <x:c r="C124" s="90" t="str">
        <x:f>IF(D124="","",IF(COUNTIFS(Trips!$A$6:$A$105,D124)=1,INDEX(Trips!$D$6:$D$105,MATCH(D124,Trips!$A$6:$A$105,0)),""))</x:f>
      </x:c>
      <x:c r="D124" s="107"/>
      <x:c r="E124" s="107"/>
      <x:c r="F124" s="90" t="str">
        <x:f>IF(E124="","",IF(COUNTIFS(Counters!$A$6:$A$105,E124)=1,INDEX(Counters!$B$6:$B$105,MATCH(E124,Counters!$A$6:$A$105,0)),""))</x:f>
      </x:c>
      <x:c r="G124" s="107"/>
      <x:c r="H124" s="98" t="str">
        <x:f>IF(C124="","",IF(COUNTIFS('Route List'!$F$6:$F$205,C124)=1,IF(COUNTIFS('Route List'!$F$6:$F$205,C124,'Route List'!$G$6:$G$205,"&lt;&gt;")=1,INDEX('Route List'!$G$6:$G$205,MATCH(C124,'Route List'!$F$6:$F$205,0)),"Enter route fare"),"Enter route fare"))</x:f>
      </x:c>
      <x:c r="I124" s="98" t="str">
        <x:f>IF(F124="","",IF(F124="Own",0,50))</x:f>
      </x:c>
      <x:c r="J124" s="98" t="str">
        <x:f>IF(OR(D124="",E124=""),"",IF(AND(ISNUMBER(G124),ISNUMBER(H124)),ROUND(G124*H124,2),""))</x:f>
      </x:c>
      <x:c r="K124" s="98" t="str">
        <x:f>IF(OR(D124="",E124=""),"",IF(AND(ISNUMBER(G124),ISNUMBER(I124)),ROUND(G124*I124,2),""))</x:f>
      </x:c>
      <x:c r="L124" s="98" t="str">
        <x:f>IF(OR(D124="",E124=""),"",IF(AND(ISNUMBER(J124),ISNUMBER(K124)),J124-K124,""))</x:f>
      </x:c>
      <x:c r="M124" s="114"/>
      <x:c r="N124" s="98" t="str">
        <x:f>IF(OR(D124="",E124=""),"",IF(COUNTIFS($D$6:D124,D124,$E$6:E124,E124)=1,MAX(SUMIFS($L$6:$L$505,$D$6:$D$505,D124,$E$6:$E$505,E124)-SUMIFS($M$6:$M$505,$D$6:$D$505,D124,$E$6:$E$505,E124),0),""))</x:f>
      </x:c>
    </x:row>
    <x:row r="125" ht="28" customHeight="1">
      <x:c r="A125" s="113" t="str">
        <x:f>IF(D125="","",IF(COUNTIFS(Trips!$A$6:$A$105,D125)=1,INDEX(Trips!$C$6:$C$105,MATCH(D125,Trips!$A$6:$A$105,0)),""))</x:f>
      </x:c>
      <x:c r="B125" s="90" t="str">
        <x:f>IF(D125="","",IF(COUNTIFS(Trips!$A$6:$A$105,D125)=1,INDEX(Trips!$B$6:$B$105,MATCH(D125,Trips!$A$6:$A$105,0)),""))</x:f>
      </x:c>
      <x:c r="C125" s="90" t="str">
        <x:f>IF(D125="","",IF(COUNTIFS(Trips!$A$6:$A$105,D125)=1,INDEX(Trips!$D$6:$D$105,MATCH(D125,Trips!$A$6:$A$105,0)),""))</x:f>
      </x:c>
      <x:c r="D125" s="107"/>
      <x:c r="E125" s="107"/>
      <x:c r="F125" s="90" t="str">
        <x:f>IF(E125="","",IF(COUNTIFS(Counters!$A$6:$A$105,E125)=1,INDEX(Counters!$B$6:$B$105,MATCH(E125,Counters!$A$6:$A$105,0)),""))</x:f>
      </x:c>
      <x:c r="G125" s="107"/>
      <x:c r="H125" s="98" t="str">
        <x:f>IF(C125="","",IF(COUNTIFS('Route List'!$F$6:$F$205,C125)=1,IF(COUNTIFS('Route List'!$F$6:$F$205,C125,'Route List'!$G$6:$G$205,"&lt;&gt;")=1,INDEX('Route List'!$G$6:$G$205,MATCH(C125,'Route List'!$F$6:$F$205,0)),"Enter route fare"),"Enter route fare"))</x:f>
      </x:c>
      <x:c r="I125" s="98" t="str">
        <x:f>IF(F125="","",IF(F125="Own",0,50))</x:f>
      </x:c>
      <x:c r="J125" s="98" t="str">
        <x:f>IF(OR(D125="",E125=""),"",IF(AND(ISNUMBER(G125),ISNUMBER(H125)),ROUND(G125*H125,2),""))</x:f>
      </x:c>
      <x:c r="K125" s="98" t="str">
        <x:f>IF(OR(D125="",E125=""),"",IF(AND(ISNUMBER(G125),ISNUMBER(I125)),ROUND(G125*I125,2),""))</x:f>
      </x:c>
      <x:c r="L125" s="98" t="str">
        <x:f>IF(OR(D125="",E125=""),"",IF(AND(ISNUMBER(J125),ISNUMBER(K125)),J125-K125,""))</x:f>
      </x:c>
      <x:c r="M125" s="114"/>
      <x:c r="N125" s="98" t="str">
        <x:f>IF(OR(D125="",E125=""),"",IF(COUNTIFS($D$6:D125,D125,$E$6:E125,E125)=1,MAX(SUMIFS($L$6:$L$505,$D$6:$D$505,D125,$E$6:$E$505,E125)-SUMIFS($M$6:$M$505,$D$6:$D$505,D125,$E$6:$E$505,E125),0),""))</x:f>
      </x:c>
    </x:row>
    <x:row r="126" ht="28" customHeight="1">
      <x:c r="A126" s="113" t="str">
        <x:f>IF(D126="","",IF(COUNTIFS(Trips!$A$6:$A$105,D126)=1,INDEX(Trips!$C$6:$C$105,MATCH(D126,Trips!$A$6:$A$105,0)),""))</x:f>
      </x:c>
      <x:c r="B126" s="90" t="str">
        <x:f>IF(D126="","",IF(COUNTIFS(Trips!$A$6:$A$105,D126)=1,INDEX(Trips!$B$6:$B$105,MATCH(D126,Trips!$A$6:$A$105,0)),""))</x:f>
      </x:c>
      <x:c r="C126" s="90" t="str">
        <x:f>IF(D126="","",IF(COUNTIFS(Trips!$A$6:$A$105,D126)=1,INDEX(Trips!$D$6:$D$105,MATCH(D126,Trips!$A$6:$A$105,0)),""))</x:f>
      </x:c>
      <x:c r="D126" s="107"/>
      <x:c r="E126" s="107"/>
      <x:c r="F126" s="90" t="str">
        <x:f>IF(E126="","",IF(COUNTIFS(Counters!$A$6:$A$105,E126)=1,INDEX(Counters!$B$6:$B$105,MATCH(E126,Counters!$A$6:$A$105,0)),""))</x:f>
      </x:c>
      <x:c r="G126" s="107"/>
      <x:c r="H126" s="98" t="str">
        <x:f>IF(C126="","",IF(COUNTIFS('Route List'!$F$6:$F$205,C126)=1,IF(COUNTIFS('Route List'!$F$6:$F$205,C126,'Route List'!$G$6:$G$205,"&lt;&gt;")=1,INDEX('Route List'!$G$6:$G$205,MATCH(C126,'Route List'!$F$6:$F$205,0)),"Enter route fare"),"Enter route fare"))</x:f>
      </x:c>
      <x:c r="I126" s="98" t="str">
        <x:f>IF(F126="","",IF(F126="Own",0,50))</x:f>
      </x:c>
      <x:c r="J126" s="98" t="str">
        <x:f>IF(OR(D126="",E126=""),"",IF(AND(ISNUMBER(G126),ISNUMBER(H126)),ROUND(G126*H126,2),""))</x:f>
      </x:c>
      <x:c r="K126" s="98" t="str">
        <x:f>IF(OR(D126="",E126=""),"",IF(AND(ISNUMBER(G126),ISNUMBER(I126)),ROUND(G126*I126,2),""))</x:f>
      </x:c>
      <x:c r="L126" s="98" t="str">
        <x:f>IF(OR(D126="",E126=""),"",IF(AND(ISNUMBER(J126),ISNUMBER(K126)),J126-K126,""))</x:f>
      </x:c>
      <x:c r="M126" s="114"/>
      <x:c r="N126" s="98" t="str">
        <x:f>IF(OR(D126="",E126=""),"",IF(COUNTIFS($D$6:D126,D126,$E$6:E126,E126)=1,MAX(SUMIFS($L$6:$L$505,$D$6:$D$505,D126,$E$6:$E$505,E126)-SUMIFS($M$6:$M$505,$D$6:$D$505,D126,$E$6:$E$505,E126),0),""))</x:f>
      </x:c>
    </x:row>
    <x:row r="127" ht="28" customHeight="1">
      <x:c r="A127" s="113" t="str">
        <x:f>IF(D127="","",IF(COUNTIFS(Trips!$A$6:$A$105,D127)=1,INDEX(Trips!$C$6:$C$105,MATCH(D127,Trips!$A$6:$A$105,0)),""))</x:f>
      </x:c>
      <x:c r="B127" s="90" t="str">
        <x:f>IF(D127="","",IF(COUNTIFS(Trips!$A$6:$A$105,D127)=1,INDEX(Trips!$B$6:$B$105,MATCH(D127,Trips!$A$6:$A$105,0)),""))</x:f>
      </x:c>
      <x:c r="C127" s="90" t="str">
        <x:f>IF(D127="","",IF(COUNTIFS(Trips!$A$6:$A$105,D127)=1,INDEX(Trips!$D$6:$D$105,MATCH(D127,Trips!$A$6:$A$105,0)),""))</x:f>
      </x:c>
      <x:c r="D127" s="107"/>
      <x:c r="E127" s="107"/>
      <x:c r="F127" s="90" t="str">
        <x:f>IF(E127="","",IF(COUNTIFS(Counters!$A$6:$A$105,E127)=1,INDEX(Counters!$B$6:$B$105,MATCH(E127,Counters!$A$6:$A$105,0)),""))</x:f>
      </x:c>
      <x:c r="G127" s="107"/>
      <x:c r="H127" s="98" t="str">
        <x:f>IF(C127="","",IF(COUNTIFS('Route List'!$F$6:$F$205,C127)=1,IF(COUNTIFS('Route List'!$F$6:$F$205,C127,'Route List'!$G$6:$G$205,"&lt;&gt;")=1,INDEX('Route List'!$G$6:$G$205,MATCH(C127,'Route List'!$F$6:$F$205,0)),"Enter route fare"),"Enter route fare"))</x:f>
      </x:c>
      <x:c r="I127" s="98" t="str">
        <x:f>IF(F127="","",IF(F127="Own",0,50))</x:f>
      </x:c>
      <x:c r="J127" s="98" t="str">
        <x:f>IF(OR(D127="",E127=""),"",IF(AND(ISNUMBER(G127),ISNUMBER(H127)),ROUND(G127*H127,2),""))</x:f>
      </x:c>
      <x:c r="K127" s="98" t="str">
        <x:f>IF(OR(D127="",E127=""),"",IF(AND(ISNUMBER(G127),ISNUMBER(I127)),ROUND(G127*I127,2),""))</x:f>
      </x:c>
      <x:c r="L127" s="98" t="str">
        <x:f>IF(OR(D127="",E127=""),"",IF(AND(ISNUMBER(J127),ISNUMBER(K127)),J127-K127,""))</x:f>
      </x:c>
      <x:c r="M127" s="114"/>
      <x:c r="N127" s="98" t="str">
        <x:f>IF(OR(D127="",E127=""),"",IF(COUNTIFS($D$6:D127,D127,$E$6:E127,E127)=1,MAX(SUMIFS($L$6:$L$505,$D$6:$D$505,D127,$E$6:$E$505,E127)-SUMIFS($M$6:$M$505,$D$6:$D$505,D127,$E$6:$E$505,E127),0),""))</x:f>
      </x:c>
    </x:row>
    <x:row r="128" ht="28" customHeight="1">
      <x:c r="A128" s="113" t="str">
        <x:f>IF(D128="","",IF(COUNTIFS(Trips!$A$6:$A$105,D128)=1,INDEX(Trips!$C$6:$C$105,MATCH(D128,Trips!$A$6:$A$105,0)),""))</x:f>
      </x:c>
      <x:c r="B128" s="90" t="str">
        <x:f>IF(D128="","",IF(COUNTIFS(Trips!$A$6:$A$105,D128)=1,INDEX(Trips!$B$6:$B$105,MATCH(D128,Trips!$A$6:$A$105,0)),""))</x:f>
      </x:c>
      <x:c r="C128" s="90" t="str">
        <x:f>IF(D128="","",IF(COUNTIFS(Trips!$A$6:$A$105,D128)=1,INDEX(Trips!$D$6:$D$105,MATCH(D128,Trips!$A$6:$A$105,0)),""))</x:f>
      </x:c>
      <x:c r="D128" s="107"/>
      <x:c r="E128" s="107"/>
      <x:c r="F128" s="90" t="str">
        <x:f>IF(E128="","",IF(COUNTIFS(Counters!$A$6:$A$105,E128)=1,INDEX(Counters!$B$6:$B$105,MATCH(E128,Counters!$A$6:$A$105,0)),""))</x:f>
      </x:c>
      <x:c r="G128" s="107"/>
      <x:c r="H128" s="98" t="str">
        <x:f>IF(C128="","",IF(COUNTIFS('Route List'!$F$6:$F$205,C128)=1,IF(COUNTIFS('Route List'!$F$6:$F$205,C128,'Route List'!$G$6:$G$205,"&lt;&gt;")=1,INDEX('Route List'!$G$6:$G$205,MATCH(C128,'Route List'!$F$6:$F$205,0)),"Enter route fare"),"Enter route fare"))</x:f>
      </x:c>
      <x:c r="I128" s="98" t="str">
        <x:f>IF(F128="","",IF(F128="Own",0,50))</x:f>
      </x:c>
      <x:c r="J128" s="98" t="str">
        <x:f>IF(OR(D128="",E128=""),"",IF(AND(ISNUMBER(G128),ISNUMBER(H128)),ROUND(G128*H128,2),""))</x:f>
      </x:c>
      <x:c r="K128" s="98" t="str">
        <x:f>IF(OR(D128="",E128=""),"",IF(AND(ISNUMBER(G128),ISNUMBER(I128)),ROUND(G128*I128,2),""))</x:f>
      </x:c>
      <x:c r="L128" s="98" t="str">
        <x:f>IF(OR(D128="",E128=""),"",IF(AND(ISNUMBER(J128),ISNUMBER(K128)),J128-K128,""))</x:f>
      </x:c>
      <x:c r="M128" s="114"/>
      <x:c r="N128" s="98" t="str">
        <x:f>IF(OR(D128="",E128=""),"",IF(COUNTIFS($D$6:D128,D128,$E$6:E128,E128)=1,MAX(SUMIFS($L$6:$L$505,$D$6:$D$505,D128,$E$6:$E$505,E128)-SUMIFS($M$6:$M$505,$D$6:$D$505,D128,$E$6:$E$505,E128),0),""))</x:f>
      </x:c>
    </x:row>
    <x:row r="129" ht="28" customHeight="1">
      <x:c r="A129" s="113" t="str">
        <x:f>IF(D129="","",IF(COUNTIFS(Trips!$A$6:$A$105,D129)=1,INDEX(Trips!$C$6:$C$105,MATCH(D129,Trips!$A$6:$A$105,0)),""))</x:f>
      </x:c>
      <x:c r="B129" s="90" t="str">
        <x:f>IF(D129="","",IF(COUNTIFS(Trips!$A$6:$A$105,D129)=1,INDEX(Trips!$B$6:$B$105,MATCH(D129,Trips!$A$6:$A$105,0)),""))</x:f>
      </x:c>
      <x:c r="C129" s="90" t="str">
        <x:f>IF(D129="","",IF(COUNTIFS(Trips!$A$6:$A$105,D129)=1,INDEX(Trips!$D$6:$D$105,MATCH(D129,Trips!$A$6:$A$105,0)),""))</x:f>
      </x:c>
      <x:c r="D129" s="107"/>
      <x:c r="E129" s="107"/>
      <x:c r="F129" s="90" t="str">
        <x:f>IF(E129="","",IF(COUNTIFS(Counters!$A$6:$A$105,E129)=1,INDEX(Counters!$B$6:$B$105,MATCH(E129,Counters!$A$6:$A$105,0)),""))</x:f>
      </x:c>
      <x:c r="G129" s="107"/>
      <x:c r="H129" s="98" t="str">
        <x:f>IF(C129="","",IF(COUNTIFS('Route List'!$F$6:$F$205,C129)=1,IF(COUNTIFS('Route List'!$F$6:$F$205,C129,'Route List'!$G$6:$G$205,"&lt;&gt;")=1,INDEX('Route List'!$G$6:$G$205,MATCH(C129,'Route List'!$F$6:$F$205,0)),"Enter route fare"),"Enter route fare"))</x:f>
      </x:c>
      <x:c r="I129" s="98" t="str">
        <x:f>IF(F129="","",IF(F129="Own",0,50))</x:f>
      </x:c>
      <x:c r="J129" s="98" t="str">
        <x:f>IF(OR(D129="",E129=""),"",IF(AND(ISNUMBER(G129),ISNUMBER(H129)),ROUND(G129*H129,2),""))</x:f>
      </x:c>
      <x:c r="K129" s="98" t="str">
        <x:f>IF(OR(D129="",E129=""),"",IF(AND(ISNUMBER(G129),ISNUMBER(I129)),ROUND(G129*I129,2),""))</x:f>
      </x:c>
      <x:c r="L129" s="98" t="str">
        <x:f>IF(OR(D129="",E129=""),"",IF(AND(ISNUMBER(J129),ISNUMBER(K129)),J129-K129,""))</x:f>
      </x:c>
      <x:c r="M129" s="114"/>
      <x:c r="N129" s="98" t="str">
        <x:f>IF(OR(D129="",E129=""),"",IF(COUNTIFS($D$6:D129,D129,$E$6:E129,E129)=1,MAX(SUMIFS($L$6:$L$505,$D$6:$D$505,D129,$E$6:$E$505,E129)-SUMIFS($M$6:$M$505,$D$6:$D$505,D129,$E$6:$E$505,E129),0),""))</x:f>
      </x:c>
    </x:row>
    <x:row r="130" ht="28" customHeight="1">
      <x:c r="A130" s="113" t="str">
        <x:f>IF(D130="","",IF(COUNTIFS(Trips!$A$6:$A$105,D130)=1,INDEX(Trips!$C$6:$C$105,MATCH(D130,Trips!$A$6:$A$105,0)),""))</x:f>
      </x:c>
      <x:c r="B130" s="90" t="str">
        <x:f>IF(D130="","",IF(COUNTIFS(Trips!$A$6:$A$105,D130)=1,INDEX(Trips!$B$6:$B$105,MATCH(D130,Trips!$A$6:$A$105,0)),""))</x:f>
      </x:c>
      <x:c r="C130" s="90" t="str">
        <x:f>IF(D130="","",IF(COUNTIFS(Trips!$A$6:$A$105,D130)=1,INDEX(Trips!$D$6:$D$105,MATCH(D130,Trips!$A$6:$A$105,0)),""))</x:f>
      </x:c>
      <x:c r="D130" s="107"/>
      <x:c r="E130" s="107"/>
      <x:c r="F130" s="90" t="str">
        <x:f>IF(E130="","",IF(COUNTIFS(Counters!$A$6:$A$105,E130)=1,INDEX(Counters!$B$6:$B$105,MATCH(E130,Counters!$A$6:$A$105,0)),""))</x:f>
      </x:c>
      <x:c r="G130" s="107"/>
      <x:c r="H130" s="98" t="str">
        <x:f>IF(C130="","",IF(COUNTIFS('Route List'!$F$6:$F$205,C130)=1,IF(COUNTIFS('Route List'!$F$6:$F$205,C130,'Route List'!$G$6:$G$205,"&lt;&gt;")=1,INDEX('Route List'!$G$6:$G$205,MATCH(C130,'Route List'!$F$6:$F$205,0)),"Enter route fare"),"Enter route fare"))</x:f>
      </x:c>
      <x:c r="I130" s="98" t="str">
        <x:f>IF(F130="","",IF(F130="Own",0,50))</x:f>
      </x:c>
      <x:c r="J130" s="98" t="str">
        <x:f>IF(OR(D130="",E130=""),"",IF(AND(ISNUMBER(G130),ISNUMBER(H130)),ROUND(G130*H130,2),""))</x:f>
      </x:c>
      <x:c r="K130" s="98" t="str">
        <x:f>IF(OR(D130="",E130=""),"",IF(AND(ISNUMBER(G130),ISNUMBER(I130)),ROUND(G130*I130,2),""))</x:f>
      </x:c>
      <x:c r="L130" s="98" t="str">
        <x:f>IF(OR(D130="",E130=""),"",IF(AND(ISNUMBER(J130),ISNUMBER(K130)),J130-K130,""))</x:f>
      </x:c>
      <x:c r="M130" s="114"/>
      <x:c r="N130" s="98" t="str">
        <x:f>IF(OR(D130="",E130=""),"",IF(COUNTIFS($D$6:D130,D130,$E$6:E130,E130)=1,MAX(SUMIFS($L$6:$L$505,$D$6:$D$505,D130,$E$6:$E$505,E130)-SUMIFS($M$6:$M$505,$D$6:$D$505,D130,$E$6:$E$505,E130),0),""))</x:f>
      </x:c>
    </x:row>
    <x:row r="131" ht="28" customHeight="1">
      <x:c r="A131" s="113" t="str">
        <x:f>IF(D131="","",IF(COUNTIFS(Trips!$A$6:$A$105,D131)=1,INDEX(Trips!$C$6:$C$105,MATCH(D131,Trips!$A$6:$A$105,0)),""))</x:f>
      </x:c>
      <x:c r="B131" s="90" t="str">
        <x:f>IF(D131="","",IF(COUNTIFS(Trips!$A$6:$A$105,D131)=1,INDEX(Trips!$B$6:$B$105,MATCH(D131,Trips!$A$6:$A$105,0)),""))</x:f>
      </x:c>
      <x:c r="C131" s="90" t="str">
        <x:f>IF(D131="","",IF(COUNTIFS(Trips!$A$6:$A$105,D131)=1,INDEX(Trips!$D$6:$D$105,MATCH(D131,Trips!$A$6:$A$105,0)),""))</x:f>
      </x:c>
      <x:c r="D131" s="107"/>
      <x:c r="E131" s="107"/>
      <x:c r="F131" s="90" t="str">
        <x:f>IF(E131="","",IF(COUNTIFS(Counters!$A$6:$A$105,E131)=1,INDEX(Counters!$B$6:$B$105,MATCH(E131,Counters!$A$6:$A$105,0)),""))</x:f>
      </x:c>
      <x:c r="G131" s="107"/>
      <x:c r="H131" s="98" t="str">
        <x:f>IF(C131="","",IF(COUNTIFS('Route List'!$F$6:$F$205,C131)=1,IF(COUNTIFS('Route List'!$F$6:$F$205,C131,'Route List'!$G$6:$G$205,"&lt;&gt;")=1,INDEX('Route List'!$G$6:$G$205,MATCH(C131,'Route List'!$F$6:$F$205,0)),"Enter route fare"),"Enter route fare"))</x:f>
      </x:c>
      <x:c r="I131" s="98" t="str">
        <x:f>IF(F131="","",IF(F131="Own",0,50))</x:f>
      </x:c>
      <x:c r="J131" s="98" t="str">
        <x:f>IF(OR(D131="",E131=""),"",IF(AND(ISNUMBER(G131),ISNUMBER(H131)),ROUND(G131*H131,2),""))</x:f>
      </x:c>
      <x:c r="K131" s="98" t="str">
        <x:f>IF(OR(D131="",E131=""),"",IF(AND(ISNUMBER(G131),ISNUMBER(I131)),ROUND(G131*I131,2),""))</x:f>
      </x:c>
      <x:c r="L131" s="98" t="str">
        <x:f>IF(OR(D131="",E131=""),"",IF(AND(ISNUMBER(J131),ISNUMBER(K131)),J131-K131,""))</x:f>
      </x:c>
      <x:c r="M131" s="114"/>
      <x:c r="N131" s="98" t="str">
        <x:f>IF(OR(D131="",E131=""),"",IF(COUNTIFS($D$6:D131,D131,$E$6:E131,E131)=1,MAX(SUMIFS($L$6:$L$505,$D$6:$D$505,D131,$E$6:$E$505,E131)-SUMIFS($M$6:$M$505,$D$6:$D$505,D131,$E$6:$E$505,E131),0),""))</x:f>
      </x:c>
    </x:row>
    <x:row r="132" ht="28" customHeight="1">
      <x:c r="A132" s="113" t="str">
        <x:f>IF(D132="","",IF(COUNTIFS(Trips!$A$6:$A$105,D132)=1,INDEX(Trips!$C$6:$C$105,MATCH(D132,Trips!$A$6:$A$105,0)),""))</x:f>
      </x:c>
      <x:c r="B132" s="90" t="str">
        <x:f>IF(D132="","",IF(COUNTIFS(Trips!$A$6:$A$105,D132)=1,INDEX(Trips!$B$6:$B$105,MATCH(D132,Trips!$A$6:$A$105,0)),""))</x:f>
      </x:c>
      <x:c r="C132" s="90" t="str">
        <x:f>IF(D132="","",IF(COUNTIFS(Trips!$A$6:$A$105,D132)=1,INDEX(Trips!$D$6:$D$105,MATCH(D132,Trips!$A$6:$A$105,0)),""))</x:f>
      </x:c>
      <x:c r="D132" s="107"/>
      <x:c r="E132" s="107"/>
      <x:c r="F132" s="90" t="str">
        <x:f>IF(E132="","",IF(COUNTIFS(Counters!$A$6:$A$105,E132)=1,INDEX(Counters!$B$6:$B$105,MATCH(E132,Counters!$A$6:$A$105,0)),""))</x:f>
      </x:c>
      <x:c r="G132" s="107"/>
      <x:c r="H132" s="98" t="str">
        <x:f>IF(C132="","",IF(COUNTIFS('Route List'!$F$6:$F$205,C132)=1,IF(COUNTIFS('Route List'!$F$6:$F$205,C132,'Route List'!$G$6:$G$205,"&lt;&gt;")=1,INDEX('Route List'!$G$6:$G$205,MATCH(C132,'Route List'!$F$6:$F$205,0)),"Enter route fare"),"Enter route fare"))</x:f>
      </x:c>
      <x:c r="I132" s="98" t="str">
        <x:f>IF(F132="","",IF(F132="Own",0,50))</x:f>
      </x:c>
      <x:c r="J132" s="98" t="str">
        <x:f>IF(OR(D132="",E132=""),"",IF(AND(ISNUMBER(G132),ISNUMBER(H132)),ROUND(G132*H132,2),""))</x:f>
      </x:c>
      <x:c r="K132" s="98" t="str">
        <x:f>IF(OR(D132="",E132=""),"",IF(AND(ISNUMBER(G132),ISNUMBER(I132)),ROUND(G132*I132,2),""))</x:f>
      </x:c>
      <x:c r="L132" s="98" t="str">
        <x:f>IF(OR(D132="",E132=""),"",IF(AND(ISNUMBER(J132),ISNUMBER(K132)),J132-K132,""))</x:f>
      </x:c>
      <x:c r="M132" s="114"/>
      <x:c r="N132" s="98" t="str">
        <x:f>IF(OR(D132="",E132=""),"",IF(COUNTIFS($D$6:D132,D132,$E$6:E132,E132)=1,MAX(SUMIFS($L$6:$L$505,$D$6:$D$505,D132,$E$6:$E$505,E132)-SUMIFS($M$6:$M$505,$D$6:$D$505,D132,$E$6:$E$505,E132),0),""))</x:f>
      </x:c>
    </x:row>
    <x:row r="133" ht="28" customHeight="1">
      <x:c r="A133" s="113" t="str">
        <x:f>IF(D133="","",IF(COUNTIFS(Trips!$A$6:$A$105,D133)=1,INDEX(Trips!$C$6:$C$105,MATCH(D133,Trips!$A$6:$A$105,0)),""))</x:f>
      </x:c>
      <x:c r="B133" s="90" t="str">
        <x:f>IF(D133="","",IF(COUNTIFS(Trips!$A$6:$A$105,D133)=1,INDEX(Trips!$B$6:$B$105,MATCH(D133,Trips!$A$6:$A$105,0)),""))</x:f>
      </x:c>
      <x:c r="C133" s="90" t="str">
        <x:f>IF(D133="","",IF(COUNTIFS(Trips!$A$6:$A$105,D133)=1,INDEX(Trips!$D$6:$D$105,MATCH(D133,Trips!$A$6:$A$105,0)),""))</x:f>
      </x:c>
      <x:c r="D133" s="107"/>
      <x:c r="E133" s="107"/>
      <x:c r="F133" s="90" t="str">
        <x:f>IF(E133="","",IF(COUNTIFS(Counters!$A$6:$A$105,E133)=1,INDEX(Counters!$B$6:$B$105,MATCH(E133,Counters!$A$6:$A$105,0)),""))</x:f>
      </x:c>
      <x:c r="G133" s="107"/>
      <x:c r="H133" s="98" t="str">
        <x:f>IF(C133="","",IF(COUNTIFS('Route List'!$F$6:$F$205,C133)=1,IF(COUNTIFS('Route List'!$F$6:$F$205,C133,'Route List'!$G$6:$G$205,"&lt;&gt;")=1,INDEX('Route List'!$G$6:$G$205,MATCH(C133,'Route List'!$F$6:$F$205,0)),"Enter route fare"),"Enter route fare"))</x:f>
      </x:c>
      <x:c r="I133" s="98" t="str">
        <x:f>IF(F133="","",IF(F133="Own",0,50))</x:f>
      </x:c>
      <x:c r="J133" s="98" t="str">
        <x:f>IF(OR(D133="",E133=""),"",IF(AND(ISNUMBER(G133),ISNUMBER(H133)),ROUND(G133*H133,2),""))</x:f>
      </x:c>
      <x:c r="K133" s="98" t="str">
        <x:f>IF(OR(D133="",E133=""),"",IF(AND(ISNUMBER(G133),ISNUMBER(I133)),ROUND(G133*I133,2),""))</x:f>
      </x:c>
      <x:c r="L133" s="98" t="str">
        <x:f>IF(OR(D133="",E133=""),"",IF(AND(ISNUMBER(J133),ISNUMBER(K133)),J133-K133,""))</x:f>
      </x:c>
      <x:c r="M133" s="114"/>
      <x:c r="N133" s="98" t="str">
        <x:f>IF(OR(D133="",E133=""),"",IF(COUNTIFS($D$6:D133,D133,$E$6:E133,E133)=1,MAX(SUMIFS($L$6:$L$505,$D$6:$D$505,D133,$E$6:$E$505,E133)-SUMIFS($M$6:$M$505,$D$6:$D$505,D133,$E$6:$E$505,E133),0),""))</x:f>
      </x:c>
    </x:row>
    <x:row r="134" ht="28" customHeight="1">
      <x:c r="A134" s="113" t="str">
        <x:f>IF(D134="","",IF(COUNTIFS(Trips!$A$6:$A$105,D134)=1,INDEX(Trips!$C$6:$C$105,MATCH(D134,Trips!$A$6:$A$105,0)),""))</x:f>
      </x:c>
      <x:c r="B134" s="90" t="str">
        <x:f>IF(D134="","",IF(COUNTIFS(Trips!$A$6:$A$105,D134)=1,INDEX(Trips!$B$6:$B$105,MATCH(D134,Trips!$A$6:$A$105,0)),""))</x:f>
      </x:c>
      <x:c r="C134" s="90" t="str">
        <x:f>IF(D134="","",IF(COUNTIFS(Trips!$A$6:$A$105,D134)=1,INDEX(Trips!$D$6:$D$105,MATCH(D134,Trips!$A$6:$A$105,0)),""))</x:f>
      </x:c>
      <x:c r="D134" s="107"/>
      <x:c r="E134" s="107"/>
      <x:c r="F134" s="90" t="str">
        <x:f>IF(E134="","",IF(COUNTIFS(Counters!$A$6:$A$105,E134)=1,INDEX(Counters!$B$6:$B$105,MATCH(E134,Counters!$A$6:$A$105,0)),""))</x:f>
      </x:c>
      <x:c r="G134" s="107"/>
      <x:c r="H134" s="98" t="str">
        <x:f>IF(C134="","",IF(COUNTIFS('Route List'!$F$6:$F$205,C134)=1,IF(COUNTIFS('Route List'!$F$6:$F$205,C134,'Route List'!$G$6:$G$205,"&lt;&gt;")=1,INDEX('Route List'!$G$6:$G$205,MATCH(C134,'Route List'!$F$6:$F$205,0)),"Enter route fare"),"Enter route fare"))</x:f>
      </x:c>
      <x:c r="I134" s="98" t="str">
        <x:f>IF(F134="","",IF(F134="Own",0,50))</x:f>
      </x:c>
      <x:c r="J134" s="98" t="str">
        <x:f>IF(OR(D134="",E134=""),"",IF(AND(ISNUMBER(G134),ISNUMBER(H134)),ROUND(G134*H134,2),""))</x:f>
      </x:c>
      <x:c r="K134" s="98" t="str">
        <x:f>IF(OR(D134="",E134=""),"",IF(AND(ISNUMBER(G134),ISNUMBER(I134)),ROUND(G134*I134,2),""))</x:f>
      </x:c>
      <x:c r="L134" s="98" t="str">
        <x:f>IF(OR(D134="",E134=""),"",IF(AND(ISNUMBER(J134),ISNUMBER(K134)),J134-K134,""))</x:f>
      </x:c>
      <x:c r="M134" s="114"/>
      <x:c r="N134" s="98" t="str">
        <x:f>IF(OR(D134="",E134=""),"",IF(COUNTIFS($D$6:D134,D134,$E$6:E134,E134)=1,MAX(SUMIFS($L$6:$L$505,$D$6:$D$505,D134,$E$6:$E$505,E134)-SUMIFS($M$6:$M$505,$D$6:$D$505,D134,$E$6:$E$505,E134),0),""))</x:f>
      </x:c>
    </x:row>
    <x:row r="135" ht="28" customHeight="1">
      <x:c r="A135" s="113" t="str">
        <x:f>IF(D135="","",IF(COUNTIFS(Trips!$A$6:$A$105,D135)=1,INDEX(Trips!$C$6:$C$105,MATCH(D135,Trips!$A$6:$A$105,0)),""))</x:f>
      </x:c>
      <x:c r="B135" s="90" t="str">
        <x:f>IF(D135="","",IF(COUNTIFS(Trips!$A$6:$A$105,D135)=1,INDEX(Trips!$B$6:$B$105,MATCH(D135,Trips!$A$6:$A$105,0)),""))</x:f>
      </x:c>
      <x:c r="C135" s="90" t="str">
        <x:f>IF(D135="","",IF(COUNTIFS(Trips!$A$6:$A$105,D135)=1,INDEX(Trips!$D$6:$D$105,MATCH(D135,Trips!$A$6:$A$105,0)),""))</x:f>
      </x:c>
      <x:c r="D135" s="107"/>
      <x:c r="E135" s="107"/>
      <x:c r="F135" s="90" t="str">
        <x:f>IF(E135="","",IF(COUNTIFS(Counters!$A$6:$A$105,E135)=1,INDEX(Counters!$B$6:$B$105,MATCH(E135,Counters!$A$6:$A$105,0)),""))</x:f>
      </x:c>
      <x:c r="G135" s="107"/>
      <x:c r="H135" s="98" t="str">
        <x:f>IF(C135="","",IF(COUNTIFS('Route List'!$F$6:$F$205,C135)=1,IF(COUNTIFS('Route List'!$F$6:$F$205,C135,'Route List'!$G$6:$G$205,"&lt;&gt;")=1,INDEX('Route List'!$G$6:$G$205,MATCH(C135,'Route List'!$F$6:$F$205,0)),"Enter route fare"),"Enter route fare"))</x:f>
      </x:c>
      <x:c r="I135" s="98" t="str">
        <x:f>IF(F135="","",IF(F135="Own",0,50))</x:f>
      </x:c>
      <x:c r="J135" s="98" t="str">
        <x:f>IF(OR(D135="",E135=""),"",IF(AND(ISNUMBER(G135),ISNUMBER(H135)),ROUND(G135*H135,2),""))</x:f>
      </x:c>
      <x:c r="K135" s="98" t="str">
        <x:f>IF(OR(D135="",E135=""),"",IF(AND(ISNUMBER(G135),ISNUMBER(I135)),ROUND(G135*I135,2),""))</x:f>
      </x:c>
      <x:c r="L135" s="98" t="str">
        <x:f>IF(OR(D135="",E135=""),"",IF(AND(ISNUMBER(J135),ISNUMBER(K135)),J135-K135,""))</x:f>
      </x:c>
      <x:c r="M135" s="114"/>
      <x:c r="N135" s="98" t="str">
        <x:f>IF(OR(D135="",E135=""),"",IF(COUNTIFS($D$6:D135,D135,$E$6:E135,E135)=1,MAX(SUMIFS($L$6:$L$505,$D$6:$D$505,D135,$E$6:$E$505,E135)-SUMIFS($M$6:$M$505,$D$6:$D$505,D135,$E$6:$E$505,E135),0),""))</x:f>
      </x:c>
    </x:row>
    <x:row r="136" ht="28" customHeight="1">
      <x:c r="A136" s="113" t="str">
        <x:f>IF(D136="","",IF(COUNTIFS(Trips!$A$6:$A$105,D136)=1,INDEX(Trips!$C$6:$C$105,MATCH(D136,Trips!$A$6:$A$105,0)),""))</x:f>
      </x:c>
      <x:c r="B136" s="90" t="str">
        <x:f>IF(D136="","",IF(COUNTIFS(Trips!$A$6:$A$105,D136)=1,INDEX(Trips!$B$6:$B$105,MATCH(D136,Trips!$A$6:$A$105,0)),""))</x:f>
      </x:c>
      <x:c r="C136" s="90" t="str">
        <x:f>IF(D136="","",IF(COUNTIFS(Trips!$A$6:$A$105,D136)=1,INDEX(Trips!$D$6:$D$105,MATCH(D136,Trips!$A$6:$A$105,0)),""))</x:f>
      </x:c>
      <x:c r="D136" s="107"/>
      <x:c r="E136" s="107"/>
      <x:c r="F136" s="90" t="str">
        <x:f>IF(E136="","",IF(COUNTIFS(Counters!$A$6:$A$105,E136)=1,INDEX(Counters!$B$6:$B$105,MATCH(E136,Counters!$A$6:$A$105,0)),""))</x:f>
      </x:c>
      <x:c r="G136" s="107"/>
      <x:c r="H136" s="98" t="str">
        <x:f>IF(C136="","",IF(COUNTIFS('Route List'!$F$6:$F$205,C136)=1,IF(COUNTIFS('Route List'!$F$6:$F$205,C136,'Route List'!$G$6:$G$205,"&lt;&gt;")=1,INDEX('Route List'!$G$6:$G$205,MATCH(C136,'Route List'!$F$6:$F$205,0)),"Enter route fare"),"Enter route fare"))</x:f>
      </x:c>
      <x:c r="I136" s="98" t="str">
        <x:f>IF(F136="","",IF(F136="Own",0,50))</x:f>
      </x:c>
      <x:c r="J136" s="98" t="str">
        <x:f>IF(OR(D136="",E136=""),"",IF(AND(ISNUMBER(G136),ISNUMBER(H136)),ROUND(G136*H136,2),""))</x:f>
      </x:c>
      <x:c r="K136" s="98" t="str">
        <x:f>IF(OR(D136="",E136=""),"",IF(AND(ISNUMBER(G136),ISNUMBER(I136)),ROUND(G136*I136,2),""))</x:f>
      </x:c>
      <x:c r="L136" s="98" t="str">
        <x:f>IF(OR(D136="",E136=""),"",IF(AND(ISNUMBER(J136),ISNUMBER(K136)),J136-K136,""))</x:f>
      </x:c>
      <x:c r="M136" s="114"/>
      <x:c r="N136" s="98" t="str">
        <x:f>IF(OR(D136="",E136=""),"",IF(COUNTIFS($D$6:D136,D136,$E$6:E136,E136)=1,MAX(SUMIFS($L$6:$L$505,$D$6:$D$505,D136,$E$6:$E$505,E136)-SUMIFS($M$6:$M$505,$D$6:$D$505,D136,$E$6:$E$505,E136),0),""))</x:f>
      </x:c>
    </x:row>
    <x:row r="137" ht="28" customHeight="1">
      <x:c r="A137" s="113" t="str">
        <x:f>IF(D137="","",IF(COUNTIFS(Trips!$A$6:$A$105,D137)=1,INDEX(Trips!$C$6:$C$105,MATCH(D137,Trips!$A$6:$A$105,0)),""))</x:f>
      </x:c>
      <x:c r="B137" s="90" t="str">
        <x:f>IF(D137="","",IF(COUNTIFS(Trips!$A$6:$A$105,D137)=1,INDEX(Trips!$B$6:$B$105,MATCH(D137,Trips!$A$6:$A$105,0)),""))</x:f>
      </x:c>
      <x:c r="C137" s="90" t="str">
        <x:f>IF(D137="","",IF(COUNTIFS(Trips!$A$6:$A$105,D137)=1,INDEX(Trips!$D$6:$D$105,MATCH(D137,Trips!$A$6:$A$105,0)),""))</x:f>
      </x:c>
      <x:c r="D137" s="107"/>
      <x:c r="E137" s="107"/>
      <x:c r="F137" s="90" t="str">
        <x:f>IF(E137="","",IF(COUNTIFS(Counters!$A$6:$A$105,E137)=1,INDEX(Counters!$B$6:$B$105,MATCH(E137,Counters!$A$6:$A$105,0)),""))</x:f>
      </x:c>
      <x:c r="G137" s="107"/>
      <x:c r="H137" s="98" t="str">
        <x:f>IF(C137="","",IF(COUNTIFS('Route List'!$F$6:$F$205,C137)=1,IF(COUNTIFS('Route List'!$F$6:$F$205,C137,'Route List'!$G$6:$G$205,"&lt;&gt;")=1,INDEX('Route List'!$G$6:$G$205,MATCH(C137,'Route List'!$F$6:$F$205,0)),"Enter route fare"),"Enter route fare"))</x:f>
      </x:c>
      <x:c r="I137" s="98" t="str">
        <x:f>IF(F137="","",IF(F137="Own",0,50))</x:f>
      </x:c>
      <x:c r="J137" s="98" t="str">
        <x:f>IF(OR(D137="",E137=""),"",IF(AND(ISNUMBER(G137),ISNUMBER(H137)),ROUND(G137*H137,2),""))</x:f>
      </x:c>
      <x:c r="K137" s="98" t="str">
        <x:f>IF(OR(D137="",E137=""),"",IF(AND(ISNUMBER(G137),ISNUMBER(I137)),ROUND(G137*I137,2),""))</x:f>
      </x:c>
      <x:c r="L137" s="98" t="str">
        <x:f>IF(OR(D137="",E137=""),"",IF(AND(ISNUMBER(J137),ISNUMBER(K137)),J137-K137,""))</x:f>
      </x:c>
      <x:c r="M137" s="114"/>
      <x:c r="N137" s="98" t="str">
        <x:f>IF(OR(D137="",E137=""),"",IF(COUNTIFS($D$6:D137,D137,$E$6:E137,E137)=1,MAX(SUMIFS($L$6:$L$505,$D$6:$D$505,D137,$E$6:$E$505,E137)-SUMIFS($M$6:$M$505,$D$6:$D$505,D137,$E$6:$E$505,E137),0),""))</x:f>
      </x:c>
    </x:row>
    <x:row r="138" ht="28" customHeight="1">
      <x:c r="A138" s="113" t="str">
        <x:f>IF(D138="","",IF(COUNTIFS(Trips!$A$6:$A$105,D138)=1,INDEX(Trips!$C$6:$C$105,MATCH(D138,Trips!$A$6:$A$105,0)),""))</x:f>
      </x:c>
      <x:c r="B138" s="90" t="str">
        <x:f>IF(D138="","",IF(COUNTIFS(Trips!$A$6:$A$105,D138)=1,INDEX(Trips!$B$6:$B$105,MATCH(D138,Trips!$A$6:$A$105,0)),""))</x:f>
      </x:c>
      <x:c r="C138" s="90" t="str">
        <x:f>IF(D138="","",IF(COUNTIFS(Trips!$A$6:$A$105,D138)=1,INDEX(Trips!$D$6:$D$105,MATCH(D138,Trips!$A$6:$A$105,0)),""))</x:f>
      </x:c>
      <x:c r="D138" s="107"/>
      <x:c r="E138" s="107"/>
      <x:c r="F138" s="90" t="str">
        <x:f>IF(E138="","",IF(COUNTIFS(Counters!$A$6:$A$105,E138)=1,INDEX(Counters!$B$6:$B$105,MATCH(E138,Counters!$A$6:$A$105,0)),""))</x:f>
      </x:c>
      <x:c r="G138" s="107"/>
      <x:c r="H138" s="98" t="str">
        <x:f>IF(C138="","",IF(COUNTIFS('Route List'!$F$6:$F$205,C138)=1,IF(COUNTIFS('Route List'!$F$6:$F$205,C138,'Route List'!$G$6:$G$205,"&lt;&gt;")=1,INDEX('Route List'!$G$6:$G$205,MATCH(C138,'Route List'!$F$6:$F$205,0)),"Enter route fare"),"Enter route fare"))</x:f>
      </x:c>
      <x:c r="I138" s="98" t="str">
        <x:f>IF(F138="","",IF(F138="Own",0,50))</x:f>
      </x:c>
      <x:c r="J138" s="98" t="str">
        <x:f>IF(OR(D138="",E138=""),"",IF(AND(ISNUMBER(G138),ISNUMBER(H138)),ROUND(G138*H138,2),""))</x:f>
      </x:c>
      <x:c r="K138" s="98" t="str">
        <x:f>IF(OR(D138="",E138=""),"",IF(AND(ISNUMBER(G138),ISNUMBER(I138)),ROUND(G138*I138,2),""))</x:f>
      </x:c>
      <x:c r="L138" s="98" t="str">
        <x:f>IF(OR(D138="",E138=""),"",IF(AND(ISNUMBER(J138),ISNUMBER(K138)),J138-K138,""))</x:f>
      </x:c>
      <x:c r="M138" s="114"/>
      <x:c r="N138" s="98" t="str">
        <x:f>IF(OR(D138="",E138=""),"",IF(COUNTIFS($D$6:D138,D138,$E$6:E138,E138)=1,MAX(SUMIFS($L$6:$L$505,$D$6:$D$505,D138,$E$6:$E$505,E138)-SUMIFS($M$6:$M$505,$D$6:$D$505,D138,$E$6:$E$505,E138),0),""))</x:f>
      </x:c>
    </x:row>
    <x:row r="139" ht="28" customHeight="1">
      <x:c r="A139" s="113" t="str">
        <x:f>IF(D139="","",IF(COUNTIFS(Trips!$A$6:$A$105,D139)=1,INDEX(Trips!$C$6:$C$105,MATCH(D139,Trips!$A$6:$A$105,0)),""))</x:f>
      </x:c>
      <x:c r="B139" s="90" t="str">
        <x:f>IF(D139="","",IF(COUNTIFS(Trips!$A$6:$A$105,D139)=1,INDEX(Trips!$B$6:$B$105,MATCH(D139,Trips!$A$6:$A$105,0)),""))</x:f>
      </x:c>
      <x:c r="C139" s="90" t="str">
        <x:f>IF(D139="","",IF(COUNTIFS(Trips!$A$6:$A$105,D139)=1,INDEX(Trips!$D$6:$D$105,MATCH(D139,Trips!$A$6:$A$105,0)),""))</x:f>
      </x:c>
      <x:c r="D139" s="107"/>
      <x:c r="E139" s="107"/>
      <x:c r="F139" s="90" t="str">
        <x:f>IF(E139="","",IF(COUNTIFS(Counters!$A$6:$A$105,E139)=1,INDEX(Counters!$B$6:$B$105,MATCH(E139,Counters!$A$6:$A$105,0)),""))</x:f>
      </x:c>
      <x:c r="G139" s="107"/>
      <x:c r="H139" s="98" t="str">
        <x:f>IF(C139="","",IF(COUNTIFS('Route List'!$F$6:$F$205,C139)=1,IF(COUNTIFS('Route List'!$F$6:$F$205,C139,'Route List'!$G$6:$G$205,"&lt;&gt;")=1,INDEX('Route List'!$G$6:$G$205,MATCH(C139,'Route List'!$F$6:$F$205,0)),"Enter route fare"),"Enter route fare"))</x:f>
      </x:c>
      <x:c r="I139" s="98" t="str">
        <x:f>IF(F139="","",IF(F139="Own",0,50))</x:f>
      </x:c>
      <x:c r="J139" s="98" t="str">
        <x:f>IF(OR(D139="",E139=""),"",IF(AND(ISNUMBER(G139),ISNUMBER(H139)),ROUND(G139*H139,2),""))</x:f>
      </x:c>
      <x:c r="K139" s="98" t="str">
        <x:f>IF(OR(D139="",E139=""),"",IF(AND(ISNUMBER(G139),ISNUMBER(I139)),ROUND(G139*I139,2),""))</x:f>
      </x:c>
      <x:c r="L139" s="98" t="str">
        <x:f>IF(OR(D139="",E139=""),"",IF(AND(ISNUMBER(J139),ISNUMBER(K139)),J139-K139,""))</x:f>
      </x:c>
      <x:c r="M139" s="114"/>
      <x:c r="N139" s="98" t="str">
        <x:f>IF(OR(D139="",E139=""),"",IF(COUNTIFS($D$6:D139,D139,$E$6:E139,E139)=1,MAX(SUMIFS($L$6:$L$505,$D$6:$D$505,D139,$E$6:$E$505,E139)-SUMIFS($M$6:$M$505,$D$6:$D$505,D139,$E$6:$E$505,E139),0),""))</x:f>
      </x:c>
    </x:row>
    <x:row r="140" ht="28" customHeight="1">
      <x:c r="A140" s="113" t="str">
        <x:f>IF(D140="","",IF(COUNTIFS(Trips!$A$6:$A$105,D140)=1,INDEX(Trips!$C$6:$C$105,MATCH(D140,Trips!$A$6:$A$105,0)),""))</x:f>
      </x:c>
      <x:c r="B140" s="90" t="str">
        <x:f>IF(D140="","",IF(COUNTIFS(Trips!$A$6:$A$105,D140)=1,INDEX(Trips!$B$6:$B$105,MATCH(D140,Trips!$A$6:$A$105,0)),""))</x:f>
      </x:c>
      <x:c r="C140" s="90" t="str">
        <x:f>IF(D140="","",IF(COUNTIFS(Trips!$A$6:$A$105,D140)=1,INDEX(Trips!$D$6:$D$105,MATCH(D140,Trips!$A$6:$A$105,0)),""))</x:f>
      </x:c>
      <x:c r="D140" s="107"/>
      <x:c r="E140" s="107"/>
      <x:c r="F140" s="90" t="str">
        <x:f>IF(E140="","",IF(COUNTIFS(Counters!$A$6:$A$105,E140)=1,INDEX(Counters!$B$6:$B$105,MATCH(E140,Counters!$A$6:$A$105,0)),""))</x:f>
      </x:c>
      <x:c r="G140" s="107"/>
      <x:c r="H140" s="98" t="str">
        <x:f>IF(C140="","",IF(COUNTIFS('Route List'!$F$6:$F$205,C140)=1,IF(COUNTIFS('Route List'!$F$6:$F$205,C140,'Route List'!$G$6:$G$205,"&lt;&gt;")=1,INDEX('Route List'!$G$6:$G$205,MATCH(C140,'Route List'!$F$6:$F$205,0)),"Enter route fare"),"Enter route fare"))</x:f>
      </x:c>
      <x:c r="I140" s="98" t="str">
        <x:f>IF(F140="","",IF(F140="Own",0,50))</x:f>
      </x:c>
      <x:c r="J140" s="98" t="str">
        <x:f>IF(OR(D140="",E140=""),"",IF(AND(ISNUMBER(G140),ISNUMBER(H140)),ROUND(G140*H140,2),""))</x:f>
      </x:c>
      <x:c r="K140" s="98" t="str">
        <x:f>IF(OR(D140="",E140=""),"",IF(AND(ISNUMBER(G140),ISNUMBER(I140)),ROUND(G140*I140,2),""))</x:f>
      </x:c>
      <x:c r="L140" s="98" t="str">
        <x:f>IF(OR(D140="",E140=""),"",IF(AND(ISNUMBER(J140),ISNUMBER(K140)),J140-K140,""))</x:f>
      </x:c>
      <x:c r="M140" s="114"/>
      <x:c r="N140" s="98" t="str">
        <x:f>IF(OR(D140="",E140=""),"",IF(COUNTIFS($D$6:D140,D140,$E$6:E140,E140)=1,MAX(SUMIFS($L$6:$L$505,$D$6:$D$505,D140,$E$6:$E$505,E140)-SUMIFS($M$6:$M$505,$D$6:$D$505,D140,$E$6:$E$505,E140),0),""))</x:f>
      </x:c>
    </x:row>
    <x:row r="141" ht="28" customHeight="1">
      <x:c r="A141" s="113" t="str">
        <x:f>IF(D141="","",IF(COUNTIFS(Trips!$A$6:$A$105,D141)=1,INDEX(Trips!$C$6:$C$105,MATCH(D141,Trips!$A$6:$A$105,0)),""))</x:f>
      </x:c>
      <x:c r="B141" s="90" t="str">
        <x:f>IF(D141="","",IF(COUNTIFS(Trips!$A$6:$A$105,D141)=1,INDEX(Trips!$B$6:$B$105,MATCH(D141,Trips!$A$6:$A$105,0)),""))</x:f>
      </x:c>
      <x:c r="C141" s="90" t="str">
        <x:f>IF(D141="","",IF(COUNTIFS(Trips!$A$6:$A$105,D141)=1,INDEX(Trips!$D$6:$D$105,MATCH(D141,Trips!$A$6:$A$105,0)),""))</x:f>
      </x:c>
      <x:c r="D141" s="107"/>
      <x:c r="E141" s="107"/>
      <x:c r="F141" s="90" t="str">
        <x:f>IF(E141="","",IF(COUNTIFS(Counters!$A$6:$A$105,E141)=1,INDEX(Counters!$B$6:$B$105,MATCH(E141,Counters!$A$6:$A$105,0)),""))</x:f>
      </x:c>
      <x:c r="G141" s="107"/>
      <x:c r="H141" s="98" t="str">
        <x:f>IF(C141="","",IF(COUNTIFS('Route List'!$F$6:$F$205,C141)=1,IF(COUNTIFS('Route List'!$F$6:$F$205,C141,'Route List'!$G$6:$G$205,"&lt;&gt;")=1,INDEX('Route List'!$G$6:$G$205,MATCH(C141,'Route List'!$F$6:$F$205,0)),"Enter route fare"),"Enter route fare"))</x:f>
      </x:c>
      <x:c r="I141" s="98" t="str">
        <x:f>IF(F141="","",IF(F141="Own",0,50))</x:f>
      </x:c>
      <x:c r="J141" s="98" t="str">
        <x:f>IF(OR(D141="",E141=""),"",IF(AND(ISNUMBER(G141),ISNUMBER(H141)),ROUND(G141*H141,2),""))</x:f>
      </x:c>
      <x:c r="K141" s="98" t="str">
        <x:f>IF(OR(D141="",E141=""),"",IF(AND(ISNUMBER(G141),ISNUMBER(I141)),ROUND(G141*I141,2),""))</x:f>
      </x:c>
      <x:c r="L141" s="98" t="str">
        <x:f>IF(OR(D141="",E141=""),"",IF(AND(ISNUMBER(J141),ISNUMBER(K141)),J141-K141,""))</x:f>
      </x:c>
      <x:c r="M141" s="114"/>
      <x:c r="N141" s="98" t="str">
        <x:f>IF(OR(D141="",E141=""),"",IF(COUNTIFS($D$6:D141,D141,$E$6:E141,E141)=1,MAX(SUMIFS($L$6:$L$505,$D$6:$D$505,D141,$E$6:$E$505,E141)-SUMIFS($M$6:$M$505,$D$6:$D$505,D141,$E$6:$E$505,E141),0),""))</x:f>
      </x:c>
    </x:row>
    <x:row r="142" ht="28" customHeight="1">
      <x:c r="A142" s="113" t="str">
        <x:f>IF(D142="","",IF(COUNTIFS(Trips!$A$6:$A$105,D142)=1,INDEX(Trips!$C$6:$C$105,MATCH(D142,Trips!$A$6:$A$105,0)),""))</x:f>
      </x:c>
      <x:c r="B142" s="90" t="str">
        <x:f>IF(D142="","",IF(COUNTIFS(Trips!$A$6:$A$105,D142)=1,INDEX(Trips!$B$6:$B$105,MATCH(D142,Trips!$A$6:$A$105,0)),""))</x:f>
      </x:c>
      <x:c r="C142" s="90" t="str">
        <x:f>IF(D142="","",IF(COUNTIFS(Trips!$A$6:$A$105,D142)=1,INDEX(Trips!$D$6:$D$105,MATCH(D142,Trips!$A$6:$A$105,0)),""))</x:f>
      </x:c>
      <x:c r="D142" s="107"/>
      <x:c r="E142" s="107"/>
      <x:c r="F142" s="90" t="str">
        <x:f>IF(E142="","",IF(COUNTIFS(Counters!$A$6:$A$105,E142)=1,INDEX(Counters!$B$6:$B$105,MATCH(E142,Counters!$A$6:$A$105,0)),""))</x:f>
      </x:c>
      <x:c r="G142" s="107"/>
      <x:c r="H142" s="98" t="str">
        <x:f>IF(C142="","",IF(COUNTIFS('Route List'!$F$6:$F$205,C142)=1,IF(COUNTIFS('Route List'!$F$6:$F$205,C142,'Route List'!$G$6:$G$205,"&lt;&gt;")=1,INDEX('Route List'!$G$6:$G$205,MATCH(C142,'Route List'!$F$6:$F$205,0)),"Enter route fare"),"Enter route fare"))</x:f>
      </x:c>
      <x:c r="I142" s="98" t="str">
        <x:f>IF(F142="","",IF(F142="Own",0,50))</x:f>
      </x:c>
      <x:c r="J142" s="98" t="str">
        <x:f>IF(OR(D142="",E142=""),"",IF(AND(ISNUMBER(G142),ISNUMBER(H142)),ROUND(G142*H142,2),""))</x:f>
      </x:c>
      <x:c r="K142" s="98" t="str">
        <x:f>IF(OR(D142="",E142=""),"",IF(AND(ISNUMBER(G142),ISNUMBER(I142)),ROUND(G142*I142,2),""))</x:f>
      </x:c>
      <x:c r="L142" s="98" t="str">
        <x:f>IF(OR(D142="",E142=""),"",IF(AND(ISNUMBER(J142),ISNUMBER(K142)),J142-K142,""))</x:f>
      </x:c>
      <x:c r="M142" s="114"/>
      <x:c r="N142" s="98" t="str">
        <x:f>IF(OR(D142="",E142=""),"",IF(COUNTIFS($D$6:D142,D142,$E$6:E142,E142)=1,MAX(SUMIFS($L$6:$L$505,$D$6:$D$505,D142,$E$6:$E$505,E142)-SUMIFS($M$6:$M$505,$D$6:$D$505,D142,$E$6:$E$505,E142),0),""))</x:f>
      </x:c>
    </x:row>
    <x:row r="143" ht="28" customHeight="1">
      <x:c r="A143" s="113" t="str">
        <x:f>IF(D143="","",IF(COUNTIFS(Trips!$A$6:$A$105,D143)=1,INDEX(Trips!$C$6:$C$105,MATCH(D143,Trips!$A$6:$A$105,0)),""))</x:f>
      </x:c>
      <x:c r="B143" s="90" t="str">
        <x:f>IF(D143="","",IF(COUNTIFS(Trips!$A$6:$A$105,D143)=1,INDEX(Trips!$B$6:$B$105,MATCH(D143,Trips!$A$6:$A$105,0)),""))</x:f>
      </x:c>
      <x:c r="C143" s="90" t="str">
        <x:f>IF(D143="","",IF(COUNTIFS(Trips!$A$6:$A$105,D143)=1,INDEX(Trips!$D$6:$D$105,MATCH(D143,Trips!$A$6:$A$105,0)),""))</x:f>
      </x:c>
      <x:c r="D143" s="107"/>
      <x:c r="E143" s="107"/>
      <x:c r="F143" s="90" t="str">
        <x:f>IF(E143="","",IF(COUNTIFS(Counters!$A$6:$A$105,E143)=1,INDEX(Counters!$B$6:$B$105,MATCH(E143,Counters!$A$6:$A$105,0)),""))</x:f>
      </x:c>
      <x:c r="G143" s="107"/>
      <x:c r="H143" s="98" t="str">
        <x:f>IF(C143="","",IF(COUNTIFS('Route List'!$F$6:$F$205,C143)=1,IF(COUNTIFS('Route List'!$F$6:$F$205,C143,'Route List'!$G$6:$G$205,"&lt;&gt;")=1,INDEX('Route List'!$G$6:$G$205,MATCH(C143,'Route List'!$F$6:$F$205,0)),"Enter route fare"),"Enter route fare"))</x:f>
      </x:c>
      <x:c r="I143" s="98" t="str">
        <x:f>IF(F143="","",IF(F143="Own",0,50))</x:f>
      </x:c>
      <x:c r="J143" s="98" t="str">
        <x:f>IF(OR(D143="",E143=""),"",IF(AND(ISNUMBER(G143),ISNUMBER(H143)),ROUND(G143*H143,2),""))</x:f>
      </x:c>
      <x:c r="K143" s="98" t="str">
        <x:f>IF(OR(D143="",E143=""),"",IF(AND(ISNUMBER(G143),ISNUMBER(I143)),ROUND(G143*I143,2),""))</x:f>
      </x:c>
      <x:c r="L143" s="98" t="str">
        <x:f>IF(OR(D143="",E143=""),"",IF(AND(ISNUMBER(J143),ISNUMBER(K143)),J143-K143,""))</x:f>
      </x:c>
      <x:c r="M143" s="114"/>
      <x:c r="N143" s="98" t="str">
        <x:f>IF(OR(D143="",E143=""),"",IF(COUNTIFS($D$6:D143,D143,$E$6:E143,E143)=1,MAX(SUMIFS($L$6:$L$505,$D$6:$D$505,D143,$E$6:$E$505,E143)-SUMIFS($M$6:$M$505,$D$6:$D$505,D143,$E$6:$E$505,E143),0),""))</x:f>
      </x:c>
    </x:row>
    <x:row r="144" ht="28" customHeight="1">
      <x:c r="A144" s="113" t="str">
        <x:f>IF(D144="","",IF(COUNTIFS(Trips!$A$6:$A$105,D144)=1,INDEX(Trips!$C$6:$C$105,MATCH(D144,Trips!$A$6:$A$105,0)),""))</x:f>
      </x:c>
      <x:c r="B144" s="90" t="str">
        <x:f>IF(D144="","",IF(COUNTIFS(Trips!$A$6:$A$105,D144)=1,INDEX(Trips!$B$6:$B$105,MATCH(D144,Trips!$A$6:$A$105,0)),""))</x:f>
      </x:c>
      <x:c r="C144" s="90" t="str">
        <x:f>IF(D144="","",IF(COUNTIFS(Trips!$A$6:$A$105,D144)=1,INDEX(Trips!$D$6:$D$105,MATCH(D144,Trips!$A$6:$A$105,0)),""))</x:f>
      </x:c>
      <x:c r="D144" s="107"/>
      <x:c r="E144" s="107"/>
      <x:c r="F144" s="90" t="str">
        <x:f>IF(E144="","",IF(COUNTIFS(Counters!$A$6:$A$105,E144)=1,INDEX(Counters!$B$6:$B$105,MATCH(E144,Counters!$A$6:$A$105,0)),""))</x:f>
      </x:c>
      <x:c r="G144" s="107"/>
      <x:c r="H144" s="98" t="str">
        <x:f>IF(C144="","",IF(COUNTIFS('Route List'!$F$6:$F$205,C144)=1,IF(COUNTIFS('Route List'!$F$6:$F$205,C144,'Route List'!$G$6:$G$205,"&lt;&gt;")=1,INDEX('Route List'!$G$6:$G$205,MATCH(C144,'Route List'!$F$6:$F$205,0)),"Enter route fare"),"Enter route fare"))</x:f>
      </x:c>
      <x:c r="I144" s="98" t="str">
        <x:f>IF(F144="","",IF(F144="Own",0,50))</x:f>
      </x:c>
      <x:c r="J144" s="98" t="str">
        <x:f>IF(OR(D144="",E144=""),"",IF(AND(ISNUMBER(G144),ISNUMBER(H144)),ROUND(G144*H144,2),""))</x:f>
      </x:c>
      <x:c r="K144" s="98" t="str">
        <x:f>IF(OR(D144="",E144=""),"",IF(AND(ISNUMBER(G144),ISNUMBER(I144)),ROUND(G144*I144,2),""))</x:f>
      </x:c>
      <x:c r="L144" s="98" t="str">
        <x:f>IF(OR(D144="",E144=""),"",IF(AND(ISNUMBER(J144),ISNUMBER(K144)),J144-K144,""))</x:f>
      </x:c>
      <x:c r="M144" s="114"/>
      <x:c r="N144" s="98" t="str">
        <x:f>IF(OR(D144="",E144=""),"",IF(COUNTIFS($D$6:D144,D144,$E$6:E144,E144)=1,MAX(SUMIFS($L$6:$L$505,$D$6:$D$505,D144,$E$6:$E$505,E144)-SUMIFS($M$6:$M$505,$D$6:$D$505,D144,$E$6:$E$505,E144),0),""))</x:f>
      </x:c>
    </x:row>
    <x:row r="145" ht="28" customHeight="1">
      <x:c r="A145" s="113" t="str">
        <x:f>IF(D145="","",IF(COUNTIFS(Trips!$A$6:$A$105,D145)=1,INDEX(Trips!$C$6:$C$105,MATCH(D145,Trips!$A$6:$A$105,0)),""))</x:f>
      </x:c>
      <x:c r="B145" s="90" t="str">
        <x:f>IF(D145="","",IF(COUNTIFS(Trips!$A$6:$A$105,D145)=1,INDEX(Trips!$B$6:$B$105,MATCH(D145,Trips!$A$6:$A$105,0)),""))</x:f>
      </x:c>
      <x:c r="C145" s="90" t="str">
        <x:f>IF(D145="","",IF(COUNTIFS(Trips!$A$6:$A$105,D145)=1,INDEX(Trips!$D$6:$D$105,MATCH(D145,Trips!$A$6:$A$105,0)),""))</x:f>
      </x:c>
      <x:c r="D145" s="107"/>
      <x:c r="E145" s="107"/>
      <x:c r="F145" s="90" t="str">
        <x:f>IF(E145="","",IF(COUNTIFS(Counters!$A$6:$A$105,E145)=1,INDEX(Counters!$B$6:$B$105,MATCH(E145,Counters!$A$6:$A$105,0)),""))</x:f>
      </x:c>
      <x:c r="G145" s="107"/>
      <x:c r="H145" s="98" t="str">
        <x:f>IF(C145="","",IF(COUNTIFS('Route List'!$F$6:$F$205,C145)=1,IF(COUNTIFS('Route List'!$F$6:$F$205,C145,'Route List'!$G$6:$G$205,"&lt;&gt;")=1,INDEX('Route List'!$G$6:$G$205,MATCH(C145,'Route List'!$F$6:$F$205,0)),"Enter route fare"),"Enter route fare"))</x:f>
      </x:c>
      <x:c r="I145" s="98" t="str">
        <x:f>IF(F145="","",IF(F145="Own",0,50))</x:f>
      </x:c>
      <x:c r="J145" s="98" t="str">
        <x:f>IF(OR(D145="",E145=""),"",IF(AND(ISNUMBER(G145),ISNUMBER(H145)),ROUND(G145*H145,2),""))</x:f>
      </x:c>
      <x:c r="K145" s="98" t="str">
        <x:f>IF(OR(D145="",E145=""),"",IF(AND(ISNUMBER(G145),ISNUMBER(I145)),ROUND(G145*I145,2),""))</x:f>
      </x:c>
      <x:c r="L145" s="98" t="str">
        <x:f>IF(OR(D145="",E145=""),"",IF(AND(ISNUMBER(J145),ISNUMBER(K145)),J145-K145,""))</x:f>
      </x:c>
      <x:c r="M145" s="114"/>
      <x:c r="N145" s="98" t="str">
        <x:f>IF(OR(D145="",E145=""),"",IF(COUNTIFS($D$6:D145,D145,$E$6:E145,E145)=1,MAX(SUMIFS($L$6:$L$505,$D$6:$D$505,D145,$E$6:$E$505,E145)-SUMIFS($M$6:$M$505,$D$6:$D$505,D145,$E$6:$E$505,E145),0),""))</x:f>
      </x:c>
    </x:row>
    <x:row r="146" ht="28" customHeight="1">
      <x:c r="A146" s="113" t="str">
        <x:f>IF(D146="","",IF(COUNTIFS(Trips!$A$6:$A$105,D146)=1,INDEX(Trips!$C$6:$C$105,MATCH(D146,Trips!$A$6:$A$105,0)),""))</x:f>
      </x:c>
      <x:c r="B146" s="90" t="str">
        <x:f>IF(D146="","",IF(COUNTIFS(Trips!$A$6:$A$105,D146)=1,INDEX(Trips!$B$6:$B$105,MATCH(D146,Trips!$A$6:$A$105,0)),""))</x:f>
      </x:c>
      <x:c r="C146" s="90" t="str">
        <x:f>IF(D146="","",IF(COUNTIFS(Trips!$A$6:$A$105,D146)=1,INDEX(Trips!$D$6:$D$105,MATCH(D146,Trips!$A$6:$A$105,0)),""))</x:f>
      </x:c>
      <x:c r="D146" s="107"/>
      <x:c r="E146" s="107"/>
      <x:c r="F146" s="90" t="str">
        <x:f>IF(E146="","",IF(COUNTIFS(Counters!$A$6:$A$105,E146)=1,INDEX(Counters!$B$6:$B$105,MATCH(E146,Counters!$A$6:$A$105,0)),""))</x:f>
      </x:c>
      <x:c r="G146" s="107"/>
      <x:c r="H146" s="98" t="str">
        <x:f>IF(C146="","",IF(COUNTIFS('Route List'!$F$6:$F$205,C146)=1,IF(COUNTIFS('Route List'!$F$6:$F$205,C146,'Route List'!$G$6:$G$205,"&lt;&gt;")=1,INDEX('Route List'!$G$6:$G$205,MATCH(C146,'Route List'!$F$6:$F$205,0)),"Enter route fare"),"Enter route fare"))</x:f>
      </x:c>
      <x:c r="I146" s="98" t="str">
        <x:f>IF(F146="","",IF(F146="Own",0,50))</x:f>
      </x:c>
      <x:c r="J146" s="98" t="str">
        <x:f>IF(OR(D146="",E146=""),"",IF(AND(ISNUMBER(G146),ISNUMBER(H146)),ROUND(G146*H146,2),""))</x:f>
      </x:c>
      <x:c r="K146" s="98" t="str">
        <x:f>IF(OR(D146="",E146=""),"",IF(AND(ISNUMBER(G146),ISNUMBER(I146)),ROUND(G146*I146,2),""))</x:f>
      </x:c>
      <x:c r="L146" s="98" t="str">
        <x:f>IF(OR(D146="",E146=""),"",IF(AND(ISNUMBER(J146),ISNUMBER(K146)),J146-K146,""))</x:f>
      </x:c>
      <x:c r="M146" s="114"/>
      <x:c r="N146" s="98" t="str">
        <x:f>IF(OR(D146="",E146=""),"",IF(COUNTIFS($D$6:D146,D146,$E$6:E146,E146)=1,MAX(SUMIFS($L$6:$L$505,$D$6:$D$505,D146,$E$6:$E$505,E146)-SUMIFS($M$6:$M$505,$D$6:$D$505,D146,$E$6:$E$505,E146),0),""))</x:f>
      </x:c>
    </x:row>
    <x:row r="147" ht="28" customHeight="1">
      <x:c r="A147" s="113" t="str">
        <x:f>IF(D147="","",IF(COUNTIFS(Trips!$A$6:$A$105,D147)=1,INDEX(Trips!$C$6:$C$105,MATCH(D147,Trips!$A$6:$A$105,0)),""))</x:f>
      </x:c>
      <x:c r="B147" s="90" t="str">
        <x:f>IF(D147="","",IF(COUNTIFS(Trips!$A$6:$A$105,D147)=1,INDEX(Trips!$B$6:$B$105,MATCH(D147,Trips!$A$6:$A$105,0)),""))</x:f>
      </x:c>
      <x:c r="C147" s="90" t="str">
        <x:f>IF(D147="","",IF(COUNTIFS(Trips!$A$6:$A$105,D147)=1,INDEX(Trips!$D$6:$D$105,MATCH(D147,Trips!$A$6:$A$105,0)),""))</x:f>
      </x:c>
      <x:c r="D147" s="107"/>
      <x:c r="E147" s="107"/>
      <x:c r="F147" s="90" t="str">
        <x:f>IF(E147="","",IF(COUNTIFS(Counters!$A$6:$A$105,E147)=1,INDEX(Counters!$B$6:$B$105,MATCH(E147,Counters!$A$6:$A$105,0)),""))</x:f>
      </x:c>
      <x:c r="G147" s="107"/>
      <x:c r="H147" s="98" t="str">
        <x:f>IF(C147="","",IF(COUNTIFS('Route List'!$F$6:$F$205,C147)=1,IF(COUNTIFS('Route List'!$F$6:$F$205,C147,'Route List'!$G$6:$G$205,"&lt;&gt;")=1,INDEX('Route List'!$G$6:$G$205,MATCH(C147,'Route List'!$F$6:$F$205,0)),"Enter route fare"),"Enter route fare"))</x:f>
      </x:c>
      <x:c r="I147" s="98" t="str">
        <x:f>IF(F147="","",IF(F147="Own",0,50))</x:f>
      </x:c>
      <x:c r="J147" s="98" t="str">
        <x:f>IF(OR(D147="",E147=""),"",IF(AND(ISNUMBER(G147),ISNUMBER(H147)),ROUND(G147*H147,2),""))</x:f>
      </x:c>
      <x:c r="K147" s="98" t="str">
        <x:f>IF(OR(D147="",E147=""),"",IF(AND(ISNUMBER(G147),ISNUMBER(I147)),ROUND(G147*I147,2),""))</x:f>
      </x:c>
      <x:c r="L147" s="98" t="str">
        <x:f>IF(OR(D147="",E147=""),"",IF(AND(ISNUMBER(J147),ISNUMBER(K147)),J147-K147,""))</x:f>
      </x:c>
      <x:c r="M147" s="114"/>
      <x:c r="N147" s="98" t="str">
        <x:f>IF(OR(D147="",E147=""),"",IF(COUNTIFS($D$6:D147,D147,$E$6:E147,E147)=1,MAX(SUMIFS($L$6:$L$505,$D$6:$D$505,D147,$E$6:$E$505,E147)-SUMIFS($M$6:$M$505,$D$6:$D$505,D147,$E$6:$E$505,E147),0),""))</x:f>
      </x:c>
    </x:row>
    <x:row r="148" ht="28" customHeight="1">
      <x:c r="A148" s="113" t="str">
        <x:f>IF(D148="","",IF(COUNTIFS(Trips!$A$6:$A$105,D148)=1,INDEX(Trips!$C$6:$C$105,MATCH(D148,Trips!$A$6:$A$105,0)),""))</x:f>
      </x:c>
      <x:c r="B148" s="90" t="str">
        <x:f>IF(D148="","",IF(COUNTIFS(Trips!$A$6:$A$105,D148)=1,INDEX(Trips!$B$6:$B$105,MATCH(D148,Trips!$A$6:$A$105,0)),""))</x:f>
      </x:c>
      <x:c r="C148" s="90" t="str">
        <x:f>IF(D148="","",IF(COUNTIFS(Trips!$A$6:$A$105,D148)=1,INDEX(Trips!$D$6:$D$105,MATCH(D148,Trips!$A$6:$A$105,0)),""))</x:f>
      </x:c>
      <x:c r="D148" s="107"/>
      <x:c r="E148" s="107"/>
      <x:c r="F148" s="90" t="str">
        <x:f>IF(E148="","",IF(COUNTIFS(Counters!$A$6:$A$105,E148)=1,INDEX(Counters!$B$6:$B$105,MATCH(E148,Counters!$A$6:$A$105,0)),""))</x:f>
      </x:c>
      <x:c r="G148" s="107"/>
      <x:c r="H148" s="98" t="str">
        <x:f>IF(C148="","",IF(COUNTIFS('Route List'!$F$6:$F$205,C148)=1,IF(COUNTIFS('Route List'!$F$6:$F$205,C148,'Route List'!$G$6:$G$205,"&lt;&gt;")=1,INDEX('Route List'!$G$6:$G$205,MATCH(C148,'Route List'!$F$6:$F$205,0)),"Enter route fare"),"Enter route fare"))</x:f>
      </x:c>
      <x:c r="I148" s="98" t="str">
        <x:f>IF(F148="","",IF(F148="Own",0,50))</x:f>
      </x:c>
      <x:c r="J148" s="98" t="str">
        <x:f>IF(OR(D148="",E148=""),"",IF(AND(ISNUMBER(G148),ISNUMBER(H148)),ROUND(G148*H148,2),""))</x:f>
      </x:c>
      <x:c r="K148" s="98" t="str">
        <x:f>IF(OR(D148="",E148=""),"",IF(AND(ISNUMBER(G148),ISNUMBER(I148)),ROUND(G148*I148,2),""))</x:f>
      </x:c>
      <x:c r="L148" s="98" t="str">
        <x:f>IF(OR(D148="",E148=""),"",IF(AND(ISNUMBER(J148),ISNUMBER(K148)),J148-K148,""))</x:f>
      </x:c>
      <x:c r="M148" s="114"/>
      <x:c r="N148" s="98" t="str">
        <x:f>IF(OR(D148="",E148=""),"",IF(COUNTIFS($D$6:D148,D148,$E$6:E148,E148)=1,MAX(SUMIFS($L$6:$L$505,$D$6:$D$505,D148,$E$6:$E$505,E148)-SUMIFS($M$6:$M$505,$D$6:$D$505,D148,$E$6:$E$505,E148),0),""))</x:f>
      </x:c>
    </x:row>
    <x:row r="149" ht="28" customHeight="1">
      <x:c r="A149" s="113" t="str">
        <x:f>IF(D149="","",IF(COUNTIFS(Trips!$A$6:$A$105,D149)=1,INDEX(Trips!$C$6:$C$105,MATCH(D149,Trips!$A$6:$A$105,0)),""))</x:f>
      </x:c>
      <x:c r="B149" s="90" t="str">
        <x:f>IF(D149="","",IF(COUNTIFS(Trips!$A$6:$A$105,D149)=1,INDEX(Trips!$B$6:$B$105,MATCH(D149,Trips!$A$6:$A$105,0)),""))</x:f>
      </x:c>
      <x:c r="C149" s="90" t="str">
        <x:f>IF(D149="","",IF(COUNTIFS(Trips!$A$6:$A$105,D149)=1,INDEX(Trips!$D$6:$D$105,MATCH(D149,Trips!$A$6:$A$105,0)),""))</x:f>
      </x:c>
      <x:c r="D149" s="107"/>
      <x:c r="E149" s="107"/>
      <x:c r="F149" s="90" t="str">
        <x:f>IF(E149="","",IF(COUNTIFS(Counters!$A$6:$A$105,E149)=1,INDEX(Counters!$B$6:$B$105,MATCH(E149,Counters!$A$6:$A$105,0)),""))</x:f>
      </x:c>
      <x:c r="G149" s="107"/>
      <x:c r="H149" s="98" t="str">
        <x:f>IF(C149="","",IF(COUNTIFS('Route List'!$F$6:$F$205,C149)=1,IF(COUNTIFS('Route List'!$F$6:$F$205,C149,'Route List'!$G$6:$G$205,"&lt;&gt;")=1,INDEX('Route List'!$G$6:$G$205,MATCH(C149,'Route List'!$F$6:$F$205,0)),"Enter route fare"),"Enter route fare"))</x:f>
      </x:c>
      <x:c r="I149" s="98" t="str">
        <x:f>IF(F149="","",IF(F149="Own",0,50))</x:f>
      </x:c>
      <x:c r="J149" s="98" t="str">
        <x:f>IF(OR(D149="",E149=""),"",IF(AND(ISNUMBER(G149),ISNUMBER(H149)),ROUND(G149*H149,2),""))</x:f>
      </x:c>
      <x:c r="K149" s="98" t="str">
        <x:f>IF(OR(D149="",E149=""),"",IF(AND(ISNUMBER(G149),ISNUMBER(I149)),ROUND(G149*I149,2),""))</x:f>
      </x:c>
      <x:c r="L149" s="98" t="str">
        <x:f>IF(OR(D149="",E149=""),"",IF(AND(ISNUMBER(J149),ISNUMBER(K149)),J149-K149,""))</x:f>
      </x:c>
      <x:c r="M149" s="114"/>
      <x:c r="N149" s="98" t="str">
        <x:f>IF(OR(D149="",E149=""),"",IF(COUNTIFS($D$6:D149,D149,$E$6:E149,E149)=1,MAX(SUMIFS($L$6:$L$505,$D$6:$D$505,D149,$E$6:$E$505,E149)-SUMIFS($M$6:$M$505,$D$6:$D$505,D149,$E$6:$E$505,E149),0),""))</x:f>
      </x:c>
    </x:row>
    <x:row r="150" ht="28" customHeight="1">
      <x:c r="A150" s="113" t="str">
        <x:f>IF(D150="","",IF(COUNTIFS(Trips!$A$6:$A$105,D150)=1,INDEX(Trips!$C$6:$C$105,MATCH(D150,Trips!$A$6:$A$105,0)),""))</x:f>
      </x:c>
      <x:c r="B150" s="90" t="str">
        <x:f>IF(D150="","",IF(COUNTIFS(Trips!$A$6:$A$105,D150)=1,INDEX(Trips!$B$6:$B$105,MATCH(D150,Trips!$A$6:$A$105,0)),""))</x:f>
      </x:c>
      <x:c r="C150" s="90" t="str">
        <x:f>IF(D150="","",IF(COUNTIFS(Trips!$A$6:$A$105,D150)=1,INDEX(Trips!$D$6:$D$105,MATCH(D150,Trips!$A$6:$A$105,0)),""))</x:f>
      </x:c>
      <x:c r="D150" s="107"/>
      <x:c r="E150" s="107"/>
      <x:c r="F150" s="90" t="str">
        <x:f>IF(E150="","",IF(COUNTIFS(Counters!$A$6:$A$105,E150)=1,INDEX(Counters!$B$6:$B$105,MATCH(E150,Counters!$A$6:$A$105,0)),""))</x:f>
      </x:c>
      <x:c r="G150" s="107"/>
      <x:c r="H150" s="98" t="str">
        <x:f>IF(C150="","",IF(COUNTIFS('Route List'!$F$6:$F$205,C150)=1,IF(COUNTIFS('Route List'!$F$6:$F$205,C150,'Route List'!$G$6:$G$205,"&lt;&gt;")=1,INDEX('Route List'!$G$6:$G$205,MATCH(C150,'Route List'!$F$6:$F$205,0)),"Enter route fare"),"Enter route fare"))</x:f>
      </x:c>
      <x:c r="I150" s="98" t="str">
        <x:f>IF(F150="","",IF(F150="Own",0,50))</x:f>
      </x:c>
      <x:c r="J150" s="98" t="str">
        <x:f>IF(OR(D150="",E150=""),"",IF(AND(ISNUMBER(G150),ISNUMBER(H150)),ROUND(G150*H150,2),""))</x:f>
      </x:c>
      <x:c r="K150" s="98" t="str">
        <x:f>IF(OR(D150="",E150=""),"",IF(AND(ISNUMBER(G150),ISNUMBER(I150)),ROUND(G150*I150,2),""))</x:f>
      </x:c>
      <x:c r="L150" s="98" t="str">
        <x:f>IF(OR(D150="",E150=""),"",IF(AND(ISNUMBER(J150),ISNUMBER(K150)),J150-K150,""))</x:f>
      </x:c>
      <x:c r="M150" s="114"/>
      <x:c r="N150" s="98" t="str">
        <x:f>IF(OR(D150="",E150=""),"",IF(COUNTIFS($D$6:D150,D150,$E$6:E150,E150)=1,MAX(SUMIFS($L$6:$L$505,$D$6:$D$505,D150,$E$6:$E$505,E150)-SUMIFS($M$6:$M$505,$D$6:$D$505,D150,$E$6:$E$505,E150),0),""))</x:f>
      </x:c>
    </x:row>
    <x:row r="151" ht="28" customHeight="1">
      <x:c r="A151" s="113" t="str">
        <x:f>IF(D151="","",IF(COUNTIFS(Trips!$A$6:$A$105,D151)=1,INDEX(Trips!$C$6:$C$105,MATCH(D151,Trips!$A$6:$A$105,0)),""))</x:f>
      </x:c>
      <x:c r="B151" s="90" t="str">
        <x:f>IF(D151="","",IF(COUNTIFS(Trips!$A$6:$A$105,D151)=1,INDEX(Trips!$B$6:$B$105,MATCH(D151,Trips!$A$6:$A$105,0)),""))</x:f>
      </x:c>
      <x:c r="C151" s="90" t="str">
        <x:f>IF(D151="","",IF(COUNTIFS(Trips!$A$6:$A$105,D151)=1,INDEX(Trips!$D$6:$D$105,MATCH(D151,Trips!$A$6:$A$105,0)),""))</x:f>
      </x:c>
      <x:c r="D151" s="107"/>
      <x:c r="E151" s="107"/>
      <x:c r="F151" s="90" t="str">
        <x:f>IF(E151="","",IF(COUNTIFS(Counters!$A$6:$A$105,E151)=1,INDEX(Counters!$B$6:$B$105,MATCH(E151,Counters!$A$6:$A$105,0)),""))</x:f>
      </x:c>
      <x:c r="G151" s="107"/>
      <x:c r="H151" s="98" t="str">
        <x:f>IF(C151="","",IF(COUNTIFS('Route List'!$F$6:$F$205,C151)=1,IF(COUNTIFS('Route List'!$F$6:$F$205,C151,'Route List'!$G$6:$G$205,"&lt;&gt;")=1,INDEX('Route List'!$G$6:$G$205,MATCH(C151,'Route List'!$F$6:$F$205,0)),"Enter route fare"),"Enter route fare"))</x:f>
      </x:c>
      <x:c r="I151" s="98" t="str">
        <x:f>IF(F151="","",IF(F151="Own",0,50))</x:f>
      </x:c>
      <x:c r="J151" s="98" t="str">
        <x:f>IF(OR(D151="",E151=""),"",IF(AND(ISNUMBER(G151),ISNUMBER(H151)),ROUND(G151*H151,2),""))</x:f>
      </x:c>
      <x:c r="K151" s="98" t="str">
        <x:f>IF(OR(D151="",E151=""),"",IF(AND(ISNUMBER(G151),ISNUMBER(I151)),ROUND(G151*I151,2),""))</x:f>
      </x:c>
      <x:c r="L151" s="98" t="str">
        <x:f>IF(OR(D151="",E151=""),"",IF(AND(ISNUMBER(J151),ISNUMBER(K151)),J151-K151,""))</x:f>
      </x:c>
      <x:c r="M151" s="114"/>
      <x:c r="N151" s="98" t="str">
        <x:f>IF(OR(D151="",E151=""),"",IF(COUNTIFS($D$6:D151,D151,$E$6:E151,E151)=1,MAX(SUMIFS($L$6:$L$505,$D$6:$D$505,D151,$E$6:$E$505,E151)-SUMIFS($M$6:$M$505,$D$6:$D$505,D151,$E$6:$E$505,E151),0),""))</x:f>
      </x:c>
    </x:row>
    <x:row r="152" ht="28" customHeight="1">
      <x:c r="A152" s="113" t="str">
        <x:f>IF(D152="","",IF(COUNTIFS(Trips!$A$6:$A$105,D152)=1,INDEX(Trips!$C$6:$C$105,MATCH(D152,Trips!$A$6:$A$105,0)),""))</x:f>
      </x:c>
      <x:c r="B152" s="90" t="str">
        <x:f>IF(D152="","",IF(COUNTIFS(Trips!$A$6:$A$105,D152)=1,INDEX(Trips!$B$6:$B$105,MATCH(D152,Trips!$A$6:$A$105,0)),""))</x:f>
      </x:c>
      <x:c r="C152" s="90" t="str">
        <x:f>IF(D152="","",IF(COUNTIFS(Trips!$A$6:$A$105,D152)=1,INDEX(Trips!$D$6:$D$105,MATCH(D152,Trips!$A$6:$A$105,0)),""))</x:f>
      </x:c>
      <x:c r="D152" s="107"/>
      <x:c r="E152" s="107"/>
      <x:c r="F152" s="90" t="str">
        <x:f>IF(E152="","",IF(COUNTIFS(Counters!$A$6:$A$105,E152)=1,INDEX(Counters!$B$6:$B$105,MATCH(E152,Counters!$A$6:$A$105,0)),""))</x:f>
      </x:c>
      <x:c r="G152" s="107"/>
      <x:c r="H152" s="98" t="str">
        <x:f>IF(C152="","",IF(COUNTIFS('Route List'!$F$6:$F$205,C152)=1,IF(COUNTIFS('Route List'!$F$6:$F$205,C152,'Route List'!$G$6:$G$205,"&lt;&gt;")=1,INDEX('Route List'!$G$6:$G$205,MATCH(C152,'Route List'!$F$6:$F$205,0)),"Enter route fare"),"Enter route fare"))</x:f>
      </x:c>
      <x:c r="I152" s="98" t="str">
        <x:f>IF(F152="","",IF(F152="Own",0,50))</x:f>
      </x:c>
      <x:c r="J152" s="98" t="str">
        <x:f>IF(OR(D152="",E152=""),"",IF(AND(ISNUMBER(G152),ISNUMBER(H152)),ROUND(G152*H152,2),""))</x:f>
      </x:c>
      <x:c r="K152" s="98" t="str">
        <x:f>IF(OR(D152="",E152=""),"",IF(AND(ISNUMBER(G152),ISNUMBER(I152)),ROUND(G152*I152,2),""))</x:f>
      </x:c>
      <x:c r="L152" s="98" t="str">
        <x:f>IF(OR(D152="",E152=""),"",IF(AND(ISNUMBER(J152),ISNUMBER(K152)),J152-K152,""))</x:f>
      </x:c>
      <x:c r="M152" s="114"/>
      <x:c r="N152" s="98" t="str">
        <x:f>IF(OR(D152="",E152=""),"",IF(COUNTIFS($D$6:D152,D152,$E$6:E152,E152)=1,MAX(SUMIFS($L$6:$L$505,$D$6:$D$505,D152,$E$6:$E$505,E152)-SUMIFS($M$6:$M$505,$D$6:$D$505,D152,$E$6:$E$505,E152),0),""))</x:f>
      </x:c>
    </x:row>
    <x:row r="153" ht="28" customHeight="1">
      <x:c r="A153" s="113" t="str">
        <x:f>IF(D153="","",IF(COUNTIFS(Trips!$A$6:$A$105,D153)=1,INDEX(Trips!$C$6:$C$105,MATCH(D153,Trips!$A$6:$A$105,0)),""))</x:f>
      </x:c>
      <x:c r="B153" s="90" t="str">
        <x:f>IF(D153="","",IF(COUNTIFS(Trips!$A$6:$A$105,D153)=1,INDEX(Trips!$B$6:$B$105,MATCH(D153,Trips!$A$6:$A$105,0)),""))</x:f>
      </x:c>
      <x:c r="C153" s="90" t="str">
        <x:f>IF(D153="","",IF(COUNTIFS(Trips!$A$6:$A$105,D153)=1,INDEX(Trips!$D$6:$D$105,MATCH(D153,Trips!$A$6:$A$105,0)),""))</x:f>
      </x:c>
      <x:c r="D153" s="107"/>
      <x:c r="E153" s="107"/>
      <x:c r="F153" s="90" t="str">
        <x:f>IF(E153="","",IF(COUNTIFS(Counters!$A$6:$A$105,E153)=1,INDEX(Counters!$B$6:$B$105,MATCH(E153,Counters!$A$6:$A$105,0)),""))</x:f>
      </x:c>
      <x:c r="G153" s="107"/>
      <x:c r="H153" s="98" t="str">
        <x:f>IF(C153="","",IF(COUNTIFS('Route List'!$F$6:$F$205,C153)=1,IF(COUNTIFS('Route List'!$F$6:$F$205,C153,'Route List'!$G$6:$G$205,"&lt;&gt;")=1,INDEX('Route List'!$G$6:$G$205,MATCH(C153,'Route List'!$F$6:$F$205,0)),"Enter route fare"),"Enter route fare"))</x:f>
      </x:c>
      <x:c r="I153" s="98" t="str">
        <x:f>IF(F153="","",IF(F153="Own",0,50))</x:f>
      </x:c>
      <x:c r="J153" s="98" t="str">
        <x:f>IF(OR(D153="",E153=""),"",IF(AND(ISNUMBER(G153),ISNUMBER(H153)),ROUND(G153*H153,2),""))</x:f>
      </x:c>
      <x:c r="K153" s="98" t="str">
        <x:f>IF(OR(D153="",E153=""),"",IF(AND(ISNUMBER(G153),ISNUMBER(I153)),ROUND(G153*I153,2),""))</x:f>
      </x:c>
      <x:c r="L153" s="98" t="str">
        <x:f>IF(OR(D153="",E153=""),"",IF(AND(ISNUMBER(J153),ISNUMBER(K153)),J153-K153,""))</x:f>
      </x:c>
      <x:c r="M153" s="114"/>
      <x:c r="N153" s="98" t="str">
        <x:f>IF(OR(D153="",E153=""),"",IF(COUNTIFS($D$6:D153,D153,$E$6:E153,E153)=1,MAX(SUMIFS($L$6:$L$505,$D$6:$D$505,D153,$E$6:$E$505,E153)-SUMIFS($M$6:$M$505,$D$6:$D$505,D153,$E$6:$E$505,E153),0),""))</x:f>
      </x:c>
    </x:row>
    <x:row r="154" ht="28" customHeight="1">
      <x:c r="A154" s="113" t="str">
        <x:f>IF(D154="","",IF(COUNTIFS(Trips!$A$6:$A$105,D154)=1,INDEX(Trips!$C$6:$C$105,MATCH(D154,Trips!$A$6:$A$105,0)),""))</x:f>
      </x:c>
      <x:c r="B154" s="90" t="str">
        <x:f>IF(D154="","",IF(COUNTIFS(Trips!$A$6:$A$105,D154)=1,INDEX(Trips!$B$6:$B$105,MATCH(D154,Trips!$A$6:$A$105,0)),""))</x:f>
      </x:c>
      <x:c r="C154" s="90" t="str">
        <x:f>IF(D154="","",IF(COUNTIFS(Trips!$A$6:$A$105,D154)=1,INDEX(Trips!$D$6:$D$105,MATCH(D154,Trips!$A$6:$A$105,0)),""))</x:f>
      </x:c>
      <x:c r="D154" s="107"/>
      <x:c r="E154" s="107"/>
      <x:c r="F154" s="90" t="str">
        <x:f>IF(E154="","",IF(COUNTIFS(Counters!$A$6:$A$105,E154)=1,INDEX(Counters!$B$6:$B$105,MATCH(E154,Counters!$A$6:$A$105,0)),""))</x:f>
      </x:c>
      <x:c r="G154" s="107"/>
      <x:c r="H154" s="98" t="str">
        <x:f>IF(C154="","",IF(COUNTIFS('Route List'!$F$6:$F$205,C154)=1,IF(COUNTIFS('Route List'!$F$6:$F$205,C154,'Route List'!$G$6:$G$205,"&lt;&gt;")=1,INDEX('Route List'!$G$6:$G$205,MATCH(C154,'Route List'!$F$6:$F$205,0)),"Enter route fare"),"Enter route fare"))</x:f>
      </x:c>
      <x:c r="I154" s="98" t="str">
        <x:f>IF(F154="","",IF(F154="Own",0,50))</x:f>
      </x:c>
      <x:c r="J154" s="98" t="str">
        <x:f>IF(OR(D154="",E154=""),"",IF(AND(ISNUMBER(G154),ISNUMBER(H154)),ROUND(G154*H154,2),""))</x:f>
      </x:c>
      <x:c r="K154" s="98" t="str">
        <x:f>IF(OR(D154="",E154=""),"",IF(AND(ISNUMBER(G154),ISNUMBER(I154)),ROUND(G154*I154,2),""))</x:f>
      </x:c>
      <x:c r="L154" s="98" t="str">
        <x:f>IF(OR(D154="",E154=""),"",IF(AND(ISNUMBER(J154),ISNUMBER(K154)),J154-K154,""))</x:f>
      </x:c>
      <x:c r="M154" s="114"/>
      <x:c r="N154" s="98" t="str">
        <x:f>IF(OR(D154="",E154=""),"",IF(COUNTIFS($D$6:D154,D154,$E$6:E154,E154)=1,MAX(SUMIFS($L$6:$L$505,$D$6:$D$505,D154,$E$6:$E$505,E154)-SUMIFS($M$6:$M$505,$D$6:$D$505,D154,$E$6:$E$505,E154),0),""))</x:f>
      </x:c>
    </x:row>
    <x:row r="155" ht="28" customHeight="1">
      <x:c r="A155" s="113" t="str">
        <x:f>IF(D155="","",IF(COUNTIFS(Trips!$A$6:$A$105,D155)=1,INDEX(Trips!$C$6:$C$105,MATCH(D155,Trips!$A$6:$A$105,0)),""))</x:f>
      </x:c>
      <x:c r="B155" s="90" t="str">
        <x:f>IF(D155="","",IF(COUNTIFS(Trips!$A$6:$A$105,D155)=1,INDEX(Trips!$B$6:$B$105,MATCH(D155,Trips!$A$6:$A$105,0)),""))</x:f>
      </x:c>
      <x:c r="C155" s="90" t="str">
        <x:f>IF(D155="","",IF(COUNTIFS(Trips!$A$6:$A$105,D155)=1,INDEX(Trips!$D$6:$D$105,MATCH(D155,Trips!$A$6:$A$105,0)),""))</x:f>
      </x:c>
      <x:c r="D155" s="107"/>
      <x:c r="E155" s="107"/>
      <x:c r="F155" s="90" t="str">
        <x:f>IF(E155="","",IF(COUNTIFS(Counters!$A$6:$A$105,E155)=1,INDEX(Counters!$B$6:$B$105,MATCH(E155,Counters!$A$6:$A$105,0)),""))</x:f>
      </x:c>
      <x:c r="G155" s="107"/>
      <x:c r="H155" s="98" t="str">
        <x:f>IF(C155="","",IF(COUNTIFS('Route List'!$F$6:$F$205,C155)=1,IF(COUNTIFS('Route List'!$F$6:$F$205,C155,'Route List'!$G$6:$G$205,"&lt;&gt;")=1,INDEX('Route List'!$G$6:$G$205,MATCH(C155,'Route List'!$F$6:$F$205,0)),"Enter route fare"),"Enter route fare"))</x:f>
      </x:c>
      <x:c r="I155" s="98" t="str">
        <x:f>IF(F155="","",IF(F155="Own",0,50))</x:f>
      </x:c>
      <x:c r="J155" s="98" t="str">
        <x:f>IF(OR(D155="",E155=""),"",IF(AND(ISNUMBER(G155),ISNUMBER(H155)),ROUND(G155*H155,2),""))</x:f>
      </x:c>
      <x:c r="K155" s="98" t="str">
        <x:f>IF(OR(D155="",E155=""),"",IF(AND(ISNUMBER(G155),ISNUMBER(I155)),ROUND(G155*I155,2),""))</x:f>
      </x:c>
      <x:c r="L155" s="98" t="str">
        <x:f>IF(OR(D155="",E155=""),"",IF(AND(ISNUMBER(J155),ISNUMBER(K155)),J155-K155,""))</x:f>
      </x:c>
      <x:c r="M155" s="114"/>
      <x:c r="N155" s="98" t="str">
        <x:f>IF(OR(D155="",E155=""),"",IF(COUNTIFS($D$6:D155,D155,$E$6:E155,E155)=1,MAX(SUMIFS($L$6:$L$505,$D$6:$D$505,D155,$E$6:$E$505,E155)-SUMIFS($M$6:$M$505,$D$6:$D$505,D155,$E$6:$E$505,E155),0),""))</x:f>
      </x:c>
    </x:row>
    <x:row r="156" ht="28" customHeight="1">
      <x:c r="A156" s="113" t="str">
        <x:f>IF(D156="","",IF(COUNTIFS(Trips!$A$6:$A$105,D156)=1,INDEX(Trips!$C$6:$C$105,MATCH(D156,Trips!$A$6:$A$105,0)),""))</x:f>
      </x:c>
      <x:c r="B156" s="90" t="str">
        <x:f>IF(D156="","",IF(COUNTIFS(Trips!$A$6:$A$105,D156)=1,INDEX(Trips!$B$6:$B$105,MATCH(D156,Trips!$A$6:$A$105,0)),""))</x:f>
      </x:c>
      <x:c r="C156" s="90" t="str">
        <x:f>IF(D156="","",IF(COUNTIFS(Trips!$A$6:$A$105,D156)=1,INDEX(Trips!$D$6:$D$105,MATCH(D156,Trips!$A$6:$A$105,0)),""))</x:f>
      </x:c>
      <x:c r="D156" s="107"/>
      <x:c r="E156" s="107"/>
      <x:c r="F156" s="90" t="str">
        <x:f>IF(E156="","",IF(COUNTIFS(Counters!$A$6:$A$105,E156)=1,INDEX(Counters!$B$6:$B$105,MATCH(E156,Counters!$A$6:$A$105,0)),""))</x:f>
      </x:c>
      <x:c r="G156" s="107"/>
      <x:c r="H156" s="98" t="str">
        <x:f>IF(C156="","",IF(COUNTIFS('Route List'!$F$6:$F$205,C156)=1,IF(COUNTIFS('Route List'!$F$6:$F$205,C156,'Route List'!$G$6:$G$205,"&lt;&gt;")=1,INDEX('Route List'!$G$6:$G$205,MATCH(C156,'Route List'!$F$6:$F$205,0)),"Enter route fare"),"Enter route fare"))</x:f>
      </x:c>
      <x:c r="I156" s="98" t="str">
        <x:f>IF(F156="","",IF(F156="Own",0,50))</x:f>
      </x:c>
      <x:c r="J156" s="98" t="str">
        <x:f>IF(OR(D156="",E156=""),"",IF(AND(ISNUMBER(G156),ISNUMBER(H156)),ROUND(G156*H156,2),""))</x:f>
      </x:c>
      <x:c r="K156" s="98" t="str">
        <x:f>IF(OR(D156="",E156=""),"",IF(AND(ISNUMBER(G156),ISNUMBER(I156)),ROUND(G156*I156,2),""))</x:f>
      </x:c>
      <x:c r="L156" s="98" t="str">
        <x:f>IF(OR(D156="",E156=""),"",IF(AND(ISNUMBER(J156),ISNUMBER(K156)),J156-K156,""))</x:f>
      </x:c>
      <x:c r="M156" s="114"/>
      <x:c r="N156" s="98" t="str">
        <x:f>IF(OR(D156="",E156=""),"",IF(COUNTIFS($D$6:D156,D156,$E$6:E156,E156)=1,MAX(SUMIFS($L$6:$L$505,$D$6:$D$505,D156,$E$6:$E$505,E156)-SUMIFS($M$6:$M$505,$D$6:$D$505,D156,$E$6:$E$505,E156),0),""))</x:f>
      </x:c>
    </x:row>
    <x:row r="157" ht="28" customHeight="1">
      <x:c r="A157" s="113" t="str">
        <x:f>IF(D157="","",IF(COUNTIFS(Trips!$A$6:$A$105,D157)=1,INDEX(Trips!$C$6:$C$105,MATCH(D157,Trips!$A$6:$A$105,0)),""))</x:f>
      </x:c>
      <x:c r="B157" s="90" t="str">
        <x:f>IF(D157="","",IF(COUNTIFS(Trips!$A$6:$A$105,D157)=1,INDEX(Trips!$B$6:$B$105,MATCH(D157,Trips!$A$6:$A$105,0)),""))</x:f>
      </x:c>
      <x:c r="C157" s="90" t="str">
        <x:f>IF(D157="","",IF(COUNTIFS(Trips!$A$6:$A$105,D157)=1,INDEX(Trips!$D$6:$D$105,MATCH(D157,Trips!$A$6:$A$105,0)),""))</x:f>
      </x:c>
      <x:c r="D157" s="107"/>
      <x:c r="E157" s="107"/>
      <x:c r="F157" s="90" t="str">
        <x:f>IF(E157="","",IF(COUNTIFS(Counters!$A$6:$A$105,E157)=1,INDEX(Counters!$B$6:$B$105,MATCH(E157,Counters!$A$6:$A$105,0)),""))</x:f>
      </x:c>
      <x:c r="G157" s="107"/>
      <x:c r="H157" s="98" t="str">
        <x:f>IF(C157="","",IF(COUNTIFS('Route List'!$F$6:$F$205,C157)=1,IF(COUNTIFS('Route List'!$F$6:$F$205,C157,'Route List'!$G$6:$G$205,"&lt;&gt;")=1,INDEX('Route List'!$G$6:$G$205,MATCH(C157,'Route List'!$F$6:$F$205,0)),"Enter route fare"),"Enter route fare"))</x:f>
      </x:c>
      <x:c r="I157" s="98" t="str">
        <x:f>IF(F157="","",IF(F157="Own",0,50))</x:f>
      </x:c>
      <x:c r="J157" s="98" t="str">
        <x:f>IF(OR(D157="",E157=""),"",IF(AND(ISNUMBER(G157),ISNUMBER(H157)),ROUND(G157*H157,2),""))</x:f>
      </x:c>
      <x:c r="K157" s="98" t="str">
        <x:f>IF(OR(D157="",E157=""),"",IF(AND(ISNUMBER(G157),ISNUMBER(I157)),ROUND(G157*I157,2),""))</x:f>
      </x:c>
      <x:c r="L157" s="98" t="str">
        <x:f>IF(OR(D157="",E157=""),"",IF(AND(ISNUMBER(J157),ISNUMBER(K157)),J157-K157,""))</x:f>
      </x:c>
      <x:c r="M157" s="114"/>
      <x:c r="N157" s="98" t="str">
        <x:f>IF(OR(D157="",E157=""),"",IF(COUNTIFS($D$6:D157,D157,$E$6:E157,E157)=1,MAX(SUMIFS($L$6:$L$505,$D$6:$D$505,D157,$E$6:$E$505,E157)-SUMIFS($M$6:$M$505,$D$6:$D$505,D157,$E$6:$E$505,E157),0),""))</x:f>
      </x:c>
    </x:row>
    <x:row r="158" ht="28" customHeight="1">
      <x:c r="A158" s="113" t="str">
        <x:f>IF(D158="","",IF(COUNTIFS(Trips!$A$6:$A$105,D158)=1,INDEX(Trips!$C$6:$C$105,MATCH(D158,Trips!$A$6:$A$105,0)),""))</x:f>
      </x:c>
      <x:c r="B158" s="90" t="str">
        <x:f>IF(D158="","",IF(COUNTIFS(Trips!$A$6:$A$105,D158)=1,INDEX(Trips!$B$6:$B$105,MATCH(D158,Trips!$A$6:$A$105,0)),""))</x:f>
      </x:c>
      <x:c r="C158" s="90" t="str">
        <x:f>IF(D158="","",IF(COUNTIFS(Trips!$A$6:$A$105,D158)=1,INDEX(Trips!$D$6:$D$105,MATCH(D158,Trips!$A$6:$A$105,0)),""))</x:f>
      </x:c>
      <x:c r="D158" s="107"/>
      <x:c r="E158" s="107"/>
      <x:c r="F158" s="90" t="str">
        <x:f>IF(E158="","",IF(COUNTIFS(Counters!$A$6:$A$105,E158)=1,INDEX(Counters!$B$6:$B$105,MATCH(E158,Counters!$A$6:$A$105,0)),""))</x:f>
      </x:c>
      <x:c r="G158" s="107"/>
      <x:c r="H158" s="98" t="str">
        <x:f>IF(C158="","",IF(COUNTIFS('Route List'!$F$6:$F$205,C158)=1,IF(COUNTIFS('Route List'!$F$6:$F$205,C158,'Route List'!$G$6:$G$205,"&lt;&gt;")=1,INDEX('Route List'!$G$6:$G$205,MATCH(C158,'Route List'!$F$6:$F$205,0)),"Enter route fare"),"Enter route fare"))</x:f>
      </x:c>
      <x:c r="I158" s="98" t="str">
        <x:f>IF(F158="","",IF(F158="Own",0,50))</x:f>
      </x:c>
      <x:c r="J158" s="98" t="str">
        <x:f>IF(OR(D158="",E158=""),"",IF(AND(ISNUMBER(G158),ISNUMBER(H158)),ROUND(G158*H158,2),""))</x:f>
      </x:c>
      <x:c r="K158" s="98" t="str">
        <x:f>IF(OR(D158="",E158=""),"",IF(AND(ISNUMBER(G158),ISNUMBER(I158)),ROUND(G158*I158,2),""))</x:f>
      </x:c>
      <x:c r="L158" s="98" t="str">
        <x:f>IF(OR(D158="",E158=""),"",IF(AND(ISNUMBER(J158),ISNUMBER(K158)),J158-K158,""))</x:f>
      </x:c>
      <x:c r="M158" s="114"/>
      <x:c r="N158" s="98" t="str">
        <x:f>IF(OR(D158="",E158=""),"",IF(COUNTIFS($D$6:D158,D158,$E$6:E158,E158)=1,MAX(SUMIFS($L$6:$L$505,$D$6:$D$505,D158,$E$6:$E$505,E158)-SUMIFS($M$6:$M$505,$D$6:$D$505,D158,$E$6:$E$505,E158),0),""))</x:f>
      </x:c>
    </x:row>
    <x:row r="159" ht="28" customHeight="1">
      <x:c r="A159" s="113" t="str">
        <x:f>IF(D159="","",IF(COUNTIFS(Trips!$A$6:$A$105,D159)=1,INDEX(Trips!$C$6:$C$105,MATCH(D159,Trips!$A$6:$A$105,0)),""))</x:f>
      </x:c>
      <x:c r="B159" s="90" t="str">
        <x:f>IF(D159="","",IF(COUNTIFS(Trips!$A$6:$A$105,D159)=1,INDEX(Trips!$B$6:$B$105,MATCH(D159,Trips!$A$6:$A$105,0)),""))</x:f>
      </x:c>
      <x:c r="C159" s="90" t="str">
        <x:f>IF(D159="","",IF(COUNTIFS(Trips!$A$6:$A$105,D159)=1,INDEX(Trips!$D$6:$D$105,MATCH(D159,Trips!$A$6:$A$105,0)),""))</x:f>
      </x:c>
      <x:c r="D159" s="107"/>
      <x:c r="E159" s="107"/>
      <x:c r="F159" s="90" t="str">
        <x:f>IF(E159="","",IF(COUNTIFS(Counters!$A$6:$A$105,E159)=1,INDEX(Counters!$B$6:$B$105,MATCH(E159,Counters!$A$6:$A$105,0)),""))</x:f>
      </x:c>
      <x:c r="G159" s="107"/>
      <x:c r="H159" s="98" t="str">
        <x:f>IF(C159="","",IF(COUNTIFS('Route List'!$F$6:$F$205,C159)=1,IF(COUNTIFS('Route List'!$F$6:$F$205,C159,'Route List'!$G$6:$G$205,"&lt;&gt;")=1,INDEX('Route List'!$G$6:$G$205,MATCH(C159,'Route List'!$F$6:$F$205,0)),"Enter route fare"),"Enter route fare"))</x:f>
      </x:c>
      <x:c r="I159" s="98" t="str">
        <x:f>IF(F159="","",IF(F159="Own",0,50))</x:f>
      </x:c>
      <x:c r="J159" s="98" t="str">
        <x:f>IF(OR(D159="",E159=""),"",IF(AND(ISNUMBER(G159),ISNUMBER(H159)),ROUND(G159*H159,2),""))</x:f>
      </x:c>
      <x:c r="K159" s="98" t="str">
        <x:f>IF(OR(D159="",E159=""),"",IF(AND(ISNUMBER(G159),ISNUMBER(I159)),ROUND(G159*I159,2),""))</x:f>
      </x:c>
      <x:c r="L159" s="98" t="str">
        <x:f>IF(OR(D159="",E159=""),"",IF(AND(ISNUMBER(J159),ISNUMBER(K159)),J159-K159,""))</x:f>
      </x:c>
      <x:c r="M159" s="114"/>
      <x:c r="N159" s="98" t="str">
        <x:f>IF(OR(D159="",E159=""),"",IF(COUNTIFS($D$6:D159,D159,$E$6:E159,E159)=1,MAX(SUMIFS($L$6:$L$505,$D$6:$D$505,D159,$E$6:$E$505,E159)-SUMIFS($M$6:$M$505,$D$6:$D$505,D159,$E$6:$E$505,E159),0),""))</x:f>
      </x:c>
    </x:row>
    <x:row r="160" ht="28" customHeight="1">
      <x:c r="A160" s="113" t="str">
        <x:f>IF(D160="","",IF(COUNTIFS(Trips!$A$6:$A$105,D160)=1,INDEX(Trips!$C$6:$C$105,MATCH(D160,Trips!$A$6:$A$105,0)),""))</x:f>
      </x:c>
      <x:c r="B160" s="90" t="str">
        <x:f>IF(D160="","",IF(COUNTIFS(Trips!$A$6:$A$105,D160)=1,INDEX(Trips!$B$6:$B$105,MATCH(D160,Trips!$A$6:$A$105,0)),""))</x:f>
      </x:c>
      <x:c r="C160" s="90" t="str">
        <x:f>IF(D160="","",IF(COUNTIFS(Trips!$A$6:$A$105,D160)=1,INDEX(Trips!$D$6:$D$105,MATCH(D160,Trips!$A$6:$A$105,0)),""))</x:f>
      </x:c>
      <x:c r="D160" s="107"/>
      <x:c r="E160" s="107"/>
      <x:c r="F160" s="90" t="str">
        <x:f>IF(E160="","",IF(COUNTIFS(Counters!$A$6:$A$105,E160)=1,INDEX(Counters!$B$6:$B$105,MATCH(E160,Counters!$A$6:$A$105,0)),""))</x:f>
      </x:c>
      <x:c r="G160" s="107"/>
      <x:c r="H160" s="98" t="str">
        <x:f>IF(C160="","",IF(COUNTIFS('Route List'!$F$6:$F$205,C160)=1,IF(COUNTIFS('Route List'!$F$6:$F$205,C160,'Route List'!$G$6:$G$205,"&lt;&gt;")=1,INDEX('Route List'!$G$6:$G$205,MATCH(C160,'Route List'!$F$6:$F$205,0)),"Enter route fare"),"Enter route fare"))</x:f>
      </x:c>
      <x:c r="I160" s="98" t="str">
        <x:f>IF(F160="","",IF(F160="Own",0,50))</x:f>
      </x:c>
      <x:c r="J160" s="98" t="str">
        <x:f>IF(OR(D160="",E160=""),"",IF(AND(ISNUMBER(G160),ISNUMBER(H160)),ROUND(G160*H160,2),""))</x:f>
      </x:c>
      <x:c r="K160" s="98" t="str">
        <x:f>IF(OR(D160="",E160=""),"",IF(AND(ISNUMBER(G160),ISNUMBER(I160)),ROUND(G160*I160,2),""))</x:f>
      </x:c>
      <x:c r="L160" s="98" t="str">
        <x:f>IF(OR(D160="",E160=""),"",IF(AND(ISNUMBER(J160),ISNUMBER(K160)),J160-K160,""))</x:f>
      </x:c>
      <x:c r="M160" s="114"/>
      <x:c r="N160" s="98" t="str">
        <x:f>IF(OR(D160="",E160=""),"",IF(COUNTIFS($D$6:D160,D160,$E$6:E160,E160)=1,MAX(SUMIFS($L$6:$L$505,$D$6:$D$505,D160,$E$6:$E$505,E160)-SUMIFS($M$6:$M$505,$D$6:$D$505,D160,$E$6:$E$505,E160),0),""))</x:f>
      </x:c>
    </x:row>
    <x:row r="161" ht="28" customHeight="1">
      <x:c r="A161" s="113" t="str">
        <x:f>IF(D161="","",IF(COUNTIFS(Trips!$A$6:$A$105,D161)=1,INDEX(Trips!$C$6:$C$105,MATCH(D161,Trips!$A$6:$A$105,0)),""))</x:f>
      </x:c>
      <x:c r="B161" s="90" t="str">
        <x:f>IF(D161="","",IF(COUNTIFS(Trips!$A$6:$A$105,D161)=1,INDEX(Trips!$B$6:$B$105,MATCH(D161,Trips!$A$6:$A$105,0)),""))</x:f>
      </x:c>
      <x:c r="C161" s="90" t="str">
        <x:f>IF(D161="","",IF(COUNTIFS(Trips!$A$6:$A$105,D161)=1,INDEX(Trips!$D$6:$D$105,MATCH(D161,Trips!$A$6:$A$105,0)),""))</x:f>
      </x:c>
      <x:c r="D161" s="107"/>
      <x:c r="E161" s="107"/>
      <x:c r="F161" s="90" t="str">
        <x:f>IF(E161="","",IF(COUNTIFS(Counters!$A$6:$A$105,E161)=1,INDEX(Counters!$B$6:$B$105,MATCH(E161,Counters!$A$6:$A$105,0)),""))</x:f>
      </x:c>
      <x:c r="G161" s="107"/>
      <x:c r="H161" s="98" t="str">
        <x:f>IF(C161="","",IF(COUNTIFS('Route List'!$F$6:$F$205,C161)=1,IF(COUNTIFS('Route List'!$F$6:$F$205,C161,'Route List'!$G$6:$G$205,"&lt;&gt;")=1,INDEX('Route List'!$G$6:$G$205,MATCH(C161,'Route List'!$F$6:$F$205,0)),"Enter route fare"),"Enter route fare"))</x:f>
      </x:c>
      <x:c r="I161" s="98" t="str">
        <x:f>IF(F161="","",IF(F161="Own",0,50))</x:f>
      </x:c>
      <x:c r="J161" s="98" t="str">
        <x:f>IF(OR(D161="",E161=""),"",IF(AND(ISNUMBER(G161),ISNUMBER(H161)),ROUND(G161*H161,2),""))</x:f>
      </x:c>
      <x:c r="K161" s="98" t="str">
        <x:f>IF(OR(D161="",E161=""),"",IF(AND(ISNUMBER(G161),ISNUMBER(I161)),ROUND(G161*I161,2),""))</x:f>
      </x:c>
      <x:c r="L161" s="98" t="str">
        <x:f>IF(OR(D161="",E161=""),"",IF(AND(ISNUMBER(J161),ISNUMBER(K161)),J161-K161,""))</x:f>
      </x:c>
      <x:c r="M161" s="114"/>
      <x:c r="N161" s="98" t="str">
        <x:f>IF(OR(D161="",E161=""),"",IF(COUNTIFS($D$6:D161,D161,$E$6:E161,E161)=1,MAX(SUMIFS($L$6:$L$505,$D$6:$D$505,D161,$E$6:$E$505,E161)-SUMIFS($M$6:$M$505,$D$6:$D$505,D161,$E$6:$E$505,E161),0),""))</x:f>
      </x:c>
    </x:row>
    <x:row r="162" ht="28" customHeight="1">
      <x:c r="A162" s="113" t="str">
        <x:f>IF(D162="","",IF(COUNTIFS(Trips!$A$6:$A$105,D162)=1,INDEX(Trips!$C$6:$C$105,MATCH(D162,Trips!$A$6:$A$105,0)),""))</x:f>
      </x:c>
      <x:c r="B162" s="90" t="str">
        <x:f>IF(D162="","",IF(COUNTIFS(Trips!$A$6:$A$105,D162)=1,INDEX(Trips!$B$6:$B$105,MATCH(D162,Trips!$A$6:$A$105,0)),""))</x:f>
      </x:c>
      <x:c r="C162" s="90" t="str">
        <x:f>IF(D162="","",IF(COUNTIFS(Trips!$A$6:$A$105,D162)=1,INDEX(Trips!$D$6:$D$105,MATCH(D162,Trips!$A$6:$A$105,0)),""))</x:f>
      </x:c>
      <x:c r="D162" s="107"/>
      <x:c r="E162" s="107"/>
      <x:c r="F162" s="90" t="str">
        <x:f>IF(E162="","",IF(COUNTIFS(Counters!$A$6:$A$105,E162)=1,INDEX(Counters!$B$6:$B$105,MATCH(E162,Counters!$A$6:$A$105,0)),""))</x:f>
      </x:c>
      <x:c r="G162" s="107"/>
      <x:c r="H162" s="98" t="str">
        <x:f>IF(C162="","",IF(COUNTIFS('Route List'!$F$6:$F$205,C162)=1,IF(COUNTIFS('Route List'!$F$6:$F$205,C162,'Route List'!$G$6:$G$205,"&lt;&gt;")=1,INDEX('Route List'!$G$6:$G$205,MATCH(C162,'Route List'!$F$6:$F$205,0)),"Enter route fare"),"Enter route fare"))</x:f>
      </x:c>
      <x:c r="I162" s="98" t="str">
        <x:f>IF(F162="","",IF(F162="Own",0,50))</x:f>
      </x:c>
      <x:c r="J162" s="98" t="str">
        <x:f>IF(OR(D162="",E162=""),"",IF(AND(ISNUMBER(G162),ISNUMBER(H162)),ROUND(G162*H162,2),""))</x:f>
      </x:c>
      <x:c r="K162" s="98" t="str">
        <x:f>IF(OR(D162="",E162=""),"",IF(AND(ISNUMBER(G162),ISNUMBER(I162)),ROUND(G162*I162,2),""))</x:f>
      </x:c>
      <x:c r="L162" s="98" t="str">
        <x:f>IF(OR(D162="",E162=""),"",IF(AND(ISNUMBER(J162),ISNUMBER(K162)),J162-K162,""))</x:f>
      </x:c>
      <x:c r="M162" s="114"/>
      <x:c r="N162" s="98" t="str">
        <x:f>IF(OR(D162="",E162=""),"",IF(COUNTIFS($D$6:D162,D162,$E$6:E162,E162)=1,MAX(SUMIFS($L$6:$L$505,$D$6:$D$505,D162,$E$6:$E$505,E162)-SUMIFS($M$6:$M$505,$D$6:$D$505,D162,$E$6:$E$505,E162),0),""))</x:f>
      </x:c>
    </x:row>
    <x:row r="163" ht="28" customHeight="1">
      <x:c r="A163" s="113" t="str">
        <x:f>IF(D163="","",IF(COUNTIFS(Trips!$A$6:$A$105,D163)=1,INDEX(Trips!$C$6:$C$105,MATCH(D163,Trips!$A$6:$A$105,0)),""))</x:f>
      </x:c>
      <x:c r="B163" s="90" t="str">
        <x:f>IF(D163="","",IF(COUNTIFS(Trips!$A$6:$A$105,D163)=1,INDEX(Trips!$B$6:$B$105,MATCH(D163,Trips!$A$6:$A$105,0)),""))</x:f>
      </x:c>
      <x:c r="C163" s="90" t="str">
        <x:f>IF(D163="","",IF(COUNTIFS(Trips!$A$6:$A$105,D163)=1,INDEX(Trips!$D$6:$D$105,MATCH(D163,Trips!$A$6:$A$105,0)),""))</x:f>
      </x:c>
      <x:c r="D163" s="107"/>
      <x:c r="E163" s="107"/>
      <x:c r="F163" s="90" t="str">
        <x:f>IF(E163="","",IF(COUNTIFS(Counters!$A$6:$A$105,E163)=1,INDEX(Counters!$B$6:$B$105,MATCH(E163,Counters!$A$6:$A$105,0)),""))</x:f>
      </x:c>
      <x:c r="G163" s="107"/>
      <x:c r="H163" s="98" t="str">
        <x:f>IF(C163="","",IF(COUNTIFS('Route List'!$F$6:$F$205,C163)=1,IF(COUNTIFS('Route List'!$F$6:$F$205,C163,'Route List'!$G$6:$G$205,"&lt;&gt;")=1,INDEX('Route List'!$G$6:$G$205,MATCH(C163,'Route List'!$F$6:$F$205,0)),"Enter route fare"),"Enter route fare"))</x:f>
      </x:c>
      <x:c r="I163" s="98" t="str">
        <x:f>IF(F163="","",IF(F163="Own",0,50))</x:f>
      </x:c>
      <x:c r="J163" s="98" t="str">
        <x:f>IF(OR(D163="",E163=""),"",IF(AND(ISNUMBER(G163),ISNUMBER(H163)),ROUND(G163*H163,2),""))</x:f>
      </x:c>
      <x:c r="K163" s="98" t="str">
        <x:f>IF(OR(D163="",E163=""),"",IF(AND(ISNUMBER(G163),ISNUMBER(I163)),ROUND(G163*I163,2),""))</x:f>
      </x:c>
      <x:c r="L163" s="98" t="str">
        <x:f>IF(OR(D163="",E163=""),"",IF(AND(ISNUMBER(J163),ISNUMBER(K163)),J163-K163,""))</x:f>
      </x:c>
      <x:c r="M163" s="114"/>
      <x:c r="N163" s="98" t="str">
        <x:f>IF(OR(D163="",E163=""),"",IF(COUNTIFS($D$6:D163,D163,$E$6:E163,E163)=1,MAX(SUMIFS($L$6:$L$505,$D$6:$D$505,D163,$E$6:$E$505,E163)-SUMIFS($M$6:$M$505,$D$6:$D$505,D163,$E$6:$E$505,E163),0),""))</x:f>
      </x:c>
    </x:row>
    <x:row r="164" ht="28" customHeight="1">
      <x:c r="A164" s="113" t="str">
        <x:f>IF(D164="","",IF(COUNTIFS(Trips!$A$6:$A$105,D164)=1,INDEX(Trips!$C$6:$C$105,MATCH(D164,Trips!$A$6:$A$105,0)),""))</x:f>
      </x:c>
      <x:c r="B164" s="90" t="str">
        <x:f>IF(D164="","",IF(COUNTIFS(Trips!$A$6:$A$105,D164)=1,INDEX(Trips!$B$6:$B$105,MATCH(D164,Trips!$A$6:$A$105,0)),""))</x:f>
      </x:c>
      <x:c r="C164" s="90" t="str">
        <x:f>IF(D164="","",IF(COUNTIFS(Trips!$A$6:$A$105,D164)=1,INDEX(Trips!$D$6:$D$105,MATCH(D164,Trips!$A$6:$A$105,0)),""))</x:f>
      </x:c>
      <x:c r="D164" s="107"/>
      <x:c r="E164" s="107"/>
      <x:c r="F164" s="90" t="str">
        <x:f>IF(E164="","",IF(COUNTIFS(Counters!$A$6:$A$105,E164)=1,INDEX(Counters!$B$6:$B$105,MATCH(E164,Counters!$A$6:$A$105,0)),""))</x:f>
      </x:c>
      <x:c r="G164" s="107"/>
      <x:c r="H164" s="98" t="str">
        <x:f>IF(C164="","",IF(COUNTIFS('Route List'!$F$6:$F$205,C164)=1,IF(COUNTIFS('Route List'!$F$6:$F$205,C164,'Route List'!$G$6:$G$205,"&lt;&gt;")=1,INDEX('Route List'!$G$6:$G$205,MATCH(C164,'Route List'!$F$6:$F$205,0)),"Enter route fare"),"Enter route fare"))</x:f>
      </x:c>
      <x:c r="I164" s="98" t="str">
        <x:f>IF(F164="","",IF(F164="Own",0,50))</x:f>
      </x:c>
      <x:c r="J164" s="98" t="str">
        <x:f>IF(OR(D164="",E164=""),"",IF(AND(ISNUMBER(G164),ISNUMBER(H164)),ROUND(G164*H164,2),""))</x:f>
      </x:c>
      <x:c r="K164" s="98" t="str">
        <x:f>IF(OR(D164="",E164=""),"",IF(AND(ISNUMBER(G164),ISNUMBER(I164)),ROUND(G164*I164,2),""))</x:f>
      </x:c>
      <x:c r="L164" s="98" t="str">
        <x:f>IF(OR(D164="",E164=""),"",IF(AND(ISNUMBER(J164),ISNUMBER(K164)),J164-K164,""))</x:f>
      </x:c>
      <x:c r="M164" s="114"/>
      <x:c r="N164" s="98" t="str">
        <x:f>IF(OR(D164="",E164=""),"",IF(COUNTIFS($D$6:D164,D164,$E$6:E164,E164)=1,MAX(SUMIFS($L$6:$L$505,$D$6:$D$505,D164,$E$6:$E$505,E164)-SUMIFS($M$6:$M$505,$D$6:$D$505,D164,$E$6:$E$505,E164),0),""))</x:f>
      </x:c>
    </x:row>
    <x:row r="165" ht="28" customHeight="1">
      <x:c r="A165" s="113" t="str">
        <x:f>IF(D165="","",IF(COUNTIFS(Trips!$A$6:$A$105,D165)=1,INDEX(Trips!$C$6:$C$105,MATCH(D165,Trips!$A$6:$A$105,0)),""))</x:f>
      </x:c>
      <x:c r="B165" s="90" t="str">
        <x:f>IF(D165="","",IF(COUNTIFS(Trips!$A$6:$A$105,D165)=1,INDEX(Trips!$B$6:$B$105,MATCH(D165,Trips!$A$6:$A$105,0)),""))</x:f>
      </x:c>
      <x:c r="C165" s="90" t="str">
        <x:f>IF(D165="","",IF(COUNTIFS(Trips!$A$6:$A$105,D165)=1,INDEX(Trips!$D$6:$D$105,MATCH(D165,Trips!$A$6:$A$105,0)),""))</x:f>
      </x:c>
      <x:c r="D165" s="107"/>
      <x:c r="E165" s="107"/>
      <x:c r="F165" s="90" t="str">
        <x:f>IF(E165="","",IF(COUNTIFS(Counters!$A$6:$A$105,E165)=1,INDEX(Counters!$B$6:$B$105,MATCH(E165,Counters!$A$6:$A$105,0)),""))</x:f>
      </x:c>
      <x:c r="G165" s="107"/>
      <x:c r="H165" s="98" t="str">
        <x:f>IF(C165="","",IF(COUNTIFS('Route List'!$F$6:$F$205,C165)=1,IF(COUNTIFS('Route List'!$F$6:$F$205,C165,'Route List'!$G$6:$G$205,"&lt;&gt;")=1,INDEX('Route List'!$G$6:$G$205,MATCH(C165,'Route List'!$F$6:$F$205,0)),"Enter route fare"),"Enter route fare"))</x:f>
      </x:c>
      <x:c r="I165" s="98" t="str">
        <x:f>IF(F165="","",IF(F165="Own",0,50))</x:f>
      </x:c>
      <x:c r="J165" s="98" t="str">
        <x:f>IF(OR(D165="",E165=""),"",IF(AND(ISNUMBER(G165),ISNUMBER(H165)),ROUND(G165*H165,2),""))</x:f>
      </x:c>
      <x:c r="K165" s="98" t="str">
        <x:f>IF(OR(D165="",E165=""),"",IF(AND(ISNUMBER(G165),ISNUMBER(I165)),ROUND(G165*I165,2),""))</x:f>
      </x:c>
      <x:c r="L165" s="98" t="str">
        <x:f>IF(OR(D165="",E165=""),"",IF(AND(ISNUMBER(J165),ISNUMBER(K165)),J165-K165,""))</x:f>
      </x:c>
      <x:c r="M165" s="114"/>
      <x:c r="N165" s="98" t="str">
        <x:f>IF(OR(D165="",E165=""),"",IF(COUNTIFS($D$6:D165,D165,$E$6:E165,E165)=1,MAX(SUMIFS($L$6:$L$505,$D$6:$D$505,D165,$E$6:$E$505,E165)-SUMIFS($M$6:$M$505,$D$6:$D$505,D165,$E$6:$E$505,E165),0),""))</x:f>
      </x:c>
    </x:row>
    <x:row r="166" ht="28" customHeight="1">
      <x:c r="A166" s="113" t="str">
        <x:f>IF(D166="","",IF(COUNTIFS(Trips!$A$6:$A$105,D166)=1,INDEX(Trips!$C$6:$C$105,MATCH(D166,Trips!$A$6:$A$105,0)),""))</x:f>
      </x:c>
      <x:c r="B166" s="90" t="str">
        <x:f>IF(D166="","",IF(COUNTIFS(Trips!$A$6:$A$105,D166)=1,INDEX(Trips!$B$6:$B$105,MATCH(D166,Trips!$A$6:$A$105,0)),""))</x:f>
      </x:c>
      <x:c r="C166" s="90" t="str">
        <x:f>IF(D166="","",IF(COUNTIFS(Trips!$A$6:$A$105,D166)=1,INDEX(Trips!$D$6:$D$105,MATCH(D166,Trips!$A$6:$A$105,0)),""))</x:f>
      </x:c>
      <x:c r="D166" s="107"/>
      <x:c r="E166" s="107"/>
      <x:c r="F166" s="90" t="str">
        <x:f>IF(E166="","",IF(COUNTIFS(Counters!$A$6:$A$105,E166)=1,INDEX(Counters!$B$6:$B$105,MATCH(E166,Counters!$A$6:$A$105,0)),""))</x:f>
      </x:c>
      <x:c r="G166" s="107"/>
      <x:c r="H166" s="98" t="str">
        <x:f>IF(C166="","",IF(COUNTIFS('Route List'!$F$6:$F$205,C166)=1,IF(COUNTIFS('Route List'!$F$6:$F$205,C166,'Route List'!$G$6:$G$205,"&lt;&gt;")=1,INDEX('Route List'!$G$6:$G$205,MATCH(C166,'Route List'!$F$6:$F$205,0)),"Enter route fare"),"Enter route fare"))</x:f>
      </x:c>
      <x:c r="I166" s="98" t="str">
        <x:f>IF(F166="","",IF(F166="Own",0,50))</x:f>
      </x:c>
      <x:c r="J166" s="98" t="str">
        <x:f>IF(OR(D166="",E166=""),"",IF(AND(ISNUMBER(G166),ISNUMBER(H166)),ROUND(G166*H166,2),""))</x:f>
      </x:c>
      <x:c r="K166" s="98" t="str">
        <x:f>IF(OR(D166="",E166=""),"",IF(AND(ISNUMBER(G166),ISNUMBER(I166)),ROUND(G166*I166,2),""))</x:f>
      </x:c>
      <x:c r="L166" s="98" t="str">
        <x:f>IF(OR(D166="",E166=""),"",IF(AND(ISNUMBER(J166),ISNUMBER(K166)),J166-K166,""))</x:f>
      </x:c>
      <x:c r="M166" s="114"/>
      <x:c r="N166" s="98" t="str">
        <x:f>IF(OR(D166="",E166=""),"",IF(COUNTIFS($D$6:D166,D166,$E$6:E166,E166)=1,MAX(SUMIFS($L$6:$L$505,$D$6:$D$505,D166,$E$6:$E$505,E166)-SUMIFS($M$6:$M$505,$D$6:$D$505,D166,$E$6:$E$505,E166),0),""))</x:f>
      </x:c>
    </x:row>
    <x:row r="167" ht="28" customHeight="1">
      <x:c r="A167" s="113" t="str">
        <x:f>IF(D167="","",IF(COUNTIFS(Trips!$A$6:$A$105,D167)=1,INDEX(Trips!$C$6:$C$105,MATCH(D167,Trips!$A$6:$A$105,0)),""))</x:f>
      </x:c>
      <x:c r="B167" s="90" t="str">
        <x:f>IF(D167="","",IF(COUNTIFS(Trips!$A$6:$A$105,D167)=1,INDEX(Trips!$B$6:$B$105,MATCH(D167,Trips!$A$6:$A$105,0)),""))</x:f>
      </x:c>
      <x:c r="C167" s="90" t="str">
        <x:f>IF(D167="","",IF(COUNTIFS(Trips!$A$6:$A$105,D167)=1,INDEX(Trips!$D$6:$D$105,MATCH(D167,Trips!$A$6:$A$105,0)),""))</x:f>
      </x:c>
      <x:c r="D167" s="107"/>
      <x:c r="E167" s="107"/>
      <x:c r="F167" s="90" t="str">
        <x:f>IF(E167="","",IF(COUNTIFS(Counters!$A$6:$A$105,E167)=1,INDEX(Counters!$B$6:$B$105,MATCH(E167,Counters!$A$6:$A$105,0)),""))</x:f>
      </x:c>
      <x:c r="G167" s="107"/>
      <x:c r="H167" s="98" t="str">
        <x:f>IF(C167="","",IF(COUNTIFS('Route List'!$F$6:$F$205,C167)=1,IF(COUNTIFS('Route List'!$F$6:$F$205,C167,'Route List'!$G$6:$G$205,"&lt;&gt;")=1,INDEX('Route List'!$G$6:$G$205,MATCH(C167,'Route List'!$F$6:$F$205,0)),"Enter route fare"),"Enter route fare"))</x:f>
      </x:c>
      <x:c r="I167" s="98" t="str">
        <x:f>IF(F167="","",IF(F167="Own",0,50))</x:f>
      </x:c>
      <x:c r="J167" s="98" t="str">
        <x:f>IF(OR(D167="",E167=""),"",IF(AND(ISNUMBER(G167),ISNUMBER(H167)),ROUND(G167*H167,2),""))</x:f>
      </x:c>
      <x:c r="K167" s="98" t="str">
        <x:f>IF(OR(D167="",E167=""),"",IF(AND(ISNUMBER(G167),ISNUMBER(I167)),ROUND(G167*I167,2),""))</x:f>
      </x:c>
      <x:c r="L167" s="98" t="str">
        <x:f>IF(OR(D167="",E167=""),"",IF(AND(ISNUMBER(J167),ISNUMBER(K167)),J167-K167,""))</x:f>
      </x:c>
      <x:c r="M167" s="114"/>
      <x:c r="N167" s="98" t="str">
        <x:f>IF(OR(D167="",E167=""),"",IF(COUNTIFS($D$6:D167,D167,$E$6:E167,E167)=1,MAX(SUMIFS($L$6:$L$505,$D$6:$D$505,D167,$E$6:$E$505,E167)-SUMIFS($M$6:$M$505,$D$6:$D$505,D167,$E$6:$E$505,E167),0),""))</x:f>
      </x:c>
    </x:row>
    <x:row r="168" ht="28" customHeight="1">
      <x:c r="A168" s="113" t="str">
        <x:f>IF(D168="","",IF(COUNTIFS(Trips!$A$6:$A$105,D168)=1,INDEX(Trips!$C$6:$C$105,MATCH(D168,Trips!$A$6:$A$105,0)),""))</x:f>
      </x:c>
      <x:c r="B168" s="90" t="str">
        <x:f>IF(D168="","",IF(COUNTIFS(Trips!$A$6:$A$105,D168)=1,INDEX(Trips!$B$6:$B$105,MATCH(D168,Trips!$A$6:$A$105,0)),""))</x:f>
      </x:c>
      <x:c r="C168" s="90" t="str">
        <x:f>IF(D168="","",IF(COUNTIFS(Trips!$A$6:$A$105,D168)=1,INDEX(Trips!$D$6:$D$105,MATCH(D168,Trips!$A$6:$A$105,0)),""))</x:f>
      </x:c>
      <x:c r="D168" s="107"/>
      <x:c r="E168" s="107"/>
      <x:c r="F168" s="90" t="str">
        <x:f>IF(E168="","",IF(COUNTIFS(Counters!$A$6:$A$105,E168)=1,INDEX(Counters!$B$6:$B$105,MATCH(E168,Counters!$A$6:$A$105,0)),""))</x:f>
      </x:c>
      <x:c r="G168" s="107"/>
      <x:c r="H168" s="98" t="str">
        <x:f>IF(C168="","",IF(COUNTIFS('Route List'!$F$6:$F$205,C168)=1,IF(COUNTIFS('Route List'!$F$6:$F$205,C168,'Route List'!$G$6:$G$205,"&lt;&gt;")=1,INDEX('Route List'!$G$6:$G$205,MATCH(C168,'Route List'!$F$6:$F$205,0)),"Enter route fare"),"Enter route fare"))</x:f>
      </x:c>
      <x:c r="I168" s="98" t="str">
        <x:f>IF(F168="","",IF(F168="Own",0,50))</x:f>
      </x:c>
      <x:c r="J168" s="98" t="str">
        <x:f>IF(OR(D168="",E168=""),"",IF(AND(ISNUMBER(G168),ISNUMBER(H168)),ROUND(G168*H168,2),""))</x:f>
      </x:c>
      <x:c r="K168" s="98" t="str">
        <x:f>IF(OR(D168="",E168=""),"",IF(AND(ISNUMBER(G168),ISNUMBER(I168)),ROUND(G168*I168,2),""))</x:f>
      </x:c>
      <x:c r="L168" s="98" t="str">
        <x:f>IF(OR(D168="",E168=""),"",IF(AND(ISNUMBER(J168),ISNUMBER(K168)),J168-K168,""))</x:f>
      </x:c>
      <x:c r="M168" s="114"/>
      <x:c r="N168" s="98" t="str">
        <x:f>IF(OR(D168="",E168=""),"",IF(COUNTIFS($D$6:D168,D168,$E$6:E168,E168)=1,MAX(SUMIFS($L$6:$L$505,$D$6:$D$505,D168,$E$6:$E$505,E168)-SUMIFS($M$6:$M$505,$D$6:$D$505,D168,$E$6:$E$505,E168),0),""))</x:f>
      </x:c>
    </x:row>
    <x:row r="169" ht="28" customHeight="1">
      <x:c r="A169" s="113" t="str">
        <x:f>IF(D169="","",IF(COUNTIFS(Trips!$A$6:$A$105,D169)=1,INDEX(Trips!$C$6:$C$105,MATCH(D169,Trips!$A$6:$A$105,0)),""))</x:f>
      </x:c>
      <x:c r="B169" s="90" t="str">
        <x:f>IF(D169="","",IF(COUNTIFS(Trips!$A$6:$A$105,D169)=1,INDEX(Trips!$B$6:$B$105,MATCH(D169,Trips!$A$6:$A$105,0)),""))</x:f>
      </x:c>
      <x:c r="C169" s="90" t="str">
        <x:f>IF(D169="","",IF(COUNTIFS(Trips!$A$6:$A$105,D169)=1,INDEX(Trips!$D$6:$D$105,MATCH(D169,Trips!$A$6:$A$105,0)),""))</x:f>
      </x:c>
      <x:c r="D169" s="107"/>
      <x:c r="E169" s="107"/>
      <x:c r="F169" s="90" t="str">
        <x:f>IF(E169="","",IF(COUNTIFS(Counters!$A$6:$A$105,E169)=1,INDEX(Counters!$B$6:$B$105,MATCH(E169,Counters!$A$6:$A$105,0)),""))</x:f>
      </x:c>
      <x:c r="G169" s="107"/>
      <x:c r="H169" s="98" t="str">
        <x:f>IF(C169="","",IF(COUNTIFS('Route List'!$F$6:$F$205,C169)=1,IF(COUNTIFS('Route List'!$F$6:$F$205,C169,'Route List'!$G$6:$G$205,"&lt;&gt;")=1,INDEX('Route List'!$G$6:$G$205,MATCH(C169,'Route List'!$F$6:$F$205,0)),"Enter route fare"),"Enter route fare"))</x:f>
      </x:c>
      <x:c r="I169" s="98" t="str">
        <x:f>IF(F169="","",IF(F169="Own",0,50))</x:f>
      </x:c>
      <x:c r="J169" s="98" t="str">
        <x:f>IF(OR(D169="",E169=""),"",IF(AND(ISNUMBER(G169),ISNUMBER(H169)),ROUND(G169*H169,2),""))</x:f>
      </x:c>
      <x:c r="K169" s="98" t="str">
        <x:f>IF(OR(D169="",E169=""),"",IF(AND(ISNUMBER(G169),ISNUMBER(I169)),ROUND(G169*I169,2),""))</x:f>
      </x:c>
      <x:c r="L169" s="98" t="str">
        <x:f>IF(OR(D169="",E169=""),"",IF(AND(ISNUMBER(J169),ISNUMBER(K169)),J169-K169,""))</x:f>
      </x:c>
      <x:c r="M169" s="114"/>
      <x:c r="N169" s="98" t="str">
        <x:f>IF(OR(D169="",E169=""),"",IF(COUNTIFS($D$6:D169,D169,$E$6:E169,E169)=1,MAX(SUMIFS($L$6:$L$505,$D$6:$D$505,D169,$E$6:$E$505,E169)-SUMIFS($M$6:$M$505,$D$6:$D$505,D169,$E$6:$E$505,E169),0),""))</x:f>
      </x:c>
    </x:row>
    <x:row r="170" ht="28" customHeight="1">
      <x:c r="A170" s="113" t="str">
        <x:f>IF(D170="","",IF(COUNTIFS(Trips!$A$6:$A$105,D170)=1,INDEX(Trips!$C$6:$C$105,MATCH(D170,Trips!$A$6:$A$105,0)),""))</x:f>
      </x:c>
      <x:c r="B170" s="90" t="str">
        <x:f>IF(D170="","",IF(COUNTIFS(Trips!$A$6:$A$105,D170)=1,INDEX(Trips!$B$6:$B$105,MATCH(D170,Trips!$A$6:$A$105,0)),""))</x:f>
      </x:c>
      <x:c r="C170" s="90" t="str">
        <x:f>IF(D170="","",IF(COUNTIFS(Trips!$A$6:$A$105,D170)=1,INDEX(Trips!$D$6:$D$105,MATCH(D170,Trips!$A$6:$A$105,0)),""))</x:f>
      </x:c>
      <x:c r="D170" s="107"/>
      <x:c r="E170" s="107"/>
      <x:c r="F170" s="90" t="str">
        <x:f>IF(E170="","",IF(COUNTIFS(Counters!$A$6:$A$105,E170)=1,INDEX(Counters!$B$6:$B$105,MATCH(E170,Counters!$A$6:$A$105,0)),""))</x:f>
      </x:c>
      <x:c r="G170" s="107"/>
      <x:c r="H170" s="98" t="str">
        <x:f>IF(C170="","",IF(COUNTIFS('Route List'!$F$6:$F$205,C170)=1,IF(COUNTIFS('Route List'!$F$6:$F$205,C170,'Route List'!$G$6:$G$205,"&lt;&gt;")=1,INDEX('Route List'!$G$6:$G$205,MATCH(C170,'Route List'!$F$6:$F$205,0)),"Enter route fare"),"Enter route fare"))</x:f>
      </x:c>
      <x:c r="I170" s="98" t="str">
        <x:f>IF(F170="","",IF(F170="Own",0,50))</x:f>
      </x:c>
      <x:c r="J170" s="98" t="str">
        <x:f>IF(OR(D170="",E170=""),"",IF(AND(ISNUMBER(G170),ISNUMBER(H170)),ROUND(G170*H170,2),""))</x:f>
      </x:c>
      <x:c r="K170" s="98" t="str">
        <x:f>IF(OR(D170="",E170=""),"",IF(AND(ISNUMBER(G170),ISNUMBER(I170)),ROUND(G170*I170,2),""))</x:f>
      </x:c>
      <x:c r="L170" s="98" t="str">
        <x:f>IF(OR(D170="",E170=""),"",IF(AND(ISNUMBER(J170),ISNUMBER(K170)),J170-K170,""))</x:f>
      </x:c>
      <x:c r="M170" s="114"/>
      <x:c r="N170" s="98" t="str">
        <x:f>IF(OR(D170="",E170=""),"",IF(COUNTIFS($D$6:D170,D170,$E$6:E170,E170)=1,MAX(SUMIFS($L$6:$L$505,$D$6:$D$505,D170,$E$6:$E$505,E170)-SUMIFS($M$6:$M$505,$D$6:$D$505,D170,$E$6:$E$505,E170),0),""))</x:f>
      </x:c>
    </x:row>
    <x:row r="171" ht="28" customHeight="1">
      <x:c r="A171" s="113" t="str">
        <x:f>IF(D171="","",IF(COUNTIFS(Trips!$A$6:$A$105,D171)=1,INDEX(Trips!$C$6:$C$105,MATCH(D171,Trips!$A$6:$A$105,0)),""))</x:f>
      </x:c>
      <x:c r="B171" s="90" t="str">
        <x:f>IF(D171="","",IF(COUNTIFS(Trips!$A$6:$A$105,D171)=1,INDEX(Trips!$B$6:$B$105,MATCH(D171,Trips!$A$6:$A$105,0)),""))</x:f>
      </x:c>
      <x:c r="C171" s="90" t="str">
        <x:f>IF(D171="","",IF(COUNTIFS(Trips!$A$6:$A$105,D171)=1,INDEX(Trips!$D$6:$D$105,MATCH(D171,Trips!$A$6:$A$105,0)),""))</x:f>
      </x:c>
      <x:c r="D171" s="107"/>
      <x:c r="E171" s="107"/>
      <x:c r="F171" s="90" t="str">
        <x:f>IF(E171="","",IF(COUNTIFS(Counters!$A$6:$A$105,E171)=1,INDEX(Counters!$B$6:$B$105,MATCH(E171,Counters!$A$6:$A$105,0)),""))</x:f>
      </x:c>
      <x:c r="G171" s="107"/>
      <x:c r="H171" s="98" t="str">
        <x:f>IF(C171="","",IF(COUNTIFS('Route List'!$F$6:$F$205,C171)=1,IF(COUNTIFS('Route List'!$F$6:$F$205,C171,'Route List'!$G$6:$G$205,"&lt;&gt;")=1,INDEX('Route List'!$G$6:$G$205,MATCH(C171,'Route List'!$F$6:$F$205,0)),"Enter route fare"),"Enter route fare"))</x:f>
      </x:c>
      <x:c r="I171" s="98" t="str">
        <x:f>IF(F171="","",IF(F171="Own",0,50))</x:f>
      </x:c>
      <x:c r="J171" s="98" t="str">
        <x:f>IF(OR(D171="",E171=""),"",IF(AND(ISNUMBER(G171),ISNUMBER(H171)),ROUND(G171*H171,2),""))</x:f>
      </x:c>
      <x:c r="K171" s="98" t="str">
        <x:f>IF(OR(D171="",E171=""),"",IF(AND(ISNUMBER(G171),ISNUMBER(I171)),ROUND(G171*I171,2),""))</x:f>
      </x:c>
      <x:c r="L171" s="98" t="str">
        <x:f>IF(OR(D171="",E171=""),"",IF(AND(ISNUMBER(J171),ISNUMBER(K171)),J171-K171,""))</x:f>
      </x:c>
      <x:c r="M171" s="114"/>
      <x:c r="N171" s="98" t="str">
        <x:f>IF(OR(D171="",E171=""),"",IF(COUNTIFS($D$6:D171,D171,$E$6:E171,E171)=1,MAX(SUMIFS($L$6:$L$505,$D$6:$D$505,D171,$E$6:$E$505,E171)-SUMIFS($M$6:$M$505,$D$6:$D$505,D171,$E$6:$E$505,E171),0),""))</x:f>
      </x:c>
    </x:row>
    <x:row r="172" ht="28" customHeight="1">
      <x:c r="A172" s="113" t="str">
        <x:f>IF(D172="","",IF(COUNTIFS(Trips!$A$6:$A$105,D172)=1,INDEX(Trips!$C$6:$C$105,MATCH(D172,Trips!$A$6:$A$105,0)),""))</x:f>
      </x:c>
      <x:c r="B172" s="90" t="str">
        <x:f>IF(D172="","",IF(COUNTIFS(Trips!$A$6:$A$105,D172)=1,INDEX(Trips!$B$6:$B$105,MATCH(D172,Trips!$A$6:$A$105,0)),""))</x:f>
      </x:c>
      <x:c r="C172" s="90" t="str">
        <x:f>IF(D172="","",IF(COUNTIFS(Trips!$A$6:$A$105,D172)=1,INDEX(Trips!$D$6:$D$105,MATCH(D172,Trips!$A$6:$A$105,0)),""))</x:f>
      </x:c>
      <x:c r="D172" s="107"/>
      <x:c r="E172" s="107"/>
      <x:c r="F172" s="90" t="str">
        <x:f>IF(E172="","",IF(COUNTIFS(Counters!$A$6:$A$105,E172)=1,INDEX(Counters!$B$6:$B$105,MATCH(E172,Counters!$A$6:$A$105,0)),""))</x:f>
      </x:c>
      <x:c r="G172" s="107"/>
      <x:c r="H172" s="98" t="str">
        <x:f>IF(C172="","",IF(COUNTIFS('Route List'!$F$6:$F$205,C172)=1,IF(COUNTIFS('Route List'!$F$6:$F$205,C172,'Route List'!$G$6:$G$205,"&lt;&gt;")=1,INDEX('Route List'!$G$6:$G$205,MATCH(C172,'Route List'!$F$6:$F$205,0)),"Enter route fare"),"Enter route fare"))</x:f>
      </x:c>
      <x:c r="I172" s="98" t="str">
        <x:f>IF(F172="","",IF(F172="Own",0,50))</x:f>
      </x:c>
      <x:c r="J172" s="98" t="str">
        <x:f>IF(OR(D172="",E172=""),"",IF(AND(ISNUMBER(G172),ISNUMBER(H172)),ROUND(G172*H172,2),""))</x:f>
      </x:c>
      <x:c r="K172" s="98" t="str">
        <x:f>IF(OR(D172="",E172=""),"",IF(AND(ISNUMBER(G172),ISNUMBER(I172)),ROUND(G172*I172,2),""))</x:f>
      </x:c>
      <x:c r="L172" s="98" t="str">
        <x:f>IF(OR(D172="",E172=""),"",IF(AND(ISNUMBER(J172),ISNUMBER(K172)),J172-K172,""))</x:f>
      </x:c>
      <x:c r="M172" s="114"/>
      <x:c r="N172" s="98" t="str">
        <x:f>IF(OR(D172="",E172=""),"",IF(COUNTIFS($D$6:D172,D172,$E$6:E172,E172)=1,MAX(SUMIFS($L$6:$L$505,$D$6:$D$505,D172,$E$6:$E$505,E172)-SUMIFS($M$6:$M$505,$D$6:$D$505,D172,$E$6:$E$505,E172),0),""))</x:f>
      </x:c>
    </x:row>
    <x:row r="173" ht="28" customHeight="1">
      <x:c r="A173" s="113" t="str">
        <x:f>IF(D173="","",IF(COUNTIFS(Trips!$A$6:$A$105,D173)=1,INDEX(Trips!$C$6:$C$105,MATCH(D173,Trips!$A$6:$A$105,0)),""))</x:f>
      </x:c>
      <x:c r="B173" s="90" t="str">
        <x:f>IF(D173="","",IF(COUNTIFS(Trips!$A$6:$A$105,D173)=1,INDEX(Trips!$B$6:$B$105,MATCH(D173,Trips!$A$6:$A$105,0)),""))</x:f>
      </x:c>
      <x:c r="C173" s="90" t="str">
        <x:f>IF(D173="","",IF(COUNTIFS(Trips!$A$6:$A$105,D173)=1,INDEX(Trips!$D$6:$D$105,MATCH(D173,Trips!$A$6:$A$105,0)),""))</x:f>
      </x:c>
      <x:c r="D173" s="107"/>
      <x:c r="E173" s="107"/>
      <x:c r="F173" s="90" t="str">
        <x:f>IF(E173="","",IF(COUNTIFS(Counters!$A$6:$A$105,E173)=1,INDEX(Counters!$B$6:$B$105,MATCH(E173,Counters!$A$6:$A$105,0)),""))</x:f>
      </x:c>
      <x:c r="G173" s="107"/>
      <x:c r="H173" s="98" t="str">
        <x:f>IF(C173="","",IF(COUNTIFS('Route List'!$F$6:$F$205,C173)=1,IF(COUNTIFS('Route List'!$F$6:$F$205,C173,'Route List'!$G$6:$G$205,"&lt;&gt;")=1,INDEX('Route List'!$G$6:$G$205,MATCH(C173,'Route List'!$F$6:$F$205,0)),"Enter route fare"),"Enter route fare"))</x:f>
      </x:c>
      <x:c r="I173" s="98" t="str">
        <x:f>IF(F173="","",IF(F173="Own",0,50))</x:f>
      </x:c>
      <x:c r="J173" s="98" t="str">
        <x:f>IF(OR(D173="",E173=""),"",IF(AND(ISNUMBER(G173),ISNUMBER(H173)),ROUND(G173*H173,2),""))</x:f>
      </x:c>
      <x:c r="K173" s="98" t="str">
        <x:f>IF(OR(D173="",E173=""),"",IF(AND(ISNUMBER(G173),ISNUMBER(I173)),ROUND(G173*I173,2),""))</x:f>
      </x:c>
      <x:c r="L173" s="98" t="str">
        <x:f>IF(OR(D173="",E173=""),"",IF(AND(ISNUMBER(J173),ISNUMBER(K173)),J173-K173,""))</x:f>
      </x:c>
      <x:c r="M173" s="114"/>
      <x:c r="N173" s="98" t="str">
        <x:f>IF(OR(D173="",E173=""),"",IF(COUNTIFS($D$6:D173,D173,$E$6:E173,E173)=1,MAX(SUMIFS($L$6:$L$505,$D$6:$D$505,D173,$E$6:$E$505,E173)-SUMIFS($M$6:$M$505,$D$6:$D$505,D173,$E$6:$E$505,E173),0),""))</x:f>
      </x:c>
    </x:row>
    <x:row r="174" ht="28" customHeight="1">
      <x:c r="A174" s="113" t="str">
        <x:f>IF(D174="","",IF(COUNTIFS(Trips!$A$6:$A$105,D174)=1,INDEX(Trips!$C$6:$C$105,MATCH(D174,Trips!$A$6:$A$105,0)),""))</x:f>
      </x:c>
      <x:c r="B174" s="90" t="str">
        <x:f>IF(D174="","",IF(COUNTIFS(Trips!$A$6:$A$105,D174)=1,INDEX(Trips!$B$6:$B$105,MATCH(D174,Trips!$A$6:$A$105,0)),""))</x:f>
      </x:c>
      <x:c r="C174" s="90" t="str">
        <x:f>IF(D174="","",IF(COUNTIFS(Trips!$A$6:$A$105,D174)=1,INDEX(Trips!$D$6:$D$105,MATCH(D174,Trips!$A$6:$A$105,0)),""))</x:f>
      </x:c>
      <x:c r="D174" s="107"/>
      <x:c r="E174" s="107"/>
      <x:c r="F174" s="90" t="str">
        <x:f>IF(E174="","",IF(COUNTIFS(Counters!$A$6:$A$105,E174)=1,INDEX(Counters!$B$6:$B$105,MATCH(E174,Counters!$A$6:$A$105,0)),""))</x:f>
      </x:c>
      <x:c r="G174" s="107"/>
      <x:c r="H174" s="98" t="str">
        <x:f>IF(C174="","",IF(COUNTIFS('Route List'!$F$6:$F$205,C174)=1,IF(COUNTIFS('Route List'!$F$6:$F$205,C174,'Route List'!$G$6:$G$205,"&lt;&gt;")=1,INDEX('Route List'!$G$6:$G$205,MATCH(C174,'Route List'!$F$6:$F$205,0)),"Enter route fare"),"Enter route fare"))</x:f>
      </x:c>
      <x:c r="I174" s="98" t="str">
        <x:f>IF(F174="","",IF(F174="Own",0,50))</x:f>
      </x:c>
      <x:c r="J174" s="98" t="str">
        <x:f>IF(OR(D174="",E174=""),"",IF(AND(ISNUMBER(G174),ISNUMBER(H174)),ROUND(G174*H174,2),""))</x:f>
      </x:c>
      <x:c r="K174" s="98" t="str">
        <x:f>IF(OR(D174="",E174=""),"",IF(AND(ISNUMBER(G174),ISNUMBER(I174)),ROUND(G174*I174,2),""))</x:f>
      </x:c>
      <x:c r="L174" s="98" t="str">
        <x:f>IF(OR(D174="",E174=""),"",IF(AND(ISNUMBER(J174),ISNUMBER(K174)),J174-K174,""))</x:f>
      </x:c>
      <x:c r="M174" s="114"/>
      <x:c r="N174" s="98" t="str">
        <x:f>IF(OR(D174="",E174=""),"",IF(COUNTIFS($D$6:D174,D174,$E$6:E174,E174)=1,MAX(SUMIFS($L$6:$L$505,$D$6:$D$505,D174,$E$6:$E$505,E174)-SUMIFS($M$6:$M$505,$D$6:$D$505,D174,$E$6:$E$505,E174),0),""))</x:f>
      </x:c>
    </x:row>
    <x:row r="175" ht="28" customHeight="1">
      <x:c r="A175" s="113" t="str">
        <x:f>IF(D175="","",IF(COUNTIFS(Trips!$A$6:$A$105,D175)=1,INDEX(Trips!$C$6:$C$105,MATCH(D175,Trips!$A$6:$A$105,0)),""))</x:f>
      </x:c>
      <x:c r="B175" s="90" t="str">
        <x:f>IF(D175="","",IF(COUNTIFS(Trips!$A$6:$A$105,D175)=1,INDEX(Trips!$B$6:$B$105,MATCH(D175,Trips!$A$6:$A$105,0)),""))</x:f>
      </x:c>
      <x:c r="C175" s="90" t="str">
        <x:f>IF(D175="","",IF(COUNTIFS(Trips!$A$6:$A$105,D175)=1,INDEX(Trips!$D$6:$D$105,MATCH(D175,Trips!$A$6:$A$105,0)),""))</x:f>
      </x:c>
      <x:c r="D175" s="107"/>
      <x:c r="E175" s="107"/>
      <x:c r="F175" s="90" t="str">
        <x:f>IF(E175="","",IF(COUNTIFS(Counters!$A$6:$A$105,E175)=1,INDEX(Counters!$B$6:$B$105,MATCH(E175,Counters!$A$6:$A$105,0)),""))</x:f>
      </x:c>
      <x:c r="G175" s="107"/>
      <x:c r="H175" s="98" t="str">
        <x:f>IF(C175="","",IF(COUNTIFS('Route List'!$F$6:$F$205,C175)=1,IF(COUNTIFS('Route List'!$F$6:$F$205,C175,'Route List'!$G$6:$G$205,"&lt;&gt;")=1,INDEX('Route List'!$G$6:$G$205,MATCH(C175,'Route List'!$F$6:$F$205,0)),"Enter route fare"),"Enter route fare"))</x:f>
      </x:c>
      <x:c r="I175" s="98" t="str">
        <x:f>IF(F175="","",IF(F175="Own",0,50))</x:f>
      </x:c>
      <x:c r="J175" s="98" t="str">
        <x:f>IF(OR(D175="",E175=""),"",IF(AND(ISNUMBER(G175),ISNUMBER(H175)),ROUND(G175*H175,2),""))</x:f>
      </x:c>
      <x:c r="K175" s="98" t="str">
        <x:f>IF(OR(D175="",E175=""),"",IF(AND(ISNUMBER(G175),ISNUMBER(I175)),ROUND(G175*I175,2),""))</x:f>
      </x:c>
      <x:c r="L175" s="98" t="str">
        <x:f>IF(OR(D175="",E175=""),"",IF(AND(ISNUMBER(J175),ISNUMBER(K175)),J175-K175,""))</x:f>
      </x:c>
      <x:c r="M175" s="114"/>
      <x:c r="N175" s="98" t="str">
        <x:f>IF(OR(D175="",E175=""),"",IF(COUNTIFS($D$6:D175,D175,$E$6:E175,E175)=1,MAX(SUMIFS($L$6:$L$505,$D$6:$D$505,D175,$E$6:$E$505,E175)-SUMIFS($M$6:$M$505,$D$6:$D$505,D175,$E$6:$E$505,E175),0),""))</x:f>
      </x:c>
    </x:row>
    <x:row r="176" ht="28" customHeight="1">
      <x:c r="A176" s="113" t="str">
        <x:f>IF(D176="","",IF(COUNTIFS(Trips!$A$6:$A$105,D176)=1,INDEX(Trips!$C$6:$C$105,MATCH(D176,Trips!$A$6:$A$105,0)),""))</x:f>
      </x:c>
      <x:c r="B176" s="90" t="str">
        <x:f>IF(D176="","",IF(COUNTIFS(Trips!$A$6:$A$105,D176)=1,INDEX(Trips!$B$6:$B$105,MATCH(D176,Trips!$A$6:$A$105,0)),""))</x:f>
      </x:c>
      <x:c r="C176" s="90" t="str">
        <x:f>IF(D176="","",IF(COUNTIFS(Trips!$A$6:$A$105,D176)=1,INDEX(Trips!$D$6:$D$105,MATCH(D176,Trips!$A$6:$A$105,0)),""))</x:f>
      </x:c>
      <x:c r="D176" s="107"/>
      <x:c r="E176" s="107"/>
      <x:c r="F176" s="90" t="str">
        <x:f>IF(E176="","",IF(COUNTIFS(Counters!$A$6:$A$105,E176)=1,INDEX(Counters!$B$6:$B$105,MATCH(E176,Counters!$A$6:$A$105,0)),""))</x:f>
      </x:c>
      <x:c r="G176" s="107"/>
      <x:c r="H176" s="98" t="str">
        <x:f>IF(C176="","",IF(COUNTIFS('Route List'!$F$6:$F$205,C176)=1,IF(COUNTIFS('Route List'!$F$6:$F$205,C176,'Route List'!$G$6:$G$205,"&lt;&gt;")=1,INDEX('Route List'!$G$6:$G$205,MATCH(C176,'Route List'!$F$6:$F$205,0)),"Enter route fare"),"Enter route fare"))</x:f>
      </x:c>
      <x:c r="I176" s="98" t="str">
        <x:f>IF(F176="","",IF(F176="Own",0,50))</x:f>
      </x:c>
      <x:c r="J176" s="98" t="str">
        <x:f>IF(OR(D176="",E176=""),"",IF(AND(ISNUMBER(G176),ISNUMBER(H176)),ROUND(G176*H176,2),""))</x:f>
      </x:c>
      <x:c r="K176" s="98" t="str">
        <x:f>IF(OR(D176="",E176=""),"",IF(AND(ISNUMBER(G176),ISNUMBER(I176)),ROUND(G176*I176,2),""))</x:f>
      </x:c>
      <x:c r="L176" s="98" t="str">
        <x:f>IF(OR(D176="",E176=""),"",IF(AND(ISNUMBER(J176),ISNUMBER(K176)),J176-K176,""))</x:f>
      </x:c>
      <x:c r="M176" s="114"/>
      <x:c r="N176" s="98" t="str">
        <x:f>IF(OR(D176="",E176=""),"",IF(COUNTIFS($D$6:D176,D176,$E$6:E176,E176)=1,MAX(SUMIFS($L$6:$L$505,$D$6:$D$505,D176,$E$6:$E$505,E176)-SUMIFS($M$6:$M$505,$D$6:$D$505,D176,$E$6:$E$505,E176),0),""))</x:f>
      </x:c>
    </x:row>
    <x:row r="177" ht="28" customHeight="1">
      <x:c r="A177" s="113" t="str">
        <x:f>IF(D177="","",IF(COUNTIFS(Trips!$A$6:$A$105,D177)=1,INDEX(Trips!$C$6:$C$105,MATCH(D177,Trips!$A$6:$A$105,0)),""))</x:f>
      </x:c>
      <x:c r="B177" s="90" t="str">
        <x:f>IF(D177="","",IF(COUNTIFS(Trips!$A$6:$A$105,D177)=1,INDEX(Trips!$B$6:$B$105,MATCH(D177,Trips!$A$6:$A$105,0)),""))</x:f>
      </x:c>
      <x:c r="C177" s="90" t="str">
        <x:f>IF(D177="","",IF(COUNTIFS(Trips!$A$6:$A$105,D177)=1,INDEX(Trips!$D$6:$D$105,MATCH(D177,Trips!$A$6:$A$105,0)),""))</x:f>
      </x:c>
      <x:c r="D177" s="107"/>
      <x:c r="E177" s="107"/>
      <x:c r="F177" s="90" t="str">
        <x:f>IF(E177="","",IF(COUNTIFS(Counters!$A$6:$A$105,E177)=1,INDEX(Counters!$B$6:$B$105,MATCH(E177,Counters!$A$6:$A$105,0)),""))</x:f>
      </x:c>
      <x:c r="G177" s="107"/>
      <x:c r="H177" s="98" t="str">
        <x:f>IF(C177="","",IF(COUNTIFS('Route List'!$F$6:$F$205,C177)=1,IF(COUNTIFS('Route List'!$F$6:$F$205,C177,'Route List'!$G$6:$G$205,"&lt;&gt;")=1,INDEX('Route List'!$G$6:$G$205,MATCH(C177,'Route List'!$F$6:$F$205,0)),"Enter route fare"),"Enter route fare"))</x:f>
      </x:c>
      <x:c r="I177" s="98" t="str">
        <x:f>IF(F177="","",IF(F177="Own",0,50))</x:f>
      </x:c>
      <x:c r="J177" s="98" t="str">
        <x:f>IF(OR(D177="",E177=""),"",IF(AND(ISNUMBER(G177),ISNUMBER(H177)),ROUND(G177*H177,2),""))</x:f>
      </x:c>
      <x:c r="K177" s="98" t="str">
        <x:f>IF(OR(D177="",E177=""),"",IF(AND(ISNUMBER(G177),ISNUMBER(I177)),ROUND(G177*I177,2),""))</x:f>
      </x:c>
      <x:c r="L177" s="98" t="str">
        <x:f>IF(OR(D177="",E177=""),"",IF(AND(ISNUMBER(J177),ISNUMBER(K177)),J177-K177,""))</x:f>
      </x:c>
      <x:c r="M177" s="114"/>
      <x:c r="N177" s="98" t="str">
        <x:f>IF(OR(D177="",E177=""),"",IF(COUNTIFS($D$6:D177,D177,$E$6:E177,E177)=1,MAX(SUMIFS($L$6:$L$505,$D$6:$D$505,D177,$E$6:$E$505,E177)-SUMIFS($M$6:$M$505,$D$6:$D$505,D177,$E$6:$E$505,E177),0),""))</x:f>
      </x:c>
    </x:row>
    <x:row r="178" ht="28" customHeight="1">
      <x:c r="A178" s="113" t="str">
        <x:f>IF(D178="","",IF(COUNTIFS(Trips!$A$6:$A$105,D178)=1,INDEX(Trips!$C$6:$C$105,MATCH(D178,Trips!$A$6:$A$105,0)),""))</x:f>
      </x:c>
      <x:c r="B178" s="90" t="str">
        <x:f>IF(D178="","",IF(COUNTIFS(Trips!$A$6:$A$105,D178)=1,INDEX(Trips!$B$6:$B$105,MATCH(D178,Trips!$A$6:$A$105,0)),""))</x:f>
      </x:c>
      <x:c r="C178" s="90" t="str">
        <x:f>IF(D178="","",IF(COUNTIFS(Trips!$A$6:$A$105,D178)=1,INDEX(Trips!$D$6:$D$105,MATCH(D178,Trips!$A$6:$A$105,0)),""))</x:f>
      </x:c>
      <x:c r="D178" s="107"/>
      <x:c r="E178" s="107"/>
      <x:c r="F178" s="90" t="str">
        <x:f>IF(E178="","",IF(COUNTIFS(Counters!$A$6:$A$105,E178)=1,INDEX(Counters!$B$6:$B$105,MATCH(E178,Counters!$A$6:$A$105,0)),""))</x:f>
      </x:c>
      <x:c r="G178" s="107"/>
      <x:c r="H178" s="98" t="str">
        <x:f>IF(C178="","",IF(COUNTIFS('Route List'!$F$6:$F$205,C178)=1,IF(COUNTIFS('Route List'!$F$6:$F$205,C178,'Route List'!$G$6:$G$205,"&lt;&gt;")=1,INDEX('Route List'!$G$6:$G$205,MATCH(C178,'Route List'!$F$6:$F$205,0)),"Enter route fare"),"Enter route fare"))</x:f>
      </x:c>
      <x:c r="I178" s="98" t="str">
        <x:f>IF(F178="","",IF(F178="Own",0,50))</x:f>
      </x:c>
      <x:c r="J178" s="98" t="str">
        <x:f>IF(OR(D178="",E178=""),"",IF(AND(ISNUMBER(G178),ISNUMBER(H178)),ROUND(G178*H178,2),""))</x:f>
      </x:c>
      <x:c r="K178" s="98" t="str">
        <x:f>IF(OR(D178="",E178=""),"",IF(AND(ISNUMBER(G178),ISNUMBER(I178)),ROUND(G178*I178,2),""))</x:f>
      </x:c>
      <x:c r="L178" s="98" t="str">
        <x:f>IF(OR(D178="",E178=""),"",IF(AND(ISNUMBER(J178),ISNUMBER(K178)),J178-K178,""))</x:f>
      </x:c>
      <x:c r="M178" s="114"/>
      <x:c r="N178" s="98" t="str">
        <x:f>IF(OR(D178="",E178=""),"",IF(COUNTIFS($D$6:D178,D178,$E$6:E178,E178)=1,MAX(SUMIFS($L$6:$L$505,$D$6:$D$505,D178,$E$6:$E$505,E178)-SUMIFS($M$6:$M$505,$D$6:$D$505,D178,$E$6:$E$505,E178),0),""))</x:f>
      </x:c>
    </x:row>
    <x:row r="179" ht="28" customHeight="1">
      <x:c r="A179" s="113" t="str">
        <x:f>IF(D179="","",IF(COUNTIFS(Trips!$A$6:$A$105,D179)=1,INDEX(Trips!$C$6:$C$105,MATCH(D179,Trips!$A$6:$A$105,0)),""))</x:f>
      </x:c>
      <x:c r="B179" s="90" t="str">
        <x:f>IF(D179="","",IF(COUNTIFS(Trips!$A$6:$A$105,D179)=1,INDEX(Trips!$B$6:$B$105,MATCH(D179,Trips!$A$6:$A$105,0)),""))</x:f>
      </x:c>
      <x:c r="C179" s="90" t="str">
        <x:f>IF(D179="","",IF(COUNTIFS(Trips!$A$6:$A$105,D179)=1,INDEX(Trips!$D$6:$D$105,MATCH(D179,Trips!$A$6:$A$105,0)),""))</x:f>
      </x:c>
      <x:c r="D179" s="107"/>
      <x:c r="E179" s="107"/>
      <x:c r="F179" s="90" t="str">
        <x:f>IF(E179="","",IF(COUNTIFS(Counters!$A$6:$A$105,E179)=1,INDEX(Counters!$B$6:$B$105,MATCH(E179,Counters!$A$6:$A$105,0)),""))</x:f>
      </x:c>
      <x:c r="G179" s="107"/>
      <x:c r="H179" s="98" t="str">
        <x:f>IF(C179="","",IF(COUNTIFS('Route List'!$F$6:$F$205,C179)=1,IF(COUNTIFS('Route List'!$F$6:$F$205,C179,'Route List'!$G$6:$G$205,"&lt;&gt;")=1,INDEX('Route List'!$G$6:$G$205,MATCH(C179,'Route List'!$F$6:$F$205,0)),"Enter route fare"),"Enter route fare"))</x:f>
      </x:c>
      <x:c r="I179" s="98" t="str">
        <x:f>IF(F179="","",IF(F179="Own",0,50))</x:f>
      </x:c>
      <x:c r="J179" s="98" t="str">
        <x:f>IF(OR(D179="",E179=""),"",IF(AND(ISNUMBER(G179),ISNUMBER(H179)),ROUND(G179*H179,2),""))</x:f>
      </x:c>
      <x:c r="K179" s="98" t="str">
        <x:f>IF(OR(D179="",E179=""),"",IF(AND(ISNUMBER(G179),ISNUMBER(I179)),ROUND(G179*I179,2),""))</x:f>
      </x:c>
      <x:c r="L179" s="98" t="str">
        <x:f>IF(OR(D179="",E179=""),"",IF(AND(ISNUMBER(J179),ISNUMBER(K179)),J179-K179,""))</x:f>
      </x:c>
      <x:c r="M179" s="114"/>
      <x:c r="N179" s="98" t="str">
        <x:f>IF(OR(D179="",E179=""),"",IF(COUNTIFS($D$6:D179,D179,$E$6:E179,E179)=1,MAX(SUMIFS($L$6:$L$505,$D$6:$D$505,D179,$E$6:$E$505,E179)-SUMIFS($M$6:$M$505,$D$6:$D$505,D179,$E$6:$E$505,E179),0),""))</x:f>
      </x:c>
    </x:row>
    <x:row r="180" ht="28" customHeight="1">
      <x:c r="A180" s="113" t="str">
        <x:f>IF(D180="","",IF(COUNTIFS(Trips!$A$6:$A$105,D180)=1,INDEX(Trips!$C$6:$C$105,MATCH(D180,Trips!$A$6:$A$105,0)),""))</x:f>
      </x:c>
      <x:c r="B180" s="90" t="str">
        <x:f>IF(D180="","",IF(COUNTIFS(Trips!$A$6:$A$105,D180)=1,INDEX(Trips!$B$6:$B$105,MATCH(D180,Trips!$A$6:$A$105,0)),""))</x:f>
      </x:c>
      <x:c r="C180" s="90" t="str">
        <x:f>IF(D180="","",IF(COUNTIFS(Trips!$A$6:$A$105,D180)=1,INDEX(Trips!$D$6:$D$105,MATCH(D180,Trips!$A$6:$A$105,0)),""))</x:f>
      </x:c>
      <x:c r="D180" s="107"/>
      <x:c r="E180" s="107"/>
      <x:c r="F180" s="90" t="str">
        <x:f>IF(E180="","",IF(COUNTIFS(Counters!$A$6:$A$105,E180)=1,INDEX(Counters!$B$6:$B$105,MATCH(E180,Counters!$A$6:$A$105,0)),""))</x:f>
      </x:c>
      <x:c r="G180" s="107"/>
      <x:c r="H180" s="98" t="str">
        <x:f>IF(C180="","",IF(COUNTIFS('Route List'!$F$6:$F$205,C180)=1,IF(COUNTIFS('Route List'!$F$6:$F$205,C180,'Route List'!$G$6:$G$205,"&lt;&gt;")=1,INDEX('Route List'!$G$6:$G$205,MATCH(C180,'Route List'!$F$6:$F$205,0)),"Enter route fare"),"Enter route fare"))</x:f>
      </x:c>
      <x:c r="I180" s="98" t="str">
        <x:f>IF(F180="","",IF(F180="Own",0,50))</x:f>
      </x:c>
      <x:c r="J180" s="98" t="str">
        <x:f>IF(OR(D180="",E180=""),"",IF(AND(ISNUMBER(G180),ISNUMBER(H180)),ROUND(G180*H180,2),""))</x:f>
      </x:c>
      <x:c r="K180" s="98" t="str">
        <x:f>IF(OR(D180="",E180=""),"",IF(AND(ISNUMBER(G180),ISNUMBER(I180)),ROUND(G180*I180,2),""))</x:f>
      </x:c>
      <x:c r="L180" s="98" t="str">
        <x:f>IF(OR(D180="",E180=""),"",IF(AND(ISNUMBER(J180),ISNUMBER(K180)),J180-K180,""))</x:f>
      </x:c>
      <x:c r="M180" s="114"/>
      <x:c r="N180" s="98" t="str">
        <x:f>IF(OR(D180="",E180=""),"",IF(COUNTIFS($D$6:D180,D180,$E$6:E180,E180)=1,MAX(SUMIFS($L$6:$L$505,$D$6:$D$505,D180,$E$6:$E$505,E180)-SUMIFS($M$6:$M$505,$D$6:$D$505,D180,$E$6:$E$505,E180),0),""))</x:f>
      </x:c>
    </x:row>
    <x:row r="181" ht="28" customHeight="1">
      <x:c r="A181" s="113" t="str">
        <x:f>IF(D181="","",IF(COUNTIFS(Trips!$A$6:$A$105,D181)=1,INDEX(Trips!$C$6:$C$105,MATCH(D181,Trips!$A$6:$A$105,0)),""))</x:f>
      </x:c>
      <x:c r="B181" s="90" t="str">
        <x:f>IF(D181="","",IF(COUNTIFS(Trips!$A$6:$A$105,D181)=1,INDEX(Trips!$B$6:$B$105,MATCH(D181,Trips!$A$6:$A$105,0)),""))</x:f>
      </x:c>
      <x:c r="C181" s="90" t="str">
        <x:f>IF(D181="","",IF(COUNTIFS(Trips!$A$6:$A$105,D181)=1,INDEX(Trips!$D$6:$D$105,MATCH(D181,Trips!$A$6:$A$105,0)),""))</x:f>
      </x:c>
      <x:c r="D181" s="107"/>
      <x:c r="E181" s="107"/>
      <x:c r="F181" s="90" t="str">
        <x:f>IF(E181="","",IF(COUNTIFS(Counters!$A$6:$A$105,E181)=1,INDEX(Counters!$B$6:$B$105,MATCH(E181,Counters!$A$6:$A$105,0)),""))</x:f>
      </x:c>
      <x:c r="G181" s="107"/>
      <x:c r="H181" s="98" t="str">
        <x:f>IF(C181="","",IF(COUNTIFS('Route List'!$F$6:$F$205,C181)=1,IF(COUNTIFS('Route List'!$F$6:$F$205,C181,'Route List'!$G$6:$G$205,"&lt;&gt;")=1,INDEX('Route List'!$G$6:$G$205,MATCH(C181,'Route List'!$F$6:$F$205,0)),"Enter route fare"),"Enter route fare"))</x:f>
      </x:c>
      <x:c r="I181" s="98" t="str">
        <x:f>IF(F181="","",IF(F181="Own",0,50))</x:f>
      </x:c>
      <x:c r="J181" s="98" t="str">
        <x:f>IF(OR(D181="",E181=""),"",IF(AND(ISNUMBER(G181),ISNUMBER(H181)),ROUND(G181*H181,2),""))</x:f>
      </x:c>
      <x:c r="K181" s="98" t="str">
        <x:f>IF(OR(D181="",E181=""),"",IF(AND(ISNUMBER(G181),ISNUMBER(I181)),ROUND(G181*I181,2),""))</x:f>
      </x:c>
      <x:c r="L181" s="98" t="str">
        <x:f>IF(OR(D181="",E181=""),"",IF(AND(ISNUMBER(J181),ISNUMBER(K181)),J181-K181,""))</x:f>
      </x:c>
      <x:c r="M181" s="114"/>
      <x:c r="N181" s="98" t="str">
        <x:f>IF(OR(D181="",E181=""),"",IF(COUNTIFS($D$6:D181,D181,$E$6:E181,E181)=1,MAX(SUMIFS($L$6:$L$505,$D$6:$D$505,D181,$E$6:$E$505,E181)-SUMIFS($M$6:$M$505,$D$6:$D$505,D181,$E$6:$E$505,E181),0),""))</x:f>
      </x:c>
    </x:row>
    <x:row r="182" ht="28" customHeight="1">
      <x:c r="A182" s="113" t="str">
        <x:f>IF(D182="","",IF(COUNTIFS(Trips!$A$6:$A$105,D182)=1,INDEX(Trips!$C$6:$C$105,MATCH(D182,Trips!$A$6:$A$105,0)),""))</x:f>
      </x:c>
      <x:c r="B182" s="90" t="str">
        <x:f>IF(D182="","",IF(COUNTIFS(Trips!$A$6:$A$105,D182)=1,INDEX(Trips!$B$6:$B$105,MATCH(D182,Trips!$A$6:$A$105,0)),""))</x:f>
      </x:c>
      <x:c r="C182" s="90" t="str">
        <x:f>IF(D182="","",IF(COUNTIFS(Trips!$A$6:$A$105,D182)=1,INDEX(Trips!$D$6:$D$105,MATCH(D182,Trips!$A$6:$A$105,0)),""))</x:f>
      </x:c>
      <x:c r="D182" s="107"/>
      <x:c r="E182" s="107"/>
      <x:c r="F182" s="90" t="str">
        <x:f>IF(E182="","",IF(COUNTIFS(Counters!$A$6:$A$105,E182)=1,INDEX(Counters!$B$6:$B$105,MATCH(E182,Counters!$A$6:$A$105,0)),""))</x:f>
      </x:c>
      <x:c r="G182" s="107"/>
      <x:c r="H182" s="98" t="str">
        <x:f>IF(C182="","",IF(COUNTIFS('Route List'!$F$6:$F$205,C182)=1,IF(COUNTIFS('Route List'!$F$6:$F$205,C182,'Route List'!$G$6:$G$205,"&lt;&gt;")=1,INDEX('Route List'!$G$6:$G$205,MATCH(C182,'Route List'!$F$6:$F$205,0)),"Enter route fare"),"Enter route fare"))</x:f>
      </x:c>
      <x:c r="I182" s="98" t="str">
        <x:f>IF(F182="","",IF(F182="Own",0,50))</x:f>
      </x:c>
      <x:c r="J182" s="98" t="str">
        <x:f>IF(OR(D182="",E182=""),"",IF(AND(ISNUMBER(G182),ISNUMBER(H182)),ROUND(G182*H182,2),""))</x:f>
      </x:c>
      <x:c r="K182" s="98" t="str">
        <x:f>IF(OR(D182="",E182=""),"",IF(AND(ISNUMBER(G182),ISNUMBER(I182)),ROUND(G182*I182,2),""))</x:f>
      </x:c>
      <x:c r="L182" s="98" t="str">
        <x:f>IF(OR(D182="",E182=""),"",IF(AND(ISNUMBER(J182),ISNUMBER(K182)),J182-K182,""))</x:f>
      </x:c>
      <x:c r="M182" s="114"/>
      <x:c r="N182" s="98" t="str">
        <x:f>IF(OR(D182="",E182=""),"",IF(COUNTIFS($D$6:D182,D182,$E$6:E182,E182)=1,MAX(SUMIFS($L$6:$L$505,$D$6:$D$505,D182,$E$6:$E$505,E182)-SUMIFS($M$6:$M$505,$D$6:$D$505,D182,$E$6:$E$505,E182),0),""))</x:f>
      </x:c>
    </x:row>
    <x:row r="183" ht="28" customHeight="1">
      <x:c r="A183" s="113" t="str">
        <x:f>IF(D183="","",IF(COUNTIFS(Trips!$A$6:$A$105,D183)=1,INDEX(Trips!$C$6:$C$105,MATCH(D183,Trips!$A$6:$A$105,0)),""))</x:f>
      </x:c>
      <x:c r="B183" s="90" t="str">
        <x:f>IF(D183="","",IF(COUNTIFS(Trips!$A$6:$A$105,D183)=1,INDEX(Trips!$B$6:$B$105,MATCH(D183,Trips!$A$6:$A$105,0)),""))</x:f>
      </x:c>
      <x:c r="C183" s="90" t="str">
        <x:f>IF(D183="","",IF(COUNTIFS(Trips!$A$6:$A$105,D183)=1,INDEX(Trips!$D$6:$D$105,MATCH(D183,Trips!$A$6:$A$105,0)),""))</x:f>
      </x:c>
      <x:c r="D183" s="107"/>
      <x:c r="E183" s="107"/>
      <x:c r="F183" s="90" t="str">
        <x:f>IF(E183="","",IF(COUNTIFS(Counters!$A$6:$A$105,E183)=1,INDEX(Counters!$B$6:$B$105,MATCH(E183,Counters!$A$6:$A$105,0)),""))</x:f>
      </x:c>
      <x:c r="G183" s="107"/>
      <x:c r="H183" s="98" t="str">
        <x:f>IF(C183="","",IF(COUNTIFS('Route List'!$F$6:$F$205,C183)=1,IF(COUNTIFS('Route List'!$F$6:$F$205,C183,'Route List'!$G$6:$G$205,"&lt;&gt;")=1,INDEX('Route List'!$G$6:$G$205,MATCH(C183,'Route List'!$F$6:$F$205,0)),"Enter route fare"),"Enter route fare"))</x:f>
      </x:c>
      <x:c r="I183" s="98" t="str">
        <x:f>IF(F183="","",IF(F183="Own",0,50))</x:f>
      </x:c>
      <x:c r="J183" s="98" t="str">
        <x:f>IF(OR(D183="",E183=""),"",IF(AND(ISNUMBER(G183),ISNUMBER(H183)),ROUND(G183*H183,2),""))</x:f>
      </x:c>
      <x:c r="K183" s="98" t="str">
        <x:f>IF(OR(D183="",E183=""),"",IF(AND(ISNUMBER(G183),ISNUMBER(I183)),ROUND(G183*I183,2),""))</x:f>
      </x:c>
      <x:c r="L183" s="98" t="str">
        <x:f>IF(OR(D183="",E183=""),"",IF(AND(ISNUMBER(J183),ISNUMBER(K183)),J183-K183,""))</x:f>
      </x:c>
      <x:c r="M183" s="114"/>
      <x:c r="N183" s="98" t="str">
        <x:f>IF(OR(D183="",E183=""),"",IF(COUNTIFS($D$6:D183,D183,$E$6:E183,E183)=1,MAX(SUMIFS($L$6:$L$505,$D$6:$D$505,D183,$E$6:$E$505,E183)-SUMIFS($M$6:$M$505,$D$6:$D$505,D183,$E$6:$E$505,E183),0),""))</x:f>
      </x:c>
    </x:row>
    <x:row r="184" ht="28" customHeight="1">
      <x:c r="A184" s="113" t="str">
        <x:f>IF(D184="","",IF(COUNTIFS(Trips!$A$6:$A$105,D184)=1,INDEX(Trips!$C$6:$C$105,MATCH(D184,Trips!$A$6:$A$105,0)),""))</x:f>
      </x:c>
      <x:c r="B184" s="90" t="str">
        <x:f>IF(D184="","",IF(COUNTIFS(Trips!$A$6:$A$105,D184)=1,INDEX(Trips!$B$6:$B$105,MATCH(D184,Trips!$A$6:$A$105,0)),""))</x:f>
      </x:c>
      <x:c r="C184" s="90" t="str">
        <x:f>IF(D184="","",IF(COUNTIFS(Trips!$A$6:$A$105,D184)=1,INDEX(Trips!$D$6:$D$105,MATCH(D184,Trips!$A$6:$A$105,0)),""))</x:f>
      </x:c>
      <x:c r="D184" s="107"/>
      <x:c r="E184" s="107"/>
      <x:c r="F184" s="90" t="str">
        <x:f>IF(E184="","",IF(COUNTIFS(Counters!$A$6:$A$105,E184)=1,INDEX(Counters!$B$6:$B$105,MATCH(E184,Counters!$A$6:$A$105,0)),""))</x:f>
      </x:c>
      <x:c r="G184" s="107"/>
      <x:c r="H184" s="98" t="str">
        <x:f>IF(C184="","",IF(COUNTIFS('Route List'!$F$6:$F$205,C184)=1,IF(COUNTIFS('Route List'!$F$6:$F$205,C184,'Route List'!$G$6:$G$205,"&lt;&gt;")=1,INDEX('Route List'!$G$6:$G$205,MATCH(C184,'Route List'!$F$6:$F$205,0)),"Enter route fare"),"Enter route fare"))</x:f>
      </x:c>
      <x:c r="I184" s="98" t="str">
        <x:f>IF(F184="","",IF(F184="Own",0,50))</x:f>
      </x:c>
      <x:c r="J184" s="98" t="str">
        <x:f>IF(OR(D184="",E184=""),"",IF(AND(ISNUMBER(G184),ISNUMBER(H184)),ROUND(G184*H184,2),""))</x:f>
      </x:c>
      <x:c r="K184" s="98" t="str">
        <x:f>IF(OR(D184="",E184=""),"",IF(AND(ISNUMBER(G184),ISNUMBER(I184)),ROUND(G184*I184,2),""))</x:f>
      </x:c>
      <x:c r="L184" s="98" t="str">
        <x:f>IF(OR(D184="",E184=""),"",IF(AND(ISNUMBER(J184),ISNUMBER(K184)),J184-K184,""))</x:f>
      </x:c>
      <x:c r="M184" s="114"/>
      <x:c r="N184" s="98" t="str">
        <x:f>IF(OR(D184="",E184=""),"",IF(COUNTIFS($D$6:D184,D184,$E$6:E184,E184)=1,MAX(SUMIFS($L$6:$L$505,$D$6:$D$505,D184,$E$6:$E$505,E184)-SUMIFS($M$6:$M$505,$D$6:$D$505,D184,$E$6:$E$505,E184),0),""))</x:f>
      </x:c>
    </x:row>
    <x:row r="185" ht="28" customHeight="1">
      <x:c r="A185" s="113" t="str">
        <x:f>IF(D185="","",IF(COUNTIFS(Trips!$A$6:$A$105,D185)=1,INDEX(Trips!$C$6:$C$105,MATCH(D185,Trips!$A$6:$A$105,0)),""))</x:f>
      </x:c>
      <x:c r="B185" s="90" t="str">
        <x:f>IF(D185="","",IF(COUNTIFS(Trips!$A$6:$A$105,D185)=1,INDEX(Trips!$B$6:$B$105,MATCH(D185,Trips!$A$6:$A$105,0)),""))</x:f>
      </x:c>
      <x:c r="C185" s="90" t="str">
        <x:f>IF(D185="","",IF(COUNTIFS(Trips!$A$6:$A$105,D185)=1,INDEX(Trips!$D$6:$D$105,MATCH(D185,Trips!$A$6:$A$105,0)),""))</x:f>
      </x:c>
      <x:c r="D185" s="107"/>
      <x:c r="E185" s="107"/>
      <x:c r="F185" s="90" t="str">
        <x:f>IF(E185="","",IF(COUNTIFS(Counters!$A$6:$A$105,E185)=1,INDEX(Counters!$B$6:$B$105,MATCH(E185,Counters!$A$6:$A$105,0)),""))</x:f>
      </x:c>
      <x:c r="G185" s="107"/>
      <x:c r="H185" s="98" t="str">
        <x:f>IF(C185="","",IF(COUNTIFS('Route List'!$F$6:$F$205,C185)=1,IF(COUNTIFS('Route List'!$F$6:$F$205,C185,'Route List'!$G$6:$G$205,"&lt;&gt;")=1,INDEX('Route List'!$G$6:$G$205,MATCH(C185,'Route List'!$F$6:$F$205,0)),"Enter route fare"),"Enter route fare"))</x:f>
      </x:c>
      <x:c r="I185" s="98" t="str">
        <x:f>IF(F185="","",IF(F185="Own",0,50))</x:f>
      </x:c>
      <x:c r="J185" s="98" t="str">
        <x:f>IF(OR(D185="",E185=""),"",IF(AND(ISNUMBER(G185),ISNUMBER(H185)),ROUND(G185*H185,2),""))</x:f>
      </x:c>
      <x:c r="K185" s="98" t="str">
        <x:f>IF(OR(D185="",E185=""),"",IF(AND(ISNUMBER(G185),ISNUMBER(I185)),ROUND(G185*I185,2),""))</x:f>
      </x:c>
      <x:c r="L185" s="98" t="str">
        <x:f>IF(OR(D185="",E185=""),"",IF(AND(ISNUMBER(J185),ISNUMBER(K185)),J185-K185,""))</x:f>
      </x:c>
      <x:c r="M185" s="114"/>
      <x:c r="N185" s="98" t="str">
        <x:f>IF(OR(D185="",E185=""),"",IF(COUNTIFS($D$6:D185,D185,$E$6:E185,E185)=1,MAX(SUMIFS($L$6:$L$505,$D$6:$D$505,D185,$E$6:$E$505,E185)-SUMIFS($M$6:$M$505,$D$6:$D$505,D185,$E$6:$E$505,E185),0),""))</x:f>
      </x:c>
    </x:row>
    <x:row r="186" ht="28" customHeight="1">
      <x:c r="A186" s="113" t="str">
        <x:f>IF(D186="","",IF(COUNTIFS(Trips!$A$6:$A$105,D186)=1,INDEX(Trips!$C$6:$C$105,MATCH(D186,Trips!$A$6:$A$105,0)),""))</x:f>
      </x:c>
      <x:c r="B186" s="90" t="str">
        <x:f>IF(D186="","",IF(COUNTIFS(Trips!$A$6:$A$105,D186)=1,INDEX(Trips!$B$6:$B$105,MATCH(D186,Trips!$A$6:$A$105,0)),""))</x:f>
      </x:c>
      <x:c r="C186" s="90" t="str">
        <x:f>IF(D186="","",IF(COUNTIFS(Trips!$A$6:$A$105,D186)=1,INDEX(Trips!$D$6:$D$105,MATCH(D186,Trips!$A$6:$A$105,0)),""))</x:f>
      </x:c>
      <x:c r="D186" s="107"/>
      <x:c r="E186" s="107"/>
      <x:c r="F186" s="90" t="str">
        <x:f>IF(E186="","",IF(COUNTIFS(Counters!$A$6:$A$105,E186)=1,INDEX(Counters!$B$6:$B$105,MATCH(E186,Counters!$A$6:$A$105,0)),""))</x:f>
      </x:c>
      <x:c r="G186" s="107"/>
      <x:c r="H186" s="98" t="str">
        <x:f>IF(C186="","",IF(COUNTIFS('Route List'!$F$6:$F$205,C186)=1,IF(COUNTIFS('Route List'!$F$6:$F$205,C186,'Route List'!$G$6:$G$205,"&lt;&gt;")=1,INDEX('Route List'!$G$6:$G$205,MATCH(C186,'Route List'!$F$6:$F$205,0)),"Enter route fare"),"Enter route fare"))</x:f>
      </x:c>
      <x:c r="I186" s="98" t="str">
        <x:f>IF(F186="","",IF(F186="Own",0,50))</x:f>
      </x:c>
      <x:c r="J186" s="98" t="str">
        <x:f>IF(OR(D186="",E186=""),"",IF(AND(ISNUMBER(G186),ISNUMBER(H186)),ROUND(G186*H186,2),""))</x:f>
      </x:c>
      <x:c r="K186" s="98" t="str">
        <x:f>IF(OR(D186="",E186=""),"",IF(AND(ISNUMBER(G186),ISNUMBER(I186)),ROUND(G186*I186,2),""))</x:f>
      </x:c>
      <x:c r="L186" s="98" t="str">
        <x:f>IF(OR(D186="",E186=""),"",IF(AND(ISNUMBER(J186),ISNUMBER(K186)),J186-K186,""))</x:f>
      </x:c>
      <x:c r="M186" s="114"/>
      <x:c r="N186" s="98" t="str">
        <x:f>IF(OR(D186="",E186=""),"",IF(COUNTIFS($D$6:D186,D186,$E$6:E186,E186)=1,MAX(SUMIFS($L$6:$L$505,$D$6:$D$505,D186,$E$6:$E$505,E186)-SUMIFS($M$6:$M$505,$D$6:$D$505,D186,$E$6:$E$505,E186),0),""))</x:f>
      </x:c>
    </x:row>
    <x:row r="187" ht="28" customHeight="1">
      <x:c r="A187" s="113" t="str">
        <x:f>IF(D187="","",IF(COUNTIFS(Trips!$A$6:$A$105,D187)=1,INDEX(Trips!$C$6:$C$105,MATCH(D187,Trips!$A$6:$A$105,0)),""))</x:f>
      </x:c>
      <x:c r="B187" s="90" t="str">
        <x:f>IF(D187="","",IF(COUNTIFS(Trips!$A$6:$A$105,D187)=1,INDEX(Trips!$B$6:$B$105,MATCH(D187,Trips!$A$6:$A$105,0)),""))</x:f>
      </x:c>
      <x:c r="C187" s="90" t="str">
        <x:f>IF(D187="","",IF(COUNTIFS(Trips!$A$6:$A$105,D187)=1,INDEX(Trips!$D$6:$D$105,MATCH(D187,Trips!$A$6:$A$105,0)),""))</x:f>
      </x:c>
      <x:c r="D187" s="107"/>
      <x:c r="E187" s="107"/>
      <x:c r="F187" s="90" t="str">
        <x:f>IF(E187="","",IF(COUNTIFS(Counters!$A$6:$A$105,E187)=1,INDEX(Counters!$B$6:$B$105,MATCH(E187,Counters!$A$6:$A$105,0)),""))</x:f>
      </x:c>
      <x:c r="G187" s="107"/>
      <x:c r="H187" s="98" t="str">
        <x:f>IF(C187="","",IF(COUNTIFS('Route List'!$F$6:$F$205,C187)=1,IF(COUNTIFS('Route List'!$F$6:$F$205,C187,'Route List'!$G$6:$G$205,"&lt;&gt;")=1,INDEX('Route List'!$G$6:$G$205,MATCH(C187,'Route List'!$F$6:$F$205,0)),"Enter route fare"),"Enter route fare"))</x:f>
      </x:c>
      <x:c r="I187" s="98" t="str">
        <x:f>IF(F187="","",IF(F187="Own",0,50))</x:f>
      </x:c>
      <x:c r="J187" s="98" t="str">
        <x:f>IF(OR(D187="",E187=""),"",IF(AND(ISNUMBER(G187),ISNUMBER(H187)),ROUND(G187*H187,2),""))</x:f>
      </x:c>
      <x:c r="K187" s="98" t="str">
        <x:f>IF(OR(D187="",E187=""),"",IF(AND(ISNUMBER(G187),ISNUMBER(I187)),ROUND(G187*I187,2),""))</x:f>
      </x:c>
      <x:c r="L187" s="98" t="str">
        <x:f>IF(OR(D187="",E187=""),"",IF(AND(ISNUMBER(J187),ISNUMBER(K187)),J187-K187,""))</x:f>
      </x:c>
      <x:c r="M187" s="114"/>
      <x:c r="N187" s="98" t="str">
        <x:f>IF(OR(D187="",E187=""),"",IF(COUNTIFS($D$6:D187,D187,$E$6:E187,E187)=1,MAX(SUMIFS($L$6:$L$505,$D$6:$D$505,D187,$E$6:$E$505,E187)-SUMIFS($M$6:$M$505,$D$6:$D$505,D187,$E$6:$E$505,E187),0),""))</x:f>
      </x:c>
    </x:row>
    <x:row r="188" ht="28" customHeight="1">
      <x:c r="A188" s="113" t="str">
        <x:f>IF(D188="","",IF(COUNTIFS(Trips!$A$6:$A$105,D188)=1,INDEX(Trips!$C$6:$C$105,MATCH(D188,Trips!$A$6:$A$105,0)),""))</x:f>
      </x:c>
      <x:c r="B188" s="90" t="str">
        <x:f>IF(D188="","",IF(COUNTIFS(Trips!$A$6:$A$105,D188)=1,INDEX(Trips!$B$6:$B$105,MATCH(D188,Trips!$A$6:$A$105,0)),""))</x:f>
      </x:c>
      <x:c r="C188" s="90" t="str">
        <x:f>IF(D188="","",IF(COUNTIFS(Trips!$A$6:$A$105,D188)=1,INDEX(Trips!$D$6:$D$105,MATCH(D188,Trips!$A$6:$A$105,0)),""))</x:f>
      </x:c>
      <x:c r="D188" s="107"/>
      <x:c r="E188" s="107"/>
      <x:c r="F188" s="90" t="str">
        <x:f>IF(E188="","",IF(COUNTIFS(Counters!$A$6:$A$105,E188)=1,INDEX(Counters!$B$6:$B$105,MATCH(E188,Counters!$A$6:$A$105,0)),""))</x:f>
      </x:c>
      <x:c r="G188" s="107"/>
      <x:c r="H188" s="98" t="str">
        <x:f>IF(C188="","",IF(COUNTIFS('Route List'!$F$6:$F$205,C188)=1,IF(COUNTIFS('Route List'!$F$6:$F$205,C188,'Route List'!$G$6:$G$205,"&lt;&gt;")=1,INDEX('Route List'!$G$6:$G$205,MATCH(C188,'Route List'!$F$6:$F$205,0)),"Enter route fare"),"Enter route fare"))</x:f>
      </x:c>
      <x:c r="I188" s="98" t="str">
        <x:f>IF(F188="","",IF(F188="Own",0,50))</x:f>
      </x:c>
      <x:c r="J188" s="98" t="str">
        <x:f>IF(OR(D188="",E188=""),"",IF(AND(ISNUMBER(G188),ISNUMBER(H188)),ROUND(G188*H188,2),""))</x:f>
      </x:c>
      <x:c r="K188" s="98" t="str">
        <x:f>IF(OR(D188="",E188=""),"",IF(AND(ISNUMBER(G188),ISNUMBER(I188)),ROUND(G188*I188,2),""))</x:f>
      </x:c>
      <x:c r="L188" s="98" t="str">
        <x:f>IF(OR(D188="",E188=""),"",IF(AND(ISNUMBER(J188),ISNUMBER(K188)),J188-K188,""))</x:f>
      </x:c>
      <x:c r="M188" s="114"/>
      <x:c r="N188" s="98" t="str">
        <x:f>IF(OR(D188="",E188=""),"",IF(COUNTIFS($D$6:D188,D188,$E$6:E188,E188)=1,MAX(SUMIFS($L$6:$L$505,$D$6:$D$505,D188,$E$6:$E$505,E188)-SUMIFS($M$6:$M$505,$D$6:$D$505,D188,$E$6:$E$505,E188),0),""))</x:f>
      </x:c>
    </x:row>
    <x:row r="189" ht="28" customHeight="1">
      <x:c r="A189" s="113" t="str">
        <x:f>IF(D189="","",IF(COUNTIFS(Trips!$A$6:$A$105,D189)=1,INDEX(Trips!$C$6:$C$105,MATCH(D189,Trips!$A$6:$A$105,0)),""))</x:f>
      </x:c>
      <x:c r="B189" s="90" t="str">
        <x:f>IF(D189="","",IF(COUNTIFS(Trips!$A$6:$A$105,D189)=1,INDEX(Trips!$B$6:$B$105,MATCH(D189,Trips!$A$6:$A$105,0)),""))</x:f>
      </x:c>
      <x:c r="C189" s="90" t="str">
        <x:f>IF(D189="","",IF(COUNTIFS(Trips!$A$6:$A$105,D189)=1,INDEX(Trips!$D$6:$D$105,MATCH(D189,Trips!$A$6:$A$105,0)),""))</x:f>
      </x:c>
      <x:c r="D189" s="107"/>
      <x:c r="E189" s="107"/>
      <x:c r="F189" s="90" t="str">
        <x:f>IF(E189="","",IF(COUNTIFS(Counters!$A$6:$A$105,E189)=1,INDEX(Counters!$B$6:$B$105,MATCH(E189,Counters!$A$6:$A$105,0)),""))</x:f>
      </x:c>
      <x:c r="G189" s="107"/>
      <x:c r="H189" s="98" t="str">
        <x:f>IF(C189="","",IF(COUNTIFS('Route List'!$F$6:$F$205,C189)=1,IF(COUNTIFS('Route List'!$F$6:$F$205,C189,'Route List'!$G$6:$G$205,"&lt;&gt;")=1,INDEX('Route List'!$G$6:$G$205,MATCH(C189,'Route List'!$F$6:$F$205,0)),"Enter route fare"),"Enter route fare"))</x:f>
      </x:c>
      <x:c r="I189" s="98" t="str">
        <x:f>IF(F189="","",IF(F189="Own",0,50))</x:f>
      </x:c>
      <x:c r="J189" s="98" t="str">
        <x:f>IF(OR(D189="",E189=""),"",IF(AND(ISNUMBER(G189),ISNUMBER(H189)),ROUND(G189*H189,2),""))</x:f>
      </x:c>
      <x:c r="K189" s="98" t="str">
        <x:f>IF(OR(D189="",E189=""),"",IF(AND(ISNUMBER(G189),ISNUMBER(I189)),ROUND(G189*I189,2),""))</x:f>
      </x:c>
      <x:c r="L189" s="98" t="str">
        <x:f>IF(OR(D189="",E189=""),"",IF(AND(ISNUMBER(J189),ISNUMBER(K189)),J189-K189,""))</x:f>
      </x:c>
      <x:c r="M189" s="114"/>
      <x:c r="N189" s="98" t="str">
        <x:f>IF(OR(D189="",E189=""),"",IF(COUNTIFS($D$6:D189,D189,$E$6:E189,E189)=1,MAX(SUMIFS($L$6:$L$505,$D$6:$D$505,D189,$E$6:$E$505,E189)-SUMIFS($M$6:$M$505,$D$6:$D$505,D189,$E$6:$E$505,E189),0),""))</x:f>
      </x:c>
    </x:row>
    <x:row r="190" ht="28" customHeight="1">
      <x:c r="A190" s="113" t="str">
        <x:f>IF(D190="","",IF(COUNTIFS(Trips!$A$6:$A$105,D190)=1,INDEX(Trips!$C$6:$C$105,MATCH(D190,Trips!$A$6:$A$105,0)),""))</x:f>
      </x:c>
      <x:c r="B190" s="90" t="str">
        <x:f>IF(D190="","",IF(COUNTIFS(Trips!$A$6:$A$105,D190)=1,INDEX(Trips!$B$6:$B$105,MATCH(D190,Trips!$A$6:$A$105,0)),""))</x:f>
      </x:c>
      <x:c r="C190" s="90" t="str">
        <x:f>IF(D190="","",IF(COUNTIFS(Trips!$A$6:$A$105,D190)=1,INDEX(Trips!$D$6:$D$105,MATCH(D190,Trips!$A$6:$A$105,0)),""))</x:f>
      </x:c>
      <x:c r="D190" s="107"/>
      <x:c r="E190" s="107"/>
      <x:c r="F190" s="90" t="str">
        <x:f>IF(E190="","",IF(COUNTIFS(Counters!$A$6:$A$105,E190)=1,INDEX(Counters!$B$6:$B$105,MATCH(E190,Counters!$A$6:$A$105,0)),""))</x:f>
      </x:c>
      <x:c r="G190" s="107"/>
      <x:c r="H190" s="98" t="str">
        <x:f>IF(C190="","",IF(COUNTIFS('Route List'!$F$6:$F$205,C190)=1,IF(COUNTIFS('Route List'!$F$6:$F$205,C190,'Route List'!$G$6:$G$205,"&lt;&gt;")=1,INDEX('Route List'!$G$6:$G$205,MATCH(C190,'Route List'!$F$6:$F$205,0)),"Enter route fare"),"Enter route fare"))</x:f>
      </x:c>
      <x:c r="I190" s="98" t="str">
        <x:f>IF(F190="","",IF(F190="Own",0,50))</x:f>
      </x:c>
      <x:c r="J190" s="98" t="str">
        <x:f>IF(OR(D190="",E190=""),"",IF(AND(ISNUMBER(G190),ISNUMBER(H190)),ROUND(G190*H190,2),""))</x:f>
      </x:c>
      <x:c r="K190" s="98" t="str">
        <x:f>IF(OR(D190="",E190=""),"",IF(AND(ISNUMBER(G190),ISNUMBER(I190)),ROUND(G190*I190,2),""))</x:f>
      </x:c>
      <x:c r="L190" s="98" t="str">
        <x:f>IF(OR(D190="",E190=""),"",IF(AND(ISNUMBER(J190),ISNUMBER(K190)),J190-K190,""))</x:f>
      </x:c>
      <x:c r="M190" s="114"/>
      <x:c r="N190" s="98" t="str">
        <x:f>IF(OR(D190="",E190=""),"",IF(COUNTIFS($D$6:D190,D190,$E$6:E190,E190)=1,MAX(SUMIFS($L$6:$L$505,$D$6:$D$505,D190,$E$6:$E$505,E190)-SUMIFS($M$6:$M$505,$D$6:$D$505,D190,$E$6:$E$505,E190),0),""))</x:f>
      </x:c>
    </x:row>
    <x:row r="191" ht="28" customHeight="1">
      <x:c r="A191" s="113" t="str">
        <x:f>IF(D191="","",IF(COUNTIFS(Trips!$A$6:$A$105,D191)=1,INDEX(Trips!$C$6:$C$105,MATCH(D191,Trips!$A$6:$A$105,0)),""))</x:f>
      </x:c>
      <x:c r="B191" s="90" t="str">
        <x:f>IF(D191="","",IF(COUNTIFS(Trips!$A$6:$A$105,D191)=1,INDEX(Trips!$B$6:$B$105,MATCH(D191,Trips!$A$6:$A$105,0)),""))</x:f>
      </x:c>
      <x:c r="C191" s="90" t="str">
        <x:f>IF(D191="","",IF(COUNTIFS(Trips!$A$6:$A$105,D191)=1,INDEX(Trips!$D$6:$D$105,MATCH(D191,Trips!$A$6:$A$105,0)),""))</x:f>
      </x:c>
      <x:c r="D191" s="107"/>
      <x:c r="E191" s="107"/>
      <x:c r="F191" s="90" t="str">
        <x:f>IF(E191="","",IF(COUNTIFS(Counters!$A$6:$A$105,E191)=1,INDEX(Counters!$B$6:$B$105,MATCH(E191,Counters!$A$6:$A$105,0)),""))</x:f>
      </x:c>
      <x:c r="G191" s="107"/>
      <x:c r="H191" s="98" t="str">
        <x:f>IF(C191="","",IF(COUNTIFS('Route List'!$F$6:$F$205,C191)=1,IF(COUNTIFS('Route List'!$F$6:$F$205,C191,'Route List'!$G$6:$G$205,"&lt;&gt;")=1,INDEX('Route List'!$G$6:$G$205,MATCH(C191,'Route List'!$F$6:$F$205,0)),"Enter route fare"),"Enter route fare"))</x:f>
      </x:c>
      <x:c r="I191" s="98" t="str">
        <x:f>IF(F191="","",IF(F191="Own",0,50))</x:f>
      </x:c>
      <x:c r="J191" s="98" t="str">
        <x:f>IF(OR(D191="",E191=""),"",IF(AND(ISNUMBER(G191),ISNUMBER(H191)),ROUND(G191*H191,2),""))</x:f>
      </x:c>
      <x:c r="K191" s="98" t="str">
        <x:f>IF(OR(D191="",E191=""),"",IF(AND(ISNUMBER(G191),ISNUMBER(I191)),ROUND(G191*I191,2),""))</x:f>
      </x:c>
      <x:c r="L191" s="98" t="str">
        <x:f>IF(OR(D191="",E191=""),"",IF(AND(ISNUMBER(J191),ISNUMBER(K191)),J191-K191,""))</x:f>
      </x:c>
      <x:c r="M191" s="114"/>
      <x:c r="N191" s="98" t="str">
        <x:f>IF(OR(D191="",E191=""),"",IF(COUNTIFS($D$6:D191,D191,$E$6:E191,E191)=1,MAX(SUMIFS($L$6:$L$505,$D$6:$D$505,D191,$E$6:$E$505,E191)-SUMIFS($M$6:$M$505,$D$6:$D$505,D191,$E$6:$E$505,E191),0),""))</x:f>
      </x:c>
    </x:row>
    <x:row r="192" ht="28" customHeight="1">
      <x:c r="A192" s="113" t="str">
        <x:f>IF(D192="","",IF(COUNTIFS(Trips!$A$6:$A$105,D192)=1,INDEX(Trips!$C$6:$C$105,MATCH(D192,Trips!$A$6:$A$105,0)),""))</x:f>
      </x:c>
      <x:c r="B192" s="90" t="str">
        <x:f>IF(D192="","",IF(COUNTIFS(Trips!$A$6:$A$105,D192)=1,INDEX(Trips!$B$6:$B$105,MATCH(D192,Trips!$A$6:$A$105,0)),""))</x:f>
      </x:c>
      <x:c r="C192" s="90" t="str">
        <x:f>IF(D192="","",IF(COUNTIFS(Trips!$A$6:$A$105,D192)=1,INDEX(Trips!$D$6:$D$105,MATCH(D192,Trips!$A$6:$A$105,0)),""))</x:f>
      </x:c>
      <x:c r="D192" s="107"/>
      <x:c r="E192" s="107"/>
      <x:c r="F192" s="90" t="str">
        <x:f>IF(E192="","",IF(COUNTIFS(Counters!$A$6:$A$105,E192)=1,INDEX(Counters!$B$6:$B$105,MATCH(E192,Counters!$A$6:$A$105,0)),""))</x:f>
      </x:c>
      <x:c r="G192" s="107"/>
      <x:c r="H192" s="98" t="str">
        <x:f>IF(C192="","",IF(COUNTIFS('Route List'!$F$6:$F$205,C192)=1,IF(COUNTIFS('Route List'!$F$6:$F$205,C192,'Route List'!$G$6:$G$205,"&lt;&gt;")=1,INDEX('Route List'!$G$6:$G$205,MATCH(C192,'Route List'!$F$6:$F$205,0)),"Enter route fare"),"Enter route fare"))</x:f>
      </x:c>
      <x:c r="I192" s="98" t="str">
        <x:f>IF(F192="","",IF(F192="Own",0,50))</x:f>
      </x:c>
      <x:c r="J192" s="98" t="str">
        <x:f>IF(OR(D192="",E192=""),"",IF(AND(ISNUMBER(G192),ISNUMBER(H192)),ROUND(G192*H192,2),""))</x:f>
      </x:c>
      <x:c r="K192" s="98" t="str">
        <x:f>IF(OR(D192="",E192=""),"",IF(AND(ISNUMBER(G192),ISNUMBER(I192)),ROUND(G192*I192,2),""))</x:f>
      </x:c>
      <x:c r="L192" s="98" t="str">
        <x:f>IF(OR(D192="",E192=""),"",IF(AND(ISNUMBER(J192),ISNUMBER(K192)),J192-K192,""))</x:f>
      </x:c>
      <x:c r="M192" s="114"/>
      <x:c r="N192" s="98" t="str">
        <x:f>IF(OR(D192="",E192=""),"",IF(COUNTIFS($D$6:D192,D192,$E$6:E192,E192)=1,MAX(SUMIFS($L$6:$L$505,$D$6:$D$505,D192,$E$6:$E$505,E192)-SUMIFS($M$6:$M$505,$D$6:$D$505,D192,$E$6:$E$505,E192),0),""))</x:f>
      </x:c>
    </x:row>
    <x:row r="193" ht="28" customHeight="1">
      <x:c r="A193" s="113" t="str">
        <x:f>IF(D193="","",IF(COUNTIFS(Trips!$A$6:$A$105,D193)=1,INDEX(Trips!$C$6:$C$105,MATCH(D193,Trips!$A$6:$A$105,0)),""))</x:f>
      </x:c>
      <x:c r="B193" s="90" t="str">
        <x:f>IF(D193="","",IF(COUNTIFS(Trips!$A$6:$A$105,D193)=1,INDEX(Trips!$B$6:$B$105,MATCH(D193,Trips!$A$6:$A$105,0)),""))</x:f>
      </x:c>
      <x:c r="C193" s="90" t="str">
        <x:f>IF(D193="","",IF(COUNTIFS(Trips!$A$6:$A$105,D193)=1,INDEX(Trips!$D$6:$D$105,MATCH(D193,Trips!$A$6:$A$105,0)),""))</x:f>
      </x:c>
      <x:c r="D193" s="107"/>
      <x:c r="E193" s="107"/>
      <x:c r="F193" s="90" t="str">
        <x:f>IF(E193="","",IF(COUNTIFS(Counters!$A$6:$A$105,E193)=1,INDEX(Counters!$B$6:$B$105,MATCH(E193,Counters!$A$6:$A$105,0)),""))</x:f>
      </x:c>
      <x:c r="G193" s="107"/>
      <x:c r="H193" s="98" t="str">
        <x:f>IF(C193="","",IF(COUNTIFS('Route List'!$F$6:$F$205,C193)=1,IF(COUNTIFS('Route List'!$F$6:$F$205,C193,'Route List'!$G$6:$G$205,"&lt;&gt;")=1,INDEX('Route List'!$G$6:$G$205,MATCH(C193,'Route List'!$F$6:$F$205,0)),"Enter route fare"),"Enter route fare"))</x:f>
      </x:c>
      <x:c r="I193" s="98" t="str">
        <x:f>IF(F193="","",IF(F193="Own",0,50))</x:f>
      </x:c>
      <x:c r="J193" s="98" t="str">
        <x:f>IF(OR(D193="",E193=""),"",IF(AND(ISNUMBER(G193),ISNUMBER(H193)),ROUND(G193*H193,2),""))</x:f>
      </x:c>
      <x:c r="K193" s="98" t="str">
        <x:f>IF(OR(D193="",E193=""),"",IF(AND(ISNUMBER(G193),ISNUMBER(I193)),ROUND(G193*I193,2),""))</x:f>
      </x:c>
      <x:c r="L193" s="98" t="str">
        <x:f>IF(OR(D193="",E193=""),"",IF(AND(ISNUMBER(J193),ISNUMBER(K193)),J193-K193,""))</x:f>
      </x:c>
      <x:c r="M193" s="114"/>
      <x:c r="N193" s="98" t="str">
        <x:f>IF(OR(D193="",E193=""),"",IF(COUNTIFS($D$6:D193,D193,$E$6:E193,E193)=1,MAX(SUMIFS($L$6:$L$505,$D$6:$D$505,D193,$E$6:$E$505,E193)-SUMIFS($M$6:$M$505,$D$6:$D$505,D193,$E$6:$E$505,E193),0),""))</x:f>
      </x:c>
    </x:row>
    <x:row r="194" ht="28" customHeight="1">
      <x:c r="A194" s="113" t="str">
        <x:f>IF(D194="","",IF(COUNTIFS(Trips!$A$6:$A$105,D194)=1,INDEX(Trips!$C$6:$C$105,MATCH(D194,Trips!$A$6:$A$105,0)),""))</x:f>
      </x:c>
      <x:c r="B194" s="90" t="str">
        <x:f>IF(D194="","",IF(COUNTIFS(Trips!$A$6:$A$105,D194)=1,INDEX(Trips!$B$6:$B$105,MATCH(D194,Trips!$A$6:$A$105,0)),""))</x:f>
      </x:c>
      <x:c r="C194" s="90" t="str">
        <x:f>IF(D194="","",IF(COUNTIFS(Trips!$A$6:$A$105,D194)=1,INDEX(Trips!$D$6:$D$105,MATCH(D194,Trips!$A$6:$A$105,0)),""))</x:f>
      </x:c>
      <x:c r="D194" s="107"/>
      <x:c r="E194" s="107"/>
      <x:c r="F194" s="90" t="str">
        <x:f>IF(E194="","",IF(COUNTIFS(Counters!$A$6:$A$105,E194)=1,INDEX(Counters!$B$6:$B$105,MATCH(E194,Counters!$A$6:$A$105,0)),""))</x:f>
      </x:c>
      <x:c r="G194" s="107"/>
      <x:c r="H194" s="98" t="str">
        <x:f>IF(C194="","",IF(COUNTIFS('Route List'!$F$6:$F$205,C194)=1,IF(COUNTIFS('Route List'!$F$6:$F$205,C194,'Route List'!$G$6:$G$205,"&lt;&gt;")=1,INDEX('Route List'!$G$6:$G$205,MATCH(C194,'Route List'!$F$6:$F$205,0)),"Enter route fare"),"Enter route fare"))</x:f>
      </x:c>
      <x:c r="I194" s="98" t="str">
        <x:f>IF(F194="","",IF(F194="Own",0,50))</x:f>
      </x:c>
      <x:c r="J194" s="98" t="str">
        <x:f>IF(OR(D194="",E194=""),"",IF(AND(ISNUMBER(G194),ISNUMBER(H194)),ROUND(G194*H194,2),""))</x:f>
      </x:c>
      <x:c r="K194" s="98" t="str">
        <x:f>IF(OR(D194="",E194=""),"",IF(AND(ISNUMBER(G194),ISNUMBER(I194)),ROUND(G194*I194,2),""))</x:f>
      </x:c>
      <x:c r="L194" s="98" t="str">
        <x:f>IF(OR(D194="",E194=""),"",IF(AND(ISNUMBER(J194),ISNUMBER(K194)),J194-K194,""))</x:f>
      </x:c>
      <x:c r="M194" s="114"/>
      <x:c r="N194" s="98" t="str">
        <x:f>IF(OR(D194="",E194=""),"",IF(COUNTIFS($D$6:D194,D194,$E$6:E194,E194)=1,MAX(SUMIFS($L$6:$L$505,$D$6:$D$505,D194,$E$6:$E$505,E194)-SUMIFS($M$6:$M$505,$D$6:$D$505,D194,$E$6:$E$505,E194),0),""))</x:f>
      </x:c>
    </x:row>
    <x:row r="195" ht="28" customHeight="1">
      <x:c r="A195" s="113" t="str">
        <x:f>IF(D195="","",IF(COUNTIFS(Trips!$A$6:$A$105,D195)=1,INDEX(Trips!$C$6:$C$105,MATCH(D195,Trips!$A$6:$A$105,0)),""))</x:f>
      </x:c>
      <x:c r="B195" s="90" t="str">
        <x:f>IF(D195="","",IF(COUNTIFS(Trips!$A$6:$A$105,D195)=1,INDEX(Trips!$B$6:$B$105,MATCH(D195,Trips!$A$6:$A$105,0)),""))</x:f>
      </x:c>
      <x:c r="C195" s="90" t="str">
        <x:f>IF(D195="","",IF(COUNTIFS(Trips!$A$6:$A$105,D195)=1,INDEX(Trips!$D$6:$D$105,MATCH(D195,Trips!$A$6:$A$105,0)),""))</x:f>
      </x:c>
      <x:c r="D195" s="107"/>
      <x:c r="E195" s="107"/>
      <x:c r="F195" s="90" t="str">
        <x:f>IF(E195="","",IF(COUNTIFS(Counters!$A$6:$A$105,E195)=1,INDEX(Counters!$B$6:$B$105,MATCH(E195,Counters!$A$6:$A$105,0)),""))</x:f>
      </x:c>
      <x:c r="G195" s="107"/>
      <x:c r="H195" s="98" t="str">
        <x:f>IF(C195="","",IF(COUNTIFS('Route List'!$F$6:$F$205,C195)=1,IF(COUNTIFS('Route List'!$F$6:$F$205,C195,'Route List'!$G$6:$G$205,"&lt;&gt;")=1,INDEX('Route List'!$G$6:$G$205,MATCH(C195,'Route List'!$F$6:$F$205,0)),"Enter route fare"),"Enter route fare"))</x:f>
      </x:c>
      <x:c r="I195" s="98" t="str">
        <x:f>IF(F195="","",IF(F195="Own",0,50))</x:f>
      </x:c>
      <x:c r="J195" s="98" t="str">
        <x:f>IF(OR(D195="",E195=""),"",IF(AND(ISNUMBER(G195),ISNUMBER(H195)),ROUND(G195*H195,2),""))</x:f>
      </x:c>
      <x:c r="K195" s="98" t="str">
        <x:f>IF(OR(D195="",E195=""),"",IF(AND(ISNUMBER(G195),ISNUMBER(I195)),ROUND(G195*I195,2),""))</x:f>
      </x:c>
      <x:c r="L195" s="98" t="str">
        <x:f>IF(OR(D195="",E195=""),"",IF(AND(ISNUMBER(J195),ISNUMBER(K195)),J195-K195,""))</x:f>
      </x:c>
      <x:c r="M195" s="114"/>
      <x:c r="N195" s="98" t="str">
        <x:f>IF(OR(D195="",E195=""),"",IF(COUNTIFS($D$6:D195,D195,$E$6:E195,E195)=1,MAX(SUMIFS($L$6:$L$505,$D$6:$D$505,D195,$E$6:$E$505,E195)-SUMIFS($M$6:$M$505,$D$6:$D$505,D195,$E$6:$E$505,E195),0),""))</x:f>
      </x:c>
    </x:row>
    <x:row r="196" ht="28" customHeight="1">
      <x:c r="A196" s="113" t="str">
        <x:f>IF(D196="","",IF(COUNTIFS(Trips!$A$6:$A$105,D196)=1,INDEX(Trips!$C$6:$C$105,MATCH(D196,Trips!$A$6:$A$105,0)),""))</x:f>
      </x:c>
      <x:c r="B196" s="90" t="str">
        <x:f>IF(D196="","",IF(COUNTIFS(Trips!$A$6:$A$105,D196)=1,INDEX(Trips!$B$6:$B$105,MATCH(D196,Trips!$A$6:$A$105,0)),""))</x:f>
      </x:c>
      <x:c r="C196" s="90" t="str">
        <x:f>IF(D196="","",IF(COUNTIFS(Trips!$A$6:$A$105,D196)=1,INDEX(Trips!$D$6:$D$105,MATCH(D196,Trips!$A$6:$A$105,0)),""))</x:f>
      </x:c>
      <x:c r="D196" s="107"/>
      <x:c r="E196" s="107"/>
      <x:c r="F196" s="90" t="str">
        <x:f>IF(E196="","",IF(COUNTIFS(Counters!$A$6:$A$105,E196)=1,INDEX(Counters!$B$6:$B$105,MATCH(E196,Counters!$A$6:$A$105,0)),""))</x:f>
      </x:c>
      <x:c r="G196" s="107"/>
      <x:c r="H196" s="98" t="str">
        <x:f>IF(C196="","",IF(COUNTIFS('Route List'!$F$6:$F$205,C196)=1,IF(COUNTIFS('Route List'!$F$6:$F$205,C196,'Route List'!$G$6:$G$205,"&lt;&gt;")=1,INDEX('Route List'!$G$6:$G$205,MATCH(C196,'Route List'!$F$6:$F$205,0)),"Enter route fare"),"Enter route fare"))</x:f>
      </x:c>
      <x:c r="I196" s="98" t="str">
        <x:f>IF(F196="","",IF(F196="Own",0,50))</x:f>
      </x:c>
      <x:c r="J196" s="98" t="str">
        <x:f>IF(OR(D196="",E196=""),"",IF(AND(ISNUMBER(G196),ISNUMBER(H196)),ROUND(G196*H196,2),""))</x:f>
      </x:c>
      <x:c r="K196" s="98" t="str">
        <x:f>IF(OR(D196="",E196=""),"",IF(AND(ISNUMBER(G196),ISNUMBER(I196)),ROUND(G196*I196,2),""))</x:f>
      </x:c>
      <x:c r="L196" s="98" t="str">
        <x:f>IF(OR(D196="",E196=""),"",IF(AND(ISNUMBER(J196),ISNUMBER(K196)),J196-K196,""))</x:f>
      </x:c>
      <x:c r="M196" s="114"/>
      <x:c r="N196" s="98" t="str">
        <x:f>IF(OR(D196="",E196=""),"",IF(COUNTIFS($D$6:D196,D196,$E$6:E196,E196)=1,MAX(SUMIFS($L$6:$L$505,$D$6:$D$505,D196,$E$6:$E$505,E196)-SUMIFS($M$6:$M$505,$D$6:$D$505,D196,$E$6:$E$505,E196),0),""))</x:f>
      </x:c>
    </x:row>
    <x:row r="197" ht="28" customHeight="1">
      <x:c r="A197" s="113" t="str">
        <x:f>IF(D197="","",IF(COUNTIFS(Trips!$A$6:$A$105,D197)=1,INDEX(Trips!$C$6:$C$105,MATCH(D197,Trips!$A$6:$A$105,0)),""))</x:f>
      </x:c>
      <x:c r="B197" s="90" t="str">
        <x:f>IF(D197="","",IF(COUNTIFS(Trips!$A$6:$A$105,D197)=1,INDEX(Trips!$B$6:$B$105,MATCH(D197,Trips!$A$6:$A$105,0)),""))</x:f>
      </x:c>
      <x:c r="C197" s="90" t="str">
        <x:f>IF(D197="","",IF(COUNTIFS(Trips!$A$6:$A$105,D197)=1,INDEX(Trips!$D$6:$D$105,MATCH(D197,Trips!$A$6:$A$105,0)),""))</x:f>
      </x:c>
      <x:c r="D197" s="107"/>
      <x:c r="E197" s="107"/>
      <x:c r="F197" s="90" t="str">
        <x:f>IF(E197="","",IF(COUNTIFS(Counters!$A$6:$A$105,E197)=1,INDEX(Counters!$B$6:$B$105,MATCH(E197,Counters!$A$6:$A$105,0)),""))</x:f>
      </x:c>
      <x:c r="G197" s="107"/>
      <x:c r="H197" s="98" t="str">
        <x:f>IF(C197="","",IF(COUNTIFS('Route List'!$F$6:$F$205,C197)=1,IF(COUNTIFS('Route List'!$F$6:$F$205,C197,'Route List'!$G$6:$G$205,"&lt;&gt;")=1,INDEX('Route List'!$G$6:$G$205,MATCH(C197,'Route List'!$F$6:$F$205,0)),"Enter route fare"),"Enter route fare"))</x:f>
      </x:c>
      <x:c r="I197" s="98" t="str">
        <x:f>IF(F197="","",IF(F197="Own",0,50))</x:f>
      </x:c>
      <x:c r="J197" s="98" t="str">
        <x:f>IF(OR(D197="",E197=""),"",IF(AND(ISNUMBER(G197),ISNUMBER(H197)),ROUND(G197*H197,2),""))</x:f>
      </x:c>
      <x:c r="K197" s="98" t="str">
        <x:f>IF(OR(D197="",E197=""),"",IF(AND(ISNUMBER(G197),ISNUMBER(I197)),ROUND(G197*I197,2),""))</x:f>
      </x:c>
      <x:c r="L197" s="98" t="str">
        <x:f>IF(OR(D197="",E197=""),"",IF(AND(ISNUMBER(J197),ISNUMBER(K197)),J197-K197,""))</x:f>
      </x:c>
      <x:c r="M197" s="114"/>
      <x:c r="N197" s="98" t="str">
        <x:f>IF(OR(D197="",E197=""),"",IF(COUNTIFS($D$6:D197,D197,$E$6:E197,E197)=1,MAX(SUMIFS($L$6:$L$505,$D$6:$D$505,D197,$E$6:$E$505,E197)-SUMIFS($M$6:$M$505,$D$6:$D$505,D197,$E$6:$E$505,E197),0),""))</x:f>
      </x:c>
    </x:row>
    <x:row r="198" ht="28" customHeight="1">
      <x:c r="A198" s="113" t="str">
        <x:f>IF(D198="","",IF(COUNTIFS(Trips!$A$6:$A$105,D198)=1,INDEX(Trips!$C$6:$C$105,MATCH(D198,Trips!$A$6:$A$105,0)),""))</x:f>
      </x:c>
      <x:c r="B198" s="90" t="str">
        <x:f>IF(D198="","",IF(COUNTIFS(Trips!$A$6:$A$105,D198)=1,INDEX(Trips!$B$6:$B$105,MATCH(D198,Trips!$A$6:$A$105,0)),""))</x:f>
      </x:c>
      <x:c r="C198" s="90" t="str">
        <x:f>IF(D198="","",IF(COUNTIFS(Trips!$A$6:$A$105,D198)=1,INDEX(Trips!$D$6:$D$105,MATCH(D198,Trips!$A$6:$A$105,0)),""))</x:f>
      </x:c>
      <x:c r="D198" s="107"/>
      <x:c r="E198" s="107"/>
      <x:c r="F198" s="90" t="str">
        <x:f>IF(E198="","",IF(COUNTIFS(Counters!$A$6:$A$105,E198)=1,INDEX(Counters!$B$6:$B$105,MATCH(E198,Counters!$A$6:$A$105,0)),""))</x:f>
      </x:c>
      <x:c r="G198" s="107"/>
      <x:c r="H198" s="98" t="str">
        <x:f>IF(C198="","",IF(COUNTIFS('Route List'!$F$6:$F$205,C198)=1,IF(COUNTIFS('Route List'!$F$6:$F$205,C198,'Route List'!$G$6:$G$205,"&lt;&gt;")=1,INDEX('Route List'!$G$6:$G$205,MATCH(C198,'Route List'!$F$6:$F$205,0)),"Enter route fare"),"Enter route fare"))</x:f>
      </x:c>
      <x:c r="I198" s="98" t="str">
        <x:f>IF(F198="","",IF(F198="Own",0,50))</x:f>
      </x:c>
      <x:c r="J198" s="98" t="str">
        <x:f>IF(OR(D198="",E198=""),"",IF(AND(ISNUMBER(G198),ISNUMBER(H198)),ROUND(G198*H198,2),""))</x:f>
      </x:c>
      <x:c r="K198" s="98" t="str">
        <x:f>IF(OR(D198="",E198=""),"",IF(AND(ISNUMBER(G198),ISNUMBER(I198)),ROUND(G198*I198,2),""))</x:f>
      </x:c>
      <x:c r="L198" s="98" t="str">
        <x:f>IF(OR(D198="",E198=""),"",IF(AND(ISNUMBER(J198),ISNUMBER(K198)),J198-K198,""))</x:f>
      </x:c>
      <x:c r="M198" s="114"/>
      <x:c r="N198" s="98" t="str">
        <x:f>IF(OR(D198="",E198=""),"",IF(COUNTIFS($D$6:D198,D198,$E$6:E198,E198)=1,MAX(SUMIFS($L$6:$L$505,$D$6:$D$505,D198,$E$6:$E$505,E198)-SUMIFS($M$6:$M$505,$D$6:$D$505,D198,$E$6:$E$505,E198),0),""))</x:f>
      </x:c>
    </x:row>
    <x:row r="199" ht="28" customHeight="1">
      <x:c r="A199" s="113" t="str">
        <x:f>IF(D199="","",IF(COUNTIFS(Trips!$A$6:$A$105,D199)=1,INDEX(Trips!$C$6:$C$105,MATCH(D199,Trips!$A$6:$A$105,0)),""))</x:f>
      </x:c>
      <x:c r="B199" s="90" t="str">
        <x:f>IF(D199="","",IF(COUNTIFS(Trips!$A$6:$A$105,D199)=1,INDEX(Trips!$B$6:$B$105,MATCH(D199,Trips!$A$6:$A$105,0)),""))</x:f>
      </x:c>
      <x:c r="C199" s="90" t="str">
        <x:f>IF(D199="","",IF(COUNTIFS(Trips!$A$6:$A$105,D199)=1,INDEX(Trips!$D$6:$D$105,MATCH(D199,Trips!$A$6:$A$105,0)),""))</x:f>
      </x:c>
      <x:c r="D199" s="107"/>
      <x:c r="E199" s="107"/>
      <x:c r="F199" s="90" t="str">
        <x:f>IF(E199="","",IF(COUNTIFS(Counters!$A$6:$A$105,E199)=1,INDEX(Counters!$B$6:$B$105,MATCH(E199,Counters!$A$6:$A$105,0)),""))</x:f>
      </x:c>
      <x:c r="G199" s="107"/>
      <x:c r="H199" s="98" t="str">
        <x:f>IF(C199="","",IF(COUNTIFS('Route List'!$F$6:$F$205,C199)=1,IF(COUNTIFS('Route List'!$F$6:$F$205,C199,'Route List'!$G$6:$G$205,"&lt;&gt;")=1,INDEX('Route List'!$G$6:$G$205,MATCH(C199,'Route List'!$F$6:$F$205,0)),"Enter route fare"),"Enter route fare"))</x:f>
      </x:c>
      <x:c r="I199" s="98" t="str">
        <x:f>IF(F199="","",IF(F199="Own",0,50))</x:f>
      </x:c>
      <x:c r="J199" s="98" t="str">
        <x:f>IF(OR(D199="",E199=""),"",IF(AND(ISNUMBER(G199),ISNUMBER(H199)),ROUND(G199*H199,2),""))</x:f>
      </x:c>
      <x:c r="K199" s="98" t="str">
        <x:f>IF(OR(D199="",E199=""),"",IF(AND(ISNUMBER(G199),ISNUMBER(I199)),ROUND(G199*I199,2),""))</x:f>
      </x:c>
      <x:c r="L199" s="98" t="str">
        <x:f>IF(OR(D199="",E199=""),"",IF(AND(ISNUMBER(J199),ISNUMBER(K199)),J199-K199,""))</x:f>
      </x:c>
      <x:c r="M199" s="114"/>
      <x:c r="N199" s="98" t="str">
        <x:f>IF(OR(D199="",E199=""),"",IF(COUNTIFS($D$6:D199,D199,$E$6:E199,E199)=1,MAX(SUMIFS($L$6:$L$505,$D$6:$D$505,D199,$E$6:$E$505,E199)-SUMIFS($M$6:$M$505,$D$6:$D$505,D199,$E$6:$E$505,E199),0),""))</x:f>
      </x:c>
    </x:row>
    <x:row r="200" ht="28" customHeight="1">
      <x:c r="A200" s="113" t="str">
        <x:f>IF(D200="","",IF(COUNTIFS(Trips!$A$6:$A$105,D200)=1,INDEX(Trips!$C$6:$C$105,MATCH(D200,Trips!$A$6:$A$105,0)),""))</x:f>
      </x:c>
      <x:c r="B200" s="90" t="str">
        <x:f>IF(D200="","",IF(COUNTIFS(Trips!$A$6:$A$105,D200)=1,INDEX(Trips!$B$6:$B$105,MATCH(D200,Trips!$A$6:$A$105,0)),""))</x:f>
      </x:c>
      <x:c r="C200" s="90" t="str">
        <x:f>IF(D200="","",IF(COUNTIFS(Trips!$A$6:$A$105,D200)=1,INDEX(Trips!$D$6:$D$105,MATCH(D200,Trips!$A$6:$A$105,0)),""))</x:f>
      </x:c>
      <x:c r="D200" s="107"/>
      <x:c r="E200" s="107"/>
      <x:c r="F200" s="90" t="str">
        <x:f>IF(E200="","",IF(COUNTIFS(Counters!$A$6:$A$105,E200)=1,INDEX(Counters!$B$6:$B$105,MATCH(E200,Counters!$A$6:$A$105,0)),""))</x:f>
      </x:c>
      <x:c r="G200" s="107"/>
      <x:c r="H200" s="98" t="str">
        <x:f>IF(C200="","",IF(COUNTIFS('Route List'!$F$6:$F$205,C200)=1,IF(COUNTIFS('Route List'!$F$6:$F$205,C200,'Route List'!$G$6:$G$205,"&lt;&gt;")=1,INDEX('Route List'!$G$6:$G$205,MATCH(C200,'Route List'!$F$6:$F$205,0)),"Enter route fare"),"Enter route fare"))</x:f>
      </x:c>
      <x:c r="I200" s="98" t="str">
        <x:f>IF(F200="","",IF(F200="Own",0,50))</x:f>
      </x:c>
      <x:c r="J200" s="98" t="str">
        <x:f>IF(OR(D200="",E200=""),"",IF(AND(ISNUMBER(G200),ISNUMBER(H200)),ROUND(G200*H200,2),""))</x:f>
      </x:c>
      <x:c r="K200" s="98" t="str">
        <x:f>IF(OR(D200="",E200=""),"",IF(AND(ISNUMBER(G200),ISNUMBER(I200)),ROUND(G200*I200,2),""))</x:f>
      </x:c>
      <x:c r="L200" s="98" t="str">
        <x:f>IF(OR(D200="",E200=""),"",IF(AND(ISNUMBER(J200),ISNUMBER(K200)),J200-K200,""))</x:f>
      </x:c>
      <x:c r="M200" s="114"/>
      <x:c r="N200" s="98" t="str">
        <x:f>IF(OR(D200="",E200=""),"",IF(COUNTIFS($D$6:D200,D200,$E$6:E200,E200)=1,MAX(SUMIFS($L$6:$L$505,$D$6:$D$505,D200,$E$6:$E$505,E200)-SUMIFS($M$6:$M$505,$D$6:$D$505,D200,$E$6:$E$505,E200),0),""))</x:f>
      </x:c>
    </x:row>
    <x:row r="201" ht="28" customHeight="1">
      <x:c r="A201" s="113" t="str">
        <x:f>IF(D201="","",IF(COUNTIFS(Trips!$A$6:$A$105,D201)=1,INDEX(Trips!$C$6:$C$105,MATCH(D201,Trips!$A$6:$A$105,0)),""))</x:f>
      </x:c>
      <x:c r="B201" s="90" t="str">
        <x:f>IF(D201="","",IF(COUNTIFS(Trips!$A$6:$A$105,D201)=1,INDEX(Trips!$B$6:$B$105,MATCH(D201,Trips!$A$6:$A$105,0)),""))</x:f>
      </x:c>
      <x:c r="C201" s="90" t="str">
        <x:f>IF(D201="","",IF(COUNTIFS(Trips!$A$6:$A$105,D201)=1,INDEX(Trips!$D$6:$D$105,MATCH(D201,Trips!$A$6:$A$105,0)),""))</x:f>
      </x:c>
      <x:c r="D201" s="107"/>
      <x:c r="E201" s="107"/>
      <x:c r="F201" s="90" t="str">
        <x:f>IF(E201="","",IF(COUNTIFS(Counters!$A$6:$A$105,E201)=1,INDEX(Counters!$B$6:$B$105,MATCH(E201,Counters!$A$6:$A$105,0)),""))</x:f>
      </x:c>
      <x:c r="G201" s="107"/>
      <x:c r="H201" s="98" t="str">
        <x:f>IF(C201="","",IF(COUNTIFS('Route List'!$F$6:$F$205,C201)=1,IF(COUNTIFS('Route List'!$F$6:$F$205,C201,'Route List'!$G$6:$G$205,"&lt;&gt;")=1,INDEX('Route List'!$G$6:$G$205,MATCH(C201,'Route List'!$F$6:$F$205,0)),"Enter route fare"),"Enter route fare"))</x:f>
      </x:c>
      <x:c r="I201" s="98" t="str">
        <x:f>IF(F201="","",IF(F201="Own",0,50))</x:f>
      </x:c>
      <x:c r="J201" s="98" t="str">
        <x:f>IF(OR(D201="",E201=""),"",IF(AND(ISNUMBER(G201),ISNUMBER(H201)),ROUND(G201*H201,2),""))</x:f>
      </x:c>
      <x:c r="K201" s="98" t="str">
        <x:f>IF(OR(D201="",E201=""),"",IF(AND(ISNUMBER(G201),ISNUMBER(I201)),ROUND(G201*I201,2),""))</x:f>
      </x:c>
      <x:c r="L201" s="98" t="str">
        <x:f>IF(OR(D201="",E201=""),"",IF(AND(ISNUMBER(J201),ISNUMBER(K201)),J201-K201,""))</x:f>
      </x:c>
      <x:c r="M201" s="114"/>
      <x:c r="N201" s="98" t="str">
        <x:f>IF(OR(D201="",E201=""),"",IF(COUNTIFS($D$6:D201,D201,$E$6:E201,E201)=1,MAX(SUMIFS($L$6:$L$505,$D$6:$D$505,D201,$E$6:$E$505,E201)-SUMIFS($M$6:$M$505,$D$6:$D$505,D201,$E$6:$E$505,E201),0),""))</x:f>
      </x:c>
    </x:row>
    <x:row r="202" ht="28" customHeight="1">
      <x:c r="A202" s="113" t="str">
        <x:f>IF(D202="","",IF(COUNTIFS(Trips!$A$6:$A$105,D202)=1,INDEX(Trips!$C$6:$C$105,MATCH(D202,Trips!$A$6:$A$105,0)),""))</x:f>
      </x:c>
      <x:c r="B202" s="90" t="str">
        <x:f>IF(D202="","",IF(COUNTIFS(Trips!$A$6:$A$105,D202)=1,INDEX(Trips!$B$6:$B$105,MATCH(D202,Trips!$A$6:$A$105,0)),""))</x:f>
      </x:c>
      <x:c r="C202" s="90" t="str">
        <x:f>IF(D202="","",IF(COUNTIFS(Trips!$A$6:$A$105,D202)=1,INDEX(Trips!$D$6:$D$105,MATCH(D202,Trips!$A$6:$A$105,0)),""))</x:f>
      </x:c>
      <x:c r="D202" s="107"/>
      <x:c r="E202" s="107"/>
      <x:c r="F202" s="90" t="str">
        <x:f>IF(E202="","",IF(COUNTIFS(Counters!$A$6:$A$105,E202)=1,INDEX(Counters!$B$6:$B$105,MATCH(E202,Counters!$A$6:$A$105,0)),""))</x:f>
      </x:c>
      <x:c r="G202" s="107"/>
      <x:c r="H202" s="98" t="str">
        <x:f>IF(C202="","",IF(COUNTIFS('Route List'!$F$6:$F$205,C202)=1,IF(COUNTIFS('Route List'!$F$6:$F$205,C202,'Route List'!$G$6:$G$205,"&lt;&gt;")=1,INDEX('Route List'!$G$6:$G$205,MATCH(C202,'Route List'!$F$6:$F$205,0)),"Enter route fare"),"Enter route fare"))</x:f>
      </x:c>
      <x:c r="I202" s="98" t="str">
        <x:f>IF(F202="","",IF(F202="Own",0,50))</x:f>
      </x:c>
      <x:c r="J202" s="98" t="str">
        <x:f>IF(OR(D202="",E202=""),"",IF(AND(ISNUMBER(G202),ISNUMBER(H202)),ROUND(G202*H202,2),""))</x:f>
      </x:c>
      <x:c r="K202" s="98" t="str">
        <x:f>IF(OR(D202="",E202=""),"",IF(AND(ISNUMBER(G202),ISNUMBER(I202)),ROUND(G202*I202,2),""))</x:f>
      </x:c>
      <x:c r="L202" s="98" t="str">
        <x:f>IF(OR(D202="",E202=""),"",IF(AND(ISNUMBER(J202),ISNUMBER(K202)),J202-K202,""))</x:f>
      </x:c>
      <x:c r="M202" s="114"/>
      <x:c r="N202" s="98" t="str">
        <x:f>IF(OR(D202="",E202=""),"",IF(COUNTIFS($D$6:D202,D202,$E$6:E202,E202)=1,MAX(SUMIFS($L$6:$L$505,$D$6:$D$505,D202,$E$6:$E$505,E202)-SUMIFS($M$6:$M$505,$D$6:$D$505,D202,$E$6:$E$505,E202),0),""))</x:f>
      </x:c>
    </x:row>
    <x:row r="203" ht="28" customHeight="1">
      <x:c r="A203" s="113" t="str">
        <x:f>IF(D203="","",IF(COUNTIFS(Trips!$A$6:$A$105,D203)=1,INDEX(Trips!$C$6:$C$105,MATCH(D203,Trips!$A$6:$A$105,0)),""))</x:f>
      </x:c>
      <x:c r="B203" s="90" t="str">
        <x:f>IF(D203="","",IF(COUNTIFS(Trips!$A$6:$A$105,D203)=1,INDEX(Trips!$B$6:$B$105,MATCH(D203,Trips!$A$6:$A$105,0)),""))</x:f>
      </x:c>
      <x:c r="C203" s="90" t="str">
        <x:f>IF(D203="","",IF(COUNTIFS(Trips!$A$6:$A$105,D203)=1,INDEX(Trips!$D$6:$D$105,MATCH(D203,Trips!$A$6:$A$105,0)),""))</x:f>
      </x:c>
      <x:c r="D203" s="107"/>
      <x:c r="E203" s="107"/>
      <x:c r="F203" s="90" t="str">
        <x:f>IF(E203="","",IF(COUNTIFS(Counters!$A$6:$A$105,E203)=1,INDEX(Counters!$B$6:$B$105,MATCH(E203,Counters!$A$6:$A$105,0)),""))</x:f>
      </x:c>
      <x:c r="G203" s="107"/>
      <x:c r="H203" s="98" t="str">
        <x:f>IF(C203="","",IF(COUNTIFS('Route List'!$F$6:$F$205,C203)=1,IF(COUNTIFS('Route List'!$F$6:$F$205,C203,'Route List'!$G$6:$G$205,"&lt;&gt;")=1,INDEX('Route List'!$G$6:$G$205,MATCH(C203,'Route List'!$F$6:$F$205,0)),"Enter route fare"),"Enter route fare"))</x:f>
      </x:c>
      <x:c r="I203" s="98" t="str">
        <x:f>IF(F203="","",IF(F203="Own",0,50))</x:f>
      </x:c>
      <x:c r="J203" s="98" t="str">
        <x:f>IF(OR(D203="",E203=""),"",IF(AND(ISNUMBER(G203),ISNUMBER(H203)),ROUND(G203*H203,2),""))</x:f>
      </x:c>
      <x:c r="K203" s="98" t="str">
        <x:f>IF(OR(D203="",E203=""),"",IF(AND(ISNUMBER(G203),ISNUMBER(I203)),ROUND(G203*I203,2),""))</x:f>
      </x:c>
      <x:c r="L203" s="98" t="str">
        <x:f>IF(OR(D203="",E203=""),"",IF(AND(ISNUMBER(J203),ISNUMBER(K203)),J203-K203,""))</x:f>
      </x:c>
      <x:c r="M203" s="114"/>
      <x:c r="N203" s="98" t="str">
        <x:f>IF(OR(D203="",E203=""),"",IF(COUNTIFS($D$6:D203,D203,$E$6:E203,E203)=1,MAX(SUMIFS($L$6:$L$505,$D$6:$D$505,D203,$E$6:$E$505,E203)-SUMIFS($M$6:$M$505,$D$6:$D$505,D203,$E$6:$E$505,E203),0),""))</x:f>
      </x:c>
    </x:row>
    <x:row r="204" ht="28" customHeight="1">
      <x:c r="A204" s="113" t="str">
        <x:f>IF(D204="","",IF(COUNTIFS(Trips!$A$6:$A$105,D204)=1,INDEX(Trips!$C$6:$C$105,MATCH(D204,Trips!$A$6:$A$105,0)),""))</x:f>
      </x:c>
      <x:c r="B204" s="90" t="str">
        <x:f>IF(D204="","",IF(COUNTIFS(Trips!$A$6:$A$105,D204)=1,INDEX(Trips!$B$6:$B$105,MATCH(D204,Trips!$A$6:$A$105,0)),""))</x:f>
      </x:c>
      <x:c r="C204" s="90" t="str">
        <x:f>IF(D204="","",IF(COUNTIFS(Trips!$A$6:$A$105,D204)=1,INDEX(Trips!$D$6:$D$105,MATCH(D204,Trips!$A$6:$A$105,0)),""))</x:f>
      </x:c>
      <x:c r="D204" s="107"/>
      <x:c r="E204" s="107"/>
      <x:c r="F204" s="90" t="str">
        <x:f>IF(E204="","",IF(COUNTIFS(Counters!$A$6:$A$105,E204)=1,INDEX(Counters!$B$6:$B$105,MATCH(E204,Counters!$A$6:$A$105,0)),""))</x:f>
      </x:c>
      <x:c r="G204" s="107"/>
      <x:c r="H204" s="98" t="str">
        <x:f>IF(C204="","",IF(COUNTIFS('Route List'!$F$6:$F$205,C204)=1,IF(COUNTIFS('Route List'!$F$6:$F$205,C204,'Route List'!$G$6:$G$205,"&lt;&gt;")=1,INDEX('Route List'!$G$6:$G$205,MATCH(C204,'Route List'!$F$6:$F$205,0)),"Enter route fare"),"Enter route fare"))</x:f>
      </x:c>
      <x:c r="I204" s="98" t="str">
        <x:f>IF(F204="","",IF(F204="Own",0,50))</x:f>
      </x:c>
      <x:c r="J204" s="98" t="str">
        <x:f>IF(OR(D204="",E204=""),"",IF(AND(ISNUMBER(G204),ISNUMBER(H204)),ROUND(G204*H204,2),""))</x:f>
      </x:c>
      <x:c r="K204" s="98" t="str">
        <x:f>IF(OR(D204="",E204=""),"",IF(AND(ISNUMBER(G204),ISNUMBER(I204)),ROUND(G204*I204,2),""))</x:f>
      </x:c>
      <x:c r="L204" s="98" t="str">
        <x:f>IF(OR(D204="",E204=""),"",IF(AND(ISNUMBER(J204),ISNUMBER(K204)),J204-K204,""))</x:f>
      </x:c>
      <x:c r="M204" s="114"/>
      <x:c r="N204" s="98" t="str">
        <x:f>IF(OR(D204="",E204=""),"",IF(COUNTIFS($D$6:D204,D204,$E$6:E204,E204)=1,MAX(SUMIFS($L$6:$L$505,$D$6:$D$505,D204,$E$6:$E$505,E204)-SUMIFS($M$6:$M$505,$D$6:$D$505,D204,$E$6:$E$505,E204),0),""))</x:f>
      </x:c>
    </x:row>
    <x:row r="205" ht="28" customHeight="1">
      <x:c r="A205" s="113" t="str">
        <x:f>IF(D205="","",IF(COUNTIFS(Trips!$A$6:$A$105,D205)=1,INDEX(Trips!$C$6:$C$105,MATCH(D205,Trips!$A$6:$A$105,0)),""))</x:f>
      </x:c>
      <x:c r="B205" s="90" t="str">
        <x:f>IF(D205="","",IF(COUNTIFS(Trips!$A$6:$A$105,D205)=1,INDEX(Trips!$B$6:$B$105,MATCH(D205,Trips!$A$6:$A$105,0)),""))</x:f>
      </x:c>
      <x:c r="C205" s="90" t="str">
        <x:f>IF(D205="","",IF(COUNTIFS(Trips!$A$6:$A$105,D205)=1,INDEX(Trips!$D$6:$D$105,MATCH(D205,Trips!$A$6:$A$105,0)),""))</x:f>
      </x:c>
      <x:c r="D205" s="107"/>
      <x:c r="E205" s="107"/>
      <x:c r="F205" s="90" t="str">
        <x:f>IF(E205="","",IF(COUNTIFS(Counters!$A$6:$A$105,E205)=1,INDEX(Counters!$B$6:$B$105,MATCH(E205,Counters!$A$6:$A$105,0)),""))</x:f>
      </x:c>
      <x:c r="G205" s="107"/>
      <x:c r="H205" s="98" t="str">
        <x:f>IF(C205="","",IF(COUNTIFS('Route List'!$F$6:$F$205,C205)=1,IF(COUNTIFS('Route List'!$F$6:$F$205,C205,'Route List'!$G$6:$G$205,"&lt;&gt;")=1,INDEX('Route List'!$G$6:$G$205,MATCH(C205,'Route List'!$F$6:$F$205,0)),"Enter route fare"),"Enter route fare"))</x:f>
      </x:c>
      <x:c r="I205" s="98" t="str">
        <x:f>IF(F205="","",IF(F205="Own",0,50))</x:f>
      </x:c>
      <x:c r="J205" s="98" t="str">
        <x:f>IF(OR(D205="",E205=""),"",IF(AND(ISNUMBER(G205),ISNUMBER(H205)),ROUND(G205*H205,2),""))</x:f>
      </x:c>
      <x:c r="K205" s="98" t="str">
        <x:f>IF(OR(D205="",E205=""),"",IF(AND(ISNUMBER(G205),ISNUMBER(I205)),ROUND(G205*I205,2),""))</x:f>
      </x:c>
      <x:c r="L205" s="98" t="str">
        <x:f>IF(OR(D205="",E205=""),"",IF(AND(ISNUMBER(J205),ISNUMBER(K205)),J205-K205,""))</x:f>
      </x:c>
      <x:c r="M205" s="114"/>
      <x:c r="N205" s="98" t="str">
        <x:f>IF(OR(D205="",E205=""),"",IF(COUNTIFS($D$6:D205,D205,$E$6:E205,E205)=1,MAX(SUMIFS($L$6:$L$505,$D$6:$D$505,D205,$E$6:$E$505,E205)-SUMIFS($M$6:$M$505,$D$6:$D$505,D205,$E$6:$E$505,E205),0),""))</x:f>
      </x:c>
    </x:row>
    <x:row r="206" ht="28" customHeight="1">
      <x:c r="A206" s="113" t="str">
        <x:f>IF(D206="","",IF(COUNTIFS(Trips!$A$6:$A$105,D206)=1,INDEX(Trips!$C$6:$C$105,MATCH(D206,Trips!$A$6:$A$105,0)),""))</x:f>
      </x:c>
      <x:c r="B206" s="90" t="str">
        <x:f>IF(D206="","",IF(COUNTIFS(Trips!$A$6:$A$105,D206)=1,INDEX(Trips!$B$6:$B$105,MATCH(D206,Trips!$A$6:$A$105,0)),""))</x:f>
      </x:c>
      <x:c r="C206" s="90" t="str">
        <x:f>IF(D206="","",IF(COUNTIFS(Trips!$A$6:$A$105,D206)=1,INDEX(Trips!$D$6:$D$105,MATCH(D206,Trips!$A$6:$A$105,0)),""))</x:f>
      </x:c>
      <x:c r="D206" s="107"/>
      <x:c r="E206" s="107"/>
      <x:c r="F206" s="90" t="str">
        <x:f>IF(E206="","",IF(COUNTIFS(Counters!$A$6:$A$105,E206)=1,INDEX(Counters!$B$6:$B$105,MATCH(E206,Counters!$A$6:$A$105,0)),""))</x:f>
      </x:c>
      <x:c r="G206" s="107"/>
      <x:c r="H206" s="98" t="str">
        <x:f>IF(C206="","",IF(COUNTIFS('Route List'!$F$6:$F$205,C206)=1,IF(COUNTIFS('Route List'!$F$6:$F$205,C206,'Route List'!$G$6:$G$205,"&lt;&gt;")=1,INDEX('Route List'!$G$6:$G$205,MATCH(C206,'Route List'!$F$6:$F$205,0)),"Enter route fare"),"Enter route fare"))</x:f>
      </x:c>
      <x:c r="I206" s="98" t="str">
        <x:f>IF(F206="","",IF(F206="Own",0,50))</x:f>
      </x:c>
      <x:c r="J206" s="98" t="str">
        <x:f>IF(OR(D206="",E206=""),"",IF(AND(ISNUMBER(G206),ISNUMBER(H206)),ROUND(G206*H206,2),""))</x:f>
      </x:c>
      <x:c r="K206" s="98" t="str">
        <x:f>IF(OR(D206="",E206=""),"",IF(AND(ISNUMBER(G206),ISNUMBER(I206)),ROUND(G206*I206,2),""))</x:f>
      </x:c>
      <x:c r="L206" s="98" t="str">
        <x:f>IF(OR(D206="",E206=""),"",IF(AND(ISNUMBER(J206),ISNUMBER(K206)),J206-K206,""))</x:f>
      </x:c>
      <x:c r="M206" s="114"/>
      <x:c r="N206" s="98" t="str">
        <x:f>IF(OR(D206="",E206=""),"",IF(COUNTIFS($D$6:D206,D206,$E$6:E206,E206)=1,MAX(SUMIFS($L$6:$L$505,$D$6:$D$505,D206,$E$6:$E$505,E206)-SUMIFS($M$6:$M$505,$D$6:$D$505,D206,$E$6:$E$505,E206),0),""))</x:f>
      </x:c>
    </x:row>
    <x:row r="207" ht="28" customHeight="1">
      <x:c r="A207" s="113" t="str">
        <x:f>IF(D207="","",IF(COUNTIFS(Trips!$A$6:$A$105,D207)=1,INDEX(Trips!$C$6:$C$105,MATCH(D207,Trips!$A$6:$A$105,0)),""))</x:f>
      </x:c>
      <x:c r="B207" s="90" t="str">
        <x:f>IF(D207="","",IF(COUNTIFS(Trips!$A$6:$A$105,D207)=1,INDEX(Trips!$B$6:$B$105,MATCH(D207,Trips!$A$6:$A$105,0)),""))</x:f>
      </x:c>
      <x:c r="C207" s="90" t="str">
        <x:f>IF(D207="","",IF(COUNTIFS(Trips!$A$6:$A$105,D207)=1,INDEX(Trips!$D$6:$D$105,MATCH(D207,Trips!$A$6:$A$105,0)),""))</x:f>
      </x:c>
      <x:c r="D207" s="107"/>
      <x:c r="E207" s="107"/>
      <x:c r="F207" s="90" t="str">
        <x:f>IF(E207="","",IF(COUNTIFS(Counters!$A$6:$A$105,E207)=1,INDEX(Counters!$B$6:$B$105,MATCH(E207,Counters!$A$6:$A$105,0)),""))</x:f>
      </x:c>
      <x:c r="G207" s="107"/>
      <x:c r="H207" s="98" t="str">
        <x:f>IF(C207="","",IF(COUNTIFS('Route List'!$F$6:$F$205,C207)=1,IF(COUNTIFS('Route List'!$F$6:$F$205,C207,'Route List'!$G$6:$G$205,"&lt;&gt;")=1,INDEX('Route List'!$G$6:$G$205,MATCH(C207,'Route List'!$F$6:$F$205,0)),"Enter route fare"),"Enter route fare"))</x:f>
      </x:c>
      <x:c r="I207" s="98" t="str">
        <x:f>IF(F207="","",IF(F207="Own",0,50))</x:f>
      </x:c>
      <x:c r="J207" s="98" t="str">
        <x:f>IF(OR(D207="",E207=""),"",IF(AND(ISNUMBER(G207),ISNUMBER(H207)),ROUND(G207*H207,2),""))</x:f>
      </x:c>
      <x:c r="K207" s="98" t="str">
        <x:f>IF(OR(D207="",E207=""),"",IF(AND(ISNUMBER(G207),ISNUMBER(I207)),ROUND(G207*I207,2),""))</x:f>
      </x:c>
      <x:c r="L207" s="98" t="str">
        <x:f>IF(OR(D207="",E207=""),"",IF(AND(ISNUMBER(J207),ISNUMBER(K207)),J207-K207,""))</x:f>
      </x:c>
      <x:c r="M207" s="114"/>
      <x:c r="N207" s="98" t="str">
        <x:f>IF(OR(D207="",E207=""),"",IF(COUNTIFS($D$6:D207,D207,$E$6:E207,E207)=1,MAX(SUMIFS($L$6:$L$505,$D$6:$D$505,D207,$E$6:$E$505,E207)-SUMIFS($M$6:$M$505,$D$6:$D$505,D207,$E$6:$E$505,E207),0),""))</x:f>
      </x:c>
    </x:row>
    <x:row r="208" ht="28" customHeight="1">
      <x:c r="A208" s="113" t="str">
        <x:f>IF(D208="","",IF(COUNTIFS(Trips!$A$6:$A$105,D208)=1,INDEX(Trips!$C$6:$C$105,MATCH(D208,Trips!$A$6:$A$105,0)),""))</x:f>
      </x:c>
      <x:c r="B208" s="90" t="str">
        <x:f>IF(D208="","",IF(COUNTIFS(Trips!$A$6:$A$105,D208)=1,INDEX(Trips!$B$6:$B$105,MATCH(D208,Trips!$A$6:$A$105,0)),""))</x:f>
      </x:c>
      <x:c r="C208" s="90" t="str">
        <x:f>IF(D208="","",IF(COUNTIFS(Trips!$A$6:$A$105,D208)=1,INDEX(Trips!$D$6:$D$105,MATCH(D208,Trips!$A$6:$A$105,0)),""))</x:f>
      </x:c>
      <x:c r="D208" s="107"/>
      <x:c r="E208" s="107"/>
      <x:c r="F208" s="90" t="str">
        <x:f>IF(E208="","",IF(COUNTIFS(Counters!$A$6:$A$105,E208)=1,INDEX(Counters!$B$6:$B$105,MATCH(E208,Counters!$A$6:$A$105,0)),""))</x:f>
      </x:c>
      <x:c r="G208" s="107"/>
      <x:c r="H208" s="98" t="str">
        <x:f>IF(C208="","",IF(COUNTIFS('Route List'!$F$6:$F$205,C208)=1,IF(COUNTIFS('Route List'!$F$6:$F$205,C208,'Route List'!$G$6:$G$205,"&lt;&gt;")=1,INDEX('Route List'!$G$6:$G$205,MATCH(C208,'Route List'!$F$6:$F$205,0)),"Enter route fare"),"Enter route fare"))</x:f>
      </x:c>
      <x:c r="I208" s="98" t="str">
        <x:f>IF(F208="","",IF(F208="Own",0,50))</x:f>
      </x:c>
      <x:c r="J208" s="98" t="str">
        <x:f>IF(OR(D208="",E208=""),"",IF(AND(ISNUMBER(G208),ISNUMBER(H208)),ROUND(G208*H208,2),""))</x:f>
      </x:c>
      <x:c r="K208" s="98" t="str">
        <x:f>IF(OR(D208="",E208=""),"",IF(AND(ISNUMBER(G208),ISNUMBER(I208)),ROUND(G208*I208,2),""))</x:f>
      </x:c>
      <x:c r="L208" s="98" t="str">
        <x:f>IF(OR(D208="",E208=""),"",IF(AND(ISNUMBER(J208),ISNUMBER(K208)),J208-K208,""))</x:f>
      </x:c>
      <x:c r="M208" s="114"/>
      <x:c r="N208" s="98" t="str">
        <x:f>IF(OR(D208="",E208=""),"",IF(COUNTIFS($D$6:D208,D208,$E$6:E208,E208)=1,MAX(SUMIFS($L$6:$L$505,$D$6:$D$505,D208,$E$6:$E$505,E208)-SUMIFS($M$6:$M$505,$D$6:$D$505,D208,$E$6:$E$505,E208),0),""))</x:f>
      </x:c>
    </x:row>
    <x:row r="209" ht="28" customHeight="1">
      <x:c r="A209" s="113" t="str">
        <x:f>IF(D209="","",IF(COUNTIFS(Trips!$A$6:$A$105,D209)=1,INDEX(Trips!$C$6:$C$105,MATCH(D209,Trips!$A$6:$A$105,0)),""))</x:f>
      </x:c>
      <x:c r="B209" s="90" t="str">
        <x:f>IF(D209="","",IF(COUNTIFS(Trips!$A$6:$A$105,D209)=1,INDEX(Trips!$B$6:$B$105,MATCH(D209,Trips!$A$6:$A$105,0)),""))</x:f>
      </x:c>
      <x:c r="C209" s="90" t="str">
        <x:f>IF(D209="","",IF(COUNTIFS(Trips!$A$6:$A$105,D209)=1,INDEX(Trips!$D$6:$D$105,MATCH(D209,Trips!$A$6:$A$105,0)),""))</x:f>
      </x:c>
      <x:c r="D209" s="107"/>
      <x:c r="E209" s="107"/>
      <x:c r="F209" s="90" t="str">
        <x:f>IF(E209="","",IF(COUNTIFS(Counters!$A$6:$A$105,E209)=1,INDEX(Counters!$B$6:$B$105,MATCH(E209,Counters!$A$6:$A$105,0)),""))</x:f>
      </x:c>
      <x:c r="G209" s="107"/>
      <x:c r="H209" s="98" t="str">
        <x:f>IF(C209="","",IF(COUNTIFS('Route List'!$F$6:$F$205,C209)=1,IF(COUNTIFS('Route List'!$F$6:$F$205,C209,'Route List'!$G$6:$G$205,"&lt;&gt;")=1,INDEX('Route List'!$G$6:$G$205,MATCH(C209,'Route List'!$F$6:$F$205,0)),"Enter route fare"),"Enter route fare"))</x:f>
      </x:c>
      <x:c r="I209" s="98" t="str">
        <x:f>IF(F209="","",IF(F209="Own",0,50))</x:f>
      </x:c>
      <x:c r="J209" s="98" t="str">
        <x:f>IF(OR(D209="",E209=""),"",IF(AND(ISNUMBER(G209),ISNUMBER(H209)),ROUND(G209*H209,2),""))</x:f>
      </x:c>
      <x:c r="K209" s="98" t="str">
        <x:f>IF(OR(D209="",E209=""),"",IF(AND(ISNUMBER(G209),ISNUMBER(I209)),ROUND(G209*I209,2),""))</x:f>
      </x:c>
      <x:c r="L209" s="98" t="str">
        <x:f>IF(OR(D209="",E209=""),"",IF(AND(ISNUMBER(J209),ISNUMBER(K209)),J209-K209,""))</x:f>
      </x:c>
      <x:c r="M209" s="114"/>
      <x:c r="N209" s="98" t="str">
        <x:f>IF(OR(D209="",E209=""),"",IF(COUNTIFS($D$6:D209,D209,$E$6:E209,E209)=1,MAX(SUMIFS($L$6:$L$505,$D$6:$D$505,D209,$E$6:$E$505,E209)-SUMIFS($M$6:$M$505,$D$6:$D$505,D209,$E$6:$E$505,E209),0),""))</x:f>
      </x:c>
    </x:row>
    <x:row r="210" ht="28" customHeight="1">
      <x:c r="A210" s="113" t="str">
        <x:f>IF(D210="","",IF(COUNTIFS(Trips!$A$6:$A$105,D210)=1,INDEX(Trips!$C$6:$C$105,MATCH(D210,Trips!$A$6:$A$105,0)),""))</x:f>
      </x:c>
      <x:c r="B210" s="90" t="str">
        <x:f>IF(D210="","",IF(COUNTIFS(Trips!$A$6:$A$105,D210)=1,INDEX(Trips!$B$6:$B$105,MATCH(D210,Trips!$A$6:$A$105,0)),""))</x:f>
      </x:c>
      <x:c r="C210" s="90" t="str">
        <x:f>IF(D210="","",IF(COUNTIFS(Trips!$A$6:$A$105,D210)=1,INDEX(Trips!$D$6:$D$105,MATCH(D210,Trips!$A$6:$A$105,0)),""))</x:f>
      </x:c>
      <x:c r="D210" s="107"/>
      <x:c r="E210" s="107"/>
      <x:c r="F210" s="90" t="str">
        <x:f>IF(E210="","",IF(COUNTIFS(Counters!$A$6:$A$105,E210)=1,INDEX(Counters!$B$6:$B$105,MATCH(E210,Counters!$A$6:$A$105,0)),""))</x:f>
      </x:c>
      <x:c r="G210" s="107"/>
      <x:c r="H210" s="98" t="str">
        <x:f>IF(C210="","",IF(COUNTIFS('Route List'!$F$6:$F$205,C210)=1,IF(COUNTIFS('Route List'!$F$6:$F$205,C210,'Route List'!$G$6:$G$205,"&lt;&gt;")=1,INDEX('Route List'!$G$6:$G$205,MATCH(C210,'Route List'!$F$6:$F$205,0)),"Enter route fare"),"Enter route fare"))</x:f>
      </x:c>
      <x:c r="I210" s="98" t="str">
        <x:f>IF(F210="","",IF(F210="Own",0,50))</x:f>
      </x:c>
      <x:c r="J210" s="98" t="str">
        <x:f>IF(OR(D210="",E210=""),"",IF(AND(ISNUMBER(G210),ISNUMBER(H210)),ROUND(G210*H210,2),""))</x:f>
      </x:c>
      <x:c r="K210" s="98" t="str">
        <x:f>IF(OR(D210="",E210=""),"",IF(AND(ISNUMBER(G210),ISNUMBER(I210)),ROUND(G210*I210,2),""))</x:f>
      </x:c>
      <x:c r="L210" s="98" t="str">
        <x:f>IF(OR(D210="",E210=""),"",IF(AND(ISNUMBER(J210),ISNUMBER(K210)),J210-K210,""))</x:f>
      </x:c>
      <x:c r="M210" s="114"/>
      <x:c r="N210" s="98" t="str">
        <x:f>IF(OR(D210="",E210=""),"",IF(COUNTIFS($D$6:D210,D210,$E$6:E210,E210)=1,MAX(SUMIFS($L$6:$L$505,$D$6:$D$505,D210,$E$6:$E$505,E210)-SUMIFS($M$6:$M$505,$D$6:$D$505,D210,$E$6:$E$505,E210),0),""))</x:f>
      </x:c>
    </x:row>
    <x:row r="211" ht="28" customHeight="1">
      <x:c r="A211" s="113" t="str">
        <x:f>IF(D211="","",IF(COUNTIFS(Trips!$A$6:$A$105,D211)=1,INDEX(Trips!$C$6:$C$105,MATCH(D211,Trips!$A$6:$A$105,0)),""))</x:f>
      </x:c>
      <x:c r="B211" s="90" t="str">
        <x:f>IF(D211="","",IF(COUNTIFS(Trips!$A$6:$A$105,D211)=1,INDEX(Trips!$B$6:$B$105,MATCH(D211,Trips!$A$6:$A$105,0)),""))</x:f>
      </x:c>
      <x:c r="C211" s="90" t="str">
        <x:f>IF(D211="","",IF(COUNTIFS(Trips!$A$6:$A$105,D211)=1,INDEX(Trips!$D$6:$D$105,MATCH(D211,Trips!$A$6:$A$105,0)),""))</x:f>
      </x:c>
      <x:c r="D211" s="107"/>
      <x:c r="E211" s="107"/>
      <x:c r="F211" s="90" t="str">
        <x:f>IF(E211="","",IF(COUNTIFS(Counters!$A$6:$A$105,E211)=1,INDEX(Counters!$B$6:$B$105,MATCH(E211,Counters!$A$6:$A$105,0)),""))</x:f>
      </x:c>
      <x:c r="G211" s="107"/>
      <x:c r="H211" s="98" t="str">
        <x:f>IF(C211="","",IF(COUNTIFS('Route List'!$F$6:$F$205,C211)=1,IF(COUNTIFS('Route List'!$F$6:$F$205,C211,'Route List'!$G$6:$G$205,"&lt;&gt;")=1,INDEX('Route List'!$G$6:$G$205,MATCH(C211,'Route List'!$F$6:$F$205,0)),"Enter route fare"),"Enter route fare"))</x:f>
      </x:c>
      <x:c r="I211" s="98" t="str">
        <x:f>IF(F211="","",IF(F211="Own",0,50))</x:f>
      </x:c>
      <x:c r="J211" s="98" t="str">
        <x:f>IF(OR(D211="",E211=""),"",IF(AND(ISNUMBER(G211),ISNUMBER(H211)),ROUND(G211*H211,2),""))</x:f>
      </x:c>
      <x:c r="K211" s="98" t="str">
        <x:f>IF(OR(D211="",E211=""),"",IF(AND(ISNUMBER(G211),ISNUMBER(I211)),ROUND(G211*I211,2),""))</x:f>
      </x:c>
      <x:c r="L211" s="98" t="str">
        <x:f>IF(OR(D211="",E211=""),"",IF(AND(ISNUMBER(J211),ISNUMBER(K211)),J211-K211,""))</x:f>
      </x:c>
      <x:c r="M211" s="114"/>
      <x:c r="N211" s="98" t="str">
        <x:f>IF(OR(D211="",E211=""),"",IF(COUNTIFS($D$6:D211,D211,$E$6:E211,E211)=1,MAX(SUMIFS($L$6:$L$505,$D$6:$D$505,D211,$E$6:$E$505,E211)-SUMIFS($M$6:$M$505,$D$6:$D$505,D211,$E$6:$E$505,E211),0),""))</x:f>
      </x:c>
    </x:row>
    <x:row r="212" ht="28" customHeight="1">
      <x:c r="A212" s="113" t="str">
        <x:f>IF(D212="","",IF(COUNTIFS(Trips!$A$6:$A$105,D212)=1,INDEX(Trips!$C$6:$C$105,MATCH(D212,Trips!$A$6:$A$105,0)),""))</x:f>
      </x:c>
      <x:c r="B212" s="90" t="str">
        <x:f>IF(D212="","",IF(COUNTIFS(Trips!$A$6:$A$105,D212)=1,INDEX(Trips!$B$6:$B$105,MATCH(D212,Trips!$A$6:$A$105,0)),""))</x:f>
      </x:c>
      <x:c r="C212" s="90" t="str">
        <x:f>IF(D212="","",IF(COUNTIFS(Trips!$A$6:$A$105,D212)=1,INDEX(Trips!$D$6:$D$105,MATCH(D212,Trips!$A$6:$A$105,0)),""))</x:f>
      </x:c>
      <x:c r="D212" s="107"/>
      <x:c r="E212" s="107"/>
      <x:c r="F212" s="90" t="str">
        <x:f>IF(E212="","",IF(COUNTIFS(Counters!$A$6:$A$105,E212)=1,INDEX(Counters!$B$6:$B$105,MATCH(E212,Counters!$A$6:$A$105,0)),""))</x:f>
      </x:c>
      <x:c r="G212" s="107"/>
      <x:c r="H212" s="98" t="str">
        <x:f>IF(C212="","",IF(COUNTIFS('Route List'!$F$6:$F$205,C212)=1,IF(COUNTIFS('Route List'!$F$6:$F$205,C212,'Route List'!$G$6:$G$205,"&lt;&gt;")=1,INDEX('Route List'!$G$6:$G$205,MATCH(C212,'Route List'!$F$6:$F$205,0)),"Enter route fare"),"Enter route fare"))</x:f>
      </x:c>
      <x:c r="I212" s="98" t="str">
        <x:f>IF(F212="","",IF(F212="Own",0,50))</x:f>
      </x:c>
      <x:c r="J212" s="98" t="str">
        <x:f>IF(OR(D212="",E212=""),"",IF(AND(ISNUMBER(G212),ISNUMBER(H212)),ROUND(G212*H212,2),""))</x:f>
      </x:c>
      <x:c r="K212" s="98" t="str">
        <x:f>IF(OR(D212="",E212=""),"",IF(AND(ISNUMBER(G212),ISNUMBER(I212)),ROUND(G212*I212,2),""))</x:f>
      </x:c>
      <x:c r="L212" s="98" t="str">
        <x:f>IF(OR(D212="",E212=""),"",IF(AND(ISNUMBER(J212),ISNUMBER(K212)),J212-K212,""))</x:f>
      </x:c>
      <x:c r="M212" s="114"/>
      <x:c r="N212" s="98" t="str">
        <x:f>IF(OR(D212="",E212=""),"",IF(COUNTIFS($D$6:D212,D212,$E$6:E212,E212)=1,MAX(SUMIFS($L$6:$L$505,$D$6:$D$505,D212,$E$6:$E$505,E212)-SUMIFS($M$6:$M$505,$D$6:$D$505,D212,$E$6:$E$505,E212),0),""))</x:f>
      </x:c>
    </x:row>
    <x:row r="213" ht="28" customHeight="1">
      <x:c r="A213" s="113" t="str">
        <x:f>IF(D213="","",IF(COUNTIFS(Trips!$A$6:$A$105,D213)=1,INDEX(Trips!$C$6:$C$105,MATCH(D213,Trips!$A$6:$A$105,0)),""))</x:f>
      </x:c>
      <x:c r="B213" s="90" t="str">
        <x:f>IF(D213="","",IF(COUNTIFS(Trips!$A$6:$A$105,D213)=1,INDEX(Trips!$B$6:$B$105,MATCH(D213,Trips!$A$6:$A$105,0)),""))</x:f>
      </x:c>
      <x:c r="C213" s="90" t="str">
        <x:f>IF(D213="","",IF(COUNTIFS(Trips!$A$6:$A$105,D213)=1,INDEX(Trips!$D$6:$D$105,MATCH(D213,Trips!$A$6:$A$105,0)),""))</x:f>
      </x:c>
      <x:c r="D213" s="107"/>
      <x:c r="E213" s="107"/>
      <x:c r="F213" s="90" t="str">
        <x:f>IF(E213="","",IF(COUNTIFS(Counters!$A$6:$A$105,E213)=1,INDEX(Counters!$B$6:$B$105,MATCH(E213,Counters!$A$6:$A$105,0)),""))</x:f>
      </x:c>
      <x:c r="G213" s="107"/>
      <x:c r="H213" s="98" t="str">
        <x:f>IF(C213="","",IF(COUNTIFS('Route List'!$F$6:$F$205,C213)=1,IF(COUNTIFS('Route List'!$F$6:$F$205,C213,'Route List'!$G$6:$G$205,"&lt;&gt;")=1,INDEX('Route List'!$G$6:$G$205,MATCH(C213,'Route List'!$F$6:$F$205,0)),"Enter route fare"),"Enter route fare"))</x:f>
      </x:c>
      <x:c r="I213" s="98" t="str">
        <x:f>IF(F213="","",IF(F213="Own",0,50))</x:f>
      </x:c>
      <x:c r="J213" s="98" t="str">
        <x:f>IF(OR(D213="",E213=""),"",IF(AND(ISNUMBER(G213),ISNUMBER(H213)),ROUND(G213*H213,2),""))</x:f>
      </x:c>
      <x:c r="K213" s="98" t="str">
        <x:f>IF(OR(D213="",E213=""),"",IF(AND(ISNUMBER(G213),ISNUMBER(I213)),ROUND(G213*I213,2),""))</x:f>
      </x:c>
      <x:c r="L213" s="98" t="str">
        <x:f>IF(OR(D213="",E213=""),"",IF(AND(ISNUMBER(J213),ISNUMBER(K213)),J213-K213,""))</x:f>
      </x:c>
      <x:c r="M213" s="114"/>
      <x:c r="N213" s="98" t="str">
        <x:f>IF(OR(D213="",E213=""),"",IF(COUNTIFS($D$6:D213,D213,$E$6:E213,E213)=1,MAX(SUMIFS($L$6:$L$505,$D$6:$D$505,D213,$E$6:$E$505,E213)-SUMIFS($M$6:$M$505,$D$6:$D$505,D213,$E$6:$E$505,E213),0),""))</x:f>
      </x:c>
    </x:row>
    <x:row r="214" ht="28" customHeight="1">
      <x:c r="A214" s="113" t="str">
        <x:f>IF(D214="","",IF(COUNTIFS(Trips!$A$6:$A$105,D214)=1,INDEX(Trips!$C$6:$C$105,MATCH(D214,Trips!$A$6:$A$105,0)),""))</x:f>
      </x:c>
      <x:c r="B214" s="90" t="str">
        <x:f>IF(D214="","",IF(COUNTIFS(Trips!$A$6:$A$105,D214)=1,INDEX(Trips!$B$6:$B$105,MATCH(D214,Trips!$A$6:$A$105,0)),""))</x:f>
      </x:c>
      <x:c r="C214" s="90" t="str">
        <x:f>IF(D214="","",IF(COUNTIFS(Trips!$A$6:$A$105,D214)=1,INDEX(Trips!$D$6:$D$105,MATCH(D214,Trips!$A$6:$A$105,0)),""))</x:f>
      </x:c>
      <x:c r="D214" s="107"/>
      <x:c r="E214" s="107"/>
      <x:c r="F214" s="90" t="str">
        <x:f>IF(E214="","",IF(COUNTIFS(Counters!$A$6:$A$105,E214)=1,INDEX(Counters!$B$6:$B$105,MATCH(E214,Counters!$A$6:$A$105,0)),""))</x:f>
      </x:c>
      <x:c r="G214" s="107"/>
      <x:c r="H214" s="98" t="str">
        <x:f>IF(C214="","",IF(COUNTIFS('Route List'!$F$6:$F$205,C214)=1,IF(COUNTIFS('Route List'!$F$6:$F$205,C214,'Route List'!$G$6:$G$205,"&lt;&gt;")=1,INDEX('Route List'!$G$6:$G$205,MATCH(C214,'Route List'!$F$6:$F$205,0)),"Enter route fare"),"Enter route fare"))</x:f>
      </x:c>
      <x:c r="I214" s="98" t="str">
        <x:f>IF(F214="","",IF(F214="Own",0,50))</x:f>
      </x:c>
      <x:c r="J214" s="98" t="str">
        <x:f>IF(OR(D214="",E214=""),"",IF(AND(ISNUMBER(G214),ISNUMBER(H214)),ROUND(G214*H214,2),""))</x:f>
      </x:c>
      <x:c r="K214" s="98" t="str">
        <x:f>IF(OR(D214="",E214=""),"",IF(AND(ISNUMBER(G214),ISNUMBER(I214)),ROUND(G214*I214,2),""))</x:f>
      </x:c>
      <x:c r="L214" s="98" t="str">
        <x:f>IF(OR(D214="",E214=""),"",IF(AND(ISNUMBER(J214),ISNUMBER(K214)),J214-K214,""))</x:f>
      </x:c>
      <x:c r="M214" s="114"/>
      <x:c r="N214" s="98" t="str">
        <x:f>IF(OR(D214="",E214=""),"",IF(COUNTIFS($D$6:D214,D214,$E$6:E214,E214)=1,MAX(SUMIFS($L$6:$L$505,$D$6:$D$505,D214,$E$6:$E$505,E214)-SUMIFS($M$6:$M$505,$D$6:$D$505,D214,$E$6:$E$505,E214),0),""))</x:f>
      </x:c>
    </x:row>
    <x:row r="215" ht="28" customHeight="1">
      <x:c r="A215" s="113" t="str">
        <x:f>IF(D215="","",IF(COUNTIFS(Trips!$A$6:$A$105,D215)=1,INDEX(Trips!$C$6:$C$105,MATCH(D215,Trips!$A$6:$A$105,0)),""))</x:f>
      </x:c>
      <x:c r="B215" s="90" t="str">
        <x:f>IF(D215="","",IF(COUNTIFS(Trips!$A$6:$A$105,D215)=1,INDEX(Trips!$B$6:$B$105,MATCH(D215,Trips!$A$6:$A$105,0)),""))</x:f>
      </x:c>
      <x:c r="C215" s="90" t="str">
        <x:f>IF(D215="","",IF(COUNTIFS(Trips!$A$6:$A$105,D215)=1,INDEX(Trips!$D$6:$D$105,MATCH(D215,Trips!$A$6:$A$105,0)),""))</x:f>
      </x:c>
      <x:c r="D215" s="107"/>
      <x:c r="E215" s="107"/>
      <x:c r="F215" s="90" t="str">
        <x:f>IF(E215="","",IF(COUNTIFS(Counters!$A$6:$A$105,E215)=1,INDEX(Counters!$B$6:$B$105,MATCH(E215,Counters!$A$6:$A$105,0)),""))</x:f>
      </x:c>
      <x:c r="G215" s="107"/>
      <x:c r="H215" s="98" t="str">
        <x:f>IF(C215="","",IF(COUNTIFS('Route List'!$F$6:$F$205,C215)=1,IF(COUNTIFS('Route List'!$F$6:$F$205,C215,'Route List'!$G$6:$G$205,"&lt;&gt;")=1,INDEX('Route List'!$G$6:$G$205,MATCH(C215,'Route List'!$F$6:$F$205,0)),"Enter route fare"),"Enter route fare"))</x:f>
      </x:c>
      <x:c r="I215" s="98" t="str">
        <x:f>IF(F215="","",IF(F215="Own",0,50))</x:f>
      </x:c>
      <x:c r="J215" s="98" t="str">
        <x:f>IF(OR(D215="",E215=""),"",IF(AND(ISNUMBER(G215),ISNUMBER(H215)),ROUND(G215*H215,2),""))</x:f>
      </x:c>
      <x:c r="K215" s="98" t="str">
        <x:f>IF(OR(D215="",E215=""),"",IF(AND(ISNUMBER(G215),ISNUMBER(I215)),ROUND(G215*I215,2),""))</x:f>
      </x:c>
      <x:c r="L215" s="98" t="str">
        <x:f>IF(OR(D215="",E215=""),"",IF(AND(ISNUMBER(J215),ISNUMBER(K215)),J215-K215,""))</x:f>
      </x:c>
      <x:c r="M215" s="114"/>
      <x:c r="N215" s="98" t="str">
        <x:f>IF(OR(D215="",E215=""),"",IF(COUNTIFS($D$6:D215,D215,$E$6:E215,E215)=1,MAX(SUMIFS($L$6:$L$505,$D$6:$D$505,D215,$E$6:$E$505,E215)-SUMIFS($M$6:$M$505,$D$6:$D$505,D215,$E$6:$E$505,E215),0),""))</x:f>
      </x:c>
    </x:row>
    <x:row r="216" ht="28" customHeight="1">
      <x:c r="A216" s="113" t="str">
        <x:f>IF(D216="","",IF(COUNTIFS(Trips!$A$6:$A$105,D216)=1,INDEX(Trips!$C$6:$C$105,MATCH(D216,Trips!$A$6:$A$105,0)),""))</x:f>
      </x:c>
      <x:c r="B216" s="90" t="str">
        <x:f>IF(D216="","",IF(COUNTIFS(Trips!$A$6:$A$105,D216)=1,INDEX(Trips!$B$6:$B$105,MATCH(D216,Trips!$A$6:$A$105,0)),""))</x:f>
      </x:c>
      <x:c r="C216" s="90" t="str">
        <x:f>IF(D216="","",IF(COUNTIFS(Trips!$A$6:$A$105,D216)=1,INDEX(Trips!$D$6:$D$105,MATCH(D216,Trips!$A$6:$A$105,0)),""))</x:f>
      </x:c>
      <x:c r="D216" s="107"/>
      <x:c r="E216" s="107"/>
      <x:c r="F216" s="90" t="str">
        <x:f>IF(E216="","",IF(COUNTIFS(Counters!$A$6:$A$105,E216)=1,INDEX(Counters!$B$6:$B$105,MATCH(E216,Counters!$A$6:$A$105,0)),""))</x:f>
      </x:c>
      <x:c r="G216" s="107"/>
      <x:c r="H216" s="98" t="str">
        <x:f>IF(C216="","",IF(COUNTIFS('Route List'!$F$6:$F$205,C216)=1,IF(COUNTIFS('Route List'!$F$6:$F$205,C216,'Route List'!$G$6:$G$205,"&lt;&gt;")=1,INDEX('Route List'!$G$6:$G$205,MATCH(C216,'Route List'!$F$6:$F$205,0)),"Enter route fare"),"Enter route fare"))</x:f>
      </x:c>
      <x:c r="I216" s="98" t="str">
        <x:f>IF(F216="","",IF(F216="Own",0,50))</x:f>
      </x:c>
      <x:c r="J216" s="98" t="str">
        <x:f>IF(OR(D216="",E216=""),"",IF(AND(ISNUMBER(G216),ISNUMBER(H216)),ROUND(G216*H216,2),""))</x:f>
      </x:c>
      <x:c r="K216" s="98" t="str">
        <x:f>IF(OR(D216="",E216=""),"",IF(AND(ISNUMBER(G216),ISNUMBER(I216)),ROUND(G216*I216,2),""))</x:f>
      </x:c>
      <x:c r="L216" s="98" t="str">
        <x:f>IF(OR(D216="",E216=""),"",IF(AND(ISNUMBER(J216),ISNUMBER(K216)),J216-K216,""))</x:f>
      </x:c>
      <x:c r="M216" s="114"/>
      <x:c r="N216" s="98" t="str">
        <x:f>IF(OR(D216="",E216=""),"",IF(COUNTIFS($D$6:D216,D216,$E$6:E216,E216)=1,MAX(SUMIFS($L$6:$L$505,$D$6:$D$505,D216,$E$6:$E$505,E216)-SUMIFS($M$6:$M$505,$D$6:$D$505,D216,$E$6:$E$505,E216),0),""))</x:f>
      </x:c>
    </x:row>
    <x:row r="217" ht="28" customHeight="1">
      <x:c r="A217" s="113" t="str">
        <x:f>IF(D217="","",IF(COUNTIFS(Trips!$A$6:$A$105,D217)=1,INDEX(Trips!$C$6:$C$105,MATCH(D217,Trips!$A$6:$A$105,0)),""))</x:f>
      </x:c>
      <x:c r="B217" s="90" t="str">
        <x:f>IF(D217="","",IF(COUNTIFS(Trips!$A$6:$A$105,D217)=1,INDEX(Trips!$B$6:$B$105,MATCH(D217,Trips!$A$6:$A$105,0)),""))</x:f>
      </x:c>
      <x:c r="C217" s="90" t="str">
        <x:f>IF(D217="","",IF(COUNTIFS(Trips!$A$6:$A$105,D217)=1,INDEX(Trips!$D$6:$D$105,MATCH(D217,Trips!$A$6:$A$105,0)),""))</x:f>
      </x:c>
      <x:c r="D217" s="107"/>
      <x:c r="E217" s="107"/>
      <x:c r="F217" s="90" t="str">
        <x:f>IF(E217="","",IF(COUNTIFS(Counters!$A$6:$A$105,E217)=1,INDEX(Counters!$B$6:$B$105,MATCH(E217,Counters!$A$6:$A$105,0)),""))</x:f>
      </x:c>
      <x:c r="G217" s="107"/>
      <x:c r="H217" s="98" t="str">
        <x:f>IF(C217="","",IF(COUNTIFS('Route List'!$F$6:$F$205,C217)=1,IF(COUNTIFS('Route List'!$F$6:$F$205,C217,'Route List'!$G$6:$G$205,"&lt;&gt;")=1,INDEX('Route List'!$G$6:$G$205,MATCH(C217,'Route List'!$F$6:$F$205,0)),"Enter route fare"),"Enter route fare"))</x:f>
      </x:c>
      <x:c r="I217" s="98" t="str">
        <x:f>IF(F217="","",IF(F217="Own",0,50))</x:f>
      </x:c>
      <x:c r="J217" s="98" t="str">
        <x:f>IF(OR(D217="",E217=""),"",IF(AND(ISNUMBER(G217),ISNUMBER(H217)),ROUND(G217*H217,2),""))</x:f>
      </x:c>
      <x:c r="K217" s="98" t="str">
        <x:f>IF(OR(D217="",E217=""),"",IF(AND(ISNUMBER(G217),ISNUMBER(I217)),ROUND(G217*I217,2),""))</x:f>
      </x:c>
      <x:c r="L217" s="98" t="str">
        <x:f>IF(OR(D217="",E217=""),"",IF(AND(ISNUMBER(J217),ISNUMBER(K217)),J217-K217,""))</x:f>
      </x:c>
      <x:c r="M217" s="114"/>
      <x:c r="N217" s="98" t="str">
        <x:f>IF(OR(D217="",E217=""),"",IF(COUNTIFS($D$6:D217,D217,$E$6:E217,E217)=1,MAX(SUMIFS($L$6:$L$505,$D$6:$D$505,D217,$E$6:$E$505,E217)-SUMIFS($M$6:$M$505,$D$6:$D$505,D217,$E$6:$E$505,E217),0),""))</x:f>
      </x:c>
    </x:row>
    <x:row r="218" ht="28" customHeight="1">
      <x:c r="A218" s="113" t="str">
        <x:f>IF(D218="","",IF(COUNTIFS(Trips!$A$6:$A$105,D218)=1,INDEX(Trips!$C$6:$C$105,MATCH(D218,Trips!$A$6:$A$105,0)),""))</x:f>
      </x:c>
      <x:c r="B218" s="90" t="str">
        <x:f>IF(D218="","",IF(COUNTIFS(Trips!$A$6:$A$105,D218)=1,INDEX(Trips!$B$6:$B$105,MATCH(D218,Trips!$A$6:$A$105,0)),""))</x:f>
      </x:c>
      <x:c r="C218" s="90" t="str">
        <x:f>IF(D218="","",IF(COUNTIFS(Trips!$A$6:$A$105,D218)=1,INDEX(Trips!$D$6:$D$105,MATCH(D218,Trips!$A$6:$A$105,0)),""))</x:f>
      </x:c>
      <x:c r="D218" s="107"/>
      <x:c r="E218" s="107"/>
      <x:c r="F218" s="90" t="str">
        <x:f>IF(E218="","",IF(COUNTIFS(Counters!$A$6:$A$105,E218)=1,INDEX(Counters!$B$6:$B$105,MATCH(E218,Counters!$A$6:$A$105,0)),""))</x:f>
      </x:c>
      <x:c r="G218" s="107"/>
      <x:c r="H218" s="98" t="str">
        <x:f>IF(C218="","",IF(COUNTIFS('Route List'!$F$6:$F$205,C218)=1,IF(COUNTIFS('Route List'!$F$6:$F$205,C218,'Route List'!$G$6:$G$205,"&lt;&gt;")=1,INDEX('Route List'!$G$6:$G$205,MATCH(C218,'Route List'!$F$6:$F$205,0)),"Enter route fare"),"Enter route fare"))</x:f>
      </x:c>
      <x:c r="I218" s="98" t="str">
        <x:f>IF(F218="","",IF(F218="Own",0,50))</x:f>
      </x:c>
      <x:c r="J218" s="98" t="str">
        <x:f>IF(OR(D218="",E218=""),"",IF(AND(ISNUMBER(G218),ISNUMBER(H218)),ROUND(G218*H218,2),""))</x:f>
      </x:c>
      <x:c r="K218" s="98" t="str">
        <x:f>IF(OR(D218="",E218=""),"",IF(AND(ISNUMBER(G218),ISNUMBER(I218)),ROUND(G218*I218,2),""))</x:f>
      </x:c>
      <x:c r="L218" s="98" t="str">
        <x:f>IF(OR(D218="",E218=""),"",IF(AND(ISNUMBER(J218),ISNUMBER(K218)),J218-K218,""))</x:f>
      </x:c>
      <x:c r="M218" s="114"/>
      <x:c r="N218" s="98" t="str">
        <x:f>IF(OR(D218="",E218=""),"",IF(COUNTIFS($D$6:D218,D218,$E$6:E218,E218)=1,MAX(SUMIFS($L$6:$L$505,$D$6:$D$505,D218,$E$6:$E$505,E218)-SUMIFS($M$6:$M$505,$D$6:$D$505,D218,$E$6:$E$505,E218),0),""))</x:f>
      </x:c>
    </x:row>
    <x:row r="219" ht="28" customHeight="1">
      <x:c r="A219" s="113" t="str">
        <x:f>IF(D219="","",IF(COUNTIFS(Trips!$A$6:$A$105,D219)=1,INDEX(Trips!$C$6:$C$105,MATCH(D219,Trips!$A$6:$A$105,0)),""))</x:f>
      </x:c>
      <x:c r="B219" s="90" t="str">
        <x:f>IF(D219="","",IF(COUNTIFS(Trips!$A$6:$A$105,D219)=1,INDEX(Trips!$B$6:$B$105,MATCH(D219,Trips!$A$6:$A$105,0)),""))</x:f>
      </x:c>
      <x:c r="C219" s="90" t="str">
        <x:f>IF(D219="","",IF(COUNTIFS(Trips!$A$6:$A$105,D219)=1,INDEX(Trips!$D$6:$D$105,MATCH(D219,Trips!$A$6:$A$105,0)),""))</x:f>
      </x:c>
      <x:c r="D219" s="107"/>
      <x:c r="E219" s="107"/>
      <x:c r="F219" s="90" t="str">
        <x:f>IF(E219="","",IF(COUNTIFS(Counters!$A$6:$A$105,E219)=1,INDEX(Counters!$B$6:$B$105,MATCH(E219,Counters!$A$6:$A$105,0)),""))</x:f>
      </x:c>
      <x:c r="G219" s="107"/>
      <x:c r="H219" s="98" t="str">
        <x:f>IF(C219="","",IF(COUNTIFS('Route List'!$F$6:$F$205,C219)=1,IF(COUNTIFS('Route List'!$F$6:$F$205,C219,'Route List'!$G$6:$G$205,"&lt;&gt;")=1,INDEX('Route List'!$G$6:$G$205,MATCH(C219,'Route List'!$F$6:$F$205,0)),"Enter route fare"),"Enter route fare"))</x:f>
      </x:c>
      <x:c r="I219" s="98" t="str">
        <x:f>IF(F219="","",IF(F219="Own",0,50))</x:f>
      </x:c>
      <x:c r="J219" s="98" t="str">
        <x:f>IF(OR(D219="",E219=""),"",IF(AND(ISNUMBER(G219),ISNUMBER(H219)),ROUND(G219*H219,2),""))</x:f>
      </x:c>
      <x:c r="K219" s="98" t="str">
        <x:f>IF(OR(D219="",E219=""),"",IF(AND(ISNUMBER(G219),ISNUMBER(I219)),ROUND(G219*I219,2),""))</x:f>
      </x:c>
      <x:c r="L219" s="98" t="str">
        <x:f>IF(OR(D219="",E219=""),"",IF(AND(ISNUMBER(J219),ISNUMBER(K219)),J219-K219,""))</x:f>
      </x:c>
      <x:c r="M219" s="114"/>
      <x:c r="N219" s="98" t="str">
        <x:f>IF(OR(D219="",E219=""),"",IF(COUNTIFS($D$6:D219,D219,$E$6:E219,E219)=1,MAX(SUMIFS($L$6:$L$505,$D$6:$D$505,D219,$E$6:$E$505,E219)-SUMIFS($M$6:$M$505,$D$6:$D$505,D219,$E$6:$E$505,E219),0),""))</x:f>
      </x:c>
    </x:row>
    <x:row r="220" ht="28" customHeight="1">
      <x:c r="A220" s="113" t="str">
        <x:f>IF(D220="","",IF(COUNTIFS(Trips!$A$6:$A$105,D220)=1,INDEX(Trips!$C$6:$C$105,MATCH(D220,Trips!$A$6:$A$105,0)),""))</x:f>
      </x:c>
      <x:c r="B220" s="90" t="str">
        <x:f>IF(D220="","",IF(COUNTIFS(Trips!$A$6:$A$105,D220)=1,INDEX(Trips!$B$6:$B$105,MATCH(D220,Trips!$A$6:$A$105,0)),""))</x:f>
      </x:c>
      <x:c r="C220" s="90" t="str">
        <x:f>IF(D220="","",IF(COUNTIFS(Trips!$A$6:$A$105,D220)=1,INDEX(Trips!$D$6:$D$105,MATCH(D220,Trips!$A$6:$A$105,0)),""))</x:f>
      </x:c>
      <x:c r="D220" s="107"/>
      <x:c r="E220" s="107"/>
      <x:c r="F220" s="90" t="str">
        <x:f>IF(E220="","",IF(COUNTIFS(Counters!$A$6:$A$105,E220)=1,INDEX(Counters!$B$6:$B$105,MATCH(E220,Counters!$A$6:$A$105,0)),""))</x:f>
      </x:c>
      <x:c r="G220" s="107"/>
      <x:c r="H220" s="98" t="str">
        <x:f>IF(C220="","",IF(COUNTIFS('Route List'!$F$6:$F$205,C220)=1,IF(COUNTIFS('Route List'!$F$6:$F$205,C220,'Route List'!$G$6:$G$205,"&lt;&gt;")=1,INDEX('Route List'!$G$6:$G$205,MATCH(C220,'Route List'!$F$6:$F$205,0)),"Enter route fare"),"Enter route fare"))</x:f>
      </x:c>
      <x:c r="I220" s="98" t="str">
        <x:f>IF(F220="","",IF(F220="Own",0,50))</x:f>
      </x:c>
      <x:c r="J220" s="98" t="str">
        <x:f>IF(OR(D220="",E220=""),"",IF(AND(ISNUMBER(G220),ISNUMBER(H220)),ROUND(G220*H220,2),""))</x:f>
      </x:c>
      <x:c r="K220" s="98" t="str">
        <x:f>IF(OR(D220="",E220=""),"",IF(AND(ISNUMBER(G220),ISNUMBER(I220)),ROUND(G220*I220,2),""))</x:f>
      </x:c>
      <x:c r="L220" s="98" t="str">
        <x:f>IF(OR(D220="",E220=""),"",IF(AND(ISNUMBER(J220),ISNUMBER(K220)),J220-K220,""))</x:f>
      </x:c>
      <x:c r="M220" s="114"/>
      <x:c r="N220" s="98" t="str">
        <x:f>IF(OR(D220="",E220=""),"",IF(COUNTIFS($D$6:D220,D220,$E$6:E220,E220)=1,MAX(SUMIFS($L$6:$L$505,$D$6:$D$505,D220,$E$6:$E$505,E220)-SUMIFS($M$6:$M$505,$D$6:$D$505,D220,$E$6:$E$505,E220),0),""))</x:f>
      </x:c>
    </x:row>
    <x:row r="221" ht="28" customHeight="1">
      <x:c r="A221" s="113" t="str">
        <x:f>IF(D221="","",IF(COUNTIFS(Trips!$A$6:$A$105,D221)=1,INDEX(Trips!$C$6:$C$105,MATCH(D221,Trips!$A$6:$A$105,0)),""))</x:f>
      </x:c>
      <x:c r="B221" s="90" t="str">
        <x:f>IF(D221="","",IF(COUNTIFS(Trips!$A$6:$A$105,D221)=1,INDEX(Trips!$B$6:$B$105,MATCH(D221,Trips!$A$6:$A$105,0)),""))</x:f>
      </x:c>
      <x:c r="C221" s="90" t="str">
        <x:f>IF(D221="","",IF(COUNTIFS(Trips!$A$6:$A$105,D221)=1,INDEX(Trips!$D$6:$D$105,MATCH(D221,Trips!$A$6:$A$105,0)),""))</x:f>
      </x:c>
      <x:c r="D221" s="107"/>
      <x:c r="E221" s="107"/>
      <x:c r="F221" s="90" t="str">
        <x:f>IF(E221="","",IF(COUNTIFS(Counters!$A$6:$A$105,E221)=1,INDEX(Counters!$B$6:$B$105,MATCH(E221,Counters!$A$6:$A$105,0)),""))</x:f>
      </x:c>
      <x:c r="G221" s="107"/>
      <x:c r="H221" s="98" t="str">
        <x:f>IF(C221="","",IF(COUNTIFS('Route List'!$F$6:$F$205,C221)=1,IF(COUNTIFS('Route List'!$F$6:$F$205,C221,'Route List'!$G$6:$G$205,"&lt;&gt;")=1,INDEX('Route List'!$G$6:$G$205,MATCH(C221,'Route List'!$F$6:$F$205,0)),"Enter route fare"),"Enter route fare"))</x:f>
      </x:c>
      <x:c r="I221" s="98" t="str">
        <x:f>IF(F221="","",IF(F221="Own",0,50))</x:f>
      </x:c>
      <x:c r="J221" s="98" t="str">
        <x:f>IF(OR(D221="",E221=""),"",IF(AND(ISNUMBER(G221),ISNUMBER(H221)),ROUND(G221*H221,2),""))</x:f>
      </x:c>
      <x:c r="K221" s="98" t="str">
        <x:f>IF(OR(D221="",E221=""),"",IF(AND(ISNUMBER(G221),ISNUMBER(I221)),ROUND(G221*I221,2),""))</x:f>
      </x:c>
      <x:c r="L221" s="98" t="str">
        <x:f>IF(OR(D221="",E221=""),"",IF(AND(ISNUMBER(J221),ISNUMBER(K221)),J221-K221,""))</x:f>
      </x:c>
      <x:c r="M221" s="114"/>
      <x:c r="N221" s="98" t="str">
        <x:f>IF(OR(D221="",E221=""),"",IF(COUNTIFS($D$6:D221,D221,$E$6:E221,E221)=1,MAX(SUMIFS($L$6:$L$505,$D$6:$D$505,D221,$E$6:$E$505,E221)-SUMIFS($M$6:$M$505,$D$6:$D$505,D221,$E$6:$E$505,E221),0),""))</x:f>
      </x:c>
    </x:row>
    <x:row r="222" ht="28" customHeight="1">
      <x:c r="A222" s="113" t="str">
        <x:f>IF(D222="","",IF(COUNTIFS(Trips!$A$6:$A$105,D222)=1,INDEX(Trips!$C$6:$C$105,MATCH(D222,Trips!$A$6:$A$105,0)),""))</x:f>
      </x:c>
      <x:c r="B222" s="90" t="str">
        <x:f>IF(D222="","",IF(COUNTIFS(Trips!$A$6:$A$105,D222)=1,INDEX(Trips!$B$6:$B$105,MATCH(D222,Trips!$A$6:$A$105,0)),""))</x:f>
      </x:c>
      <x:c r="C222" s="90" t="str">
        <x:f>IF(D222="","",IF(COUNTIFS(Trips!$A$6:$A$105,D222)=1,INDEX(Trips!$D$6:$D$105,MATCH(D222,Trips!$A$6:$A$105,0)),""))</x:f>
      </x:c>
      <x:c r="D222" s="107"/>
      <x:c r="E222" s="107"/>
      <x:c r="F222" s="90" t="str">
        <x:f>IF(E222="","",IF(COUNTIFS(Counters!$A$6:$A$105,E222)=1,INDEX(Counters!$B$6:$B$105,MATCH(E222,Counters!$A$6:$A$105,0)),""))</x:f>
      </x:c>
      <x:c r="G222" s="107"/>
      <x:c r="H222" s="98" t="str">
        <x:f>IF(C222="","",IF(COUNTIFS('Route List'!$F$6:$F$205,C222)=1,IF(COUNTIFS('Route List'!$F$6:$F$205,C222,'Route List'!$G$6:$G$205,"&lt;&gt;")=1,INDEX('Route List'!$G$6:$G$205,MATCH(C222,'Route List'!$F$6:$F$205,0)),"Enter route fare"),"Enter route fare"))</x:f>
      </x:c>
      <x:c r="I222" s="98" t="str">
        <x:f>IF(F222="","",IF(F222="Own",0,50))</x:f>
      </x:c>
      <x:c r="J222" s="98" t="str">
        <x:f>IF(OR(D222="",E222=""),"",IF(AND(ISNUMBER(G222),ISNUMBER(H222)),ROUND(G222*H222,2),""))</x:f>
      </x:c>
      <x:c r="K222" s="98" t="str">
        <x:f>IF(OR(D222="",E222=""),"",IF(AND(ISNUMBER(G222),ISNUMBER(I222)),ROUND(G222*I222,2),""))</x:f>
      </x:c>
      <x:c r="L222" s="98" t="str">
        <x:f>IF(OR(D222="",E222=""),"",IF(AND(ISNUMBER(J222),ISNUMBER(K222)),J222-K222,""))</x:f>
      </x:c>
      <x:c r="M222" s="114"/>
      <x:c r="N222" s="98" t="str">
        <x:f>IF(OR(D222="",E222=""),"",IF(COUNTIFS($D$6:D222,D222,$E$6:E222,E222)=1,MAX(SUMIFS($L$6:$L$505,$D$6:$D$505,D222,$E$6:$E$505,E222)-SUMIFS($M$6:$M$505,$D$6:$D$505,D222,$E$6:$E$505,E222),0),""))</x:f>
      </x:c>
    </x:row>
    <x:row r="223" ht="28" customHeight="1">
      <x:c r="A223" s="113" t="str">
        <x:f>IF(D223="","",IF(COUNTIFS(Trips!$A$6:$A$105,D223)=1,INDEX(Trips!$C$6:$C$105,MATCH(D223,Trips!$A$6:$A$105,0)),""))</x:f>
      </x:c>
      <x:c r="B223" s="90" t="str">
        <x:f>IF(D223="","",IF(COUNTIFS(Trips!$A$6:$A$105,D223)=1,INDEX(Trips!$B$6:$B$105,MATCH(D223,Trips!$A$6:$A$105,0)),""))</x:f>
      </x:c>
      <x:c r="C223" s="90" t="str">
        <x:f>IF(D223="","",IF(COUNTIFS(Trips!$A$6:$A$105,D223)=1,INDEX(Trips!$D$6:$D$105,MATCH(D223,Trips!$A$6:$A$105,0)),""))</x:f>
      </x:c>
      <x:c r="D223" s="107"/>
      <x:c r="E223" s="107"/>
      <x:c r="F223" s="90" t="str">
        <x:f>IF(E223="","",IF(COUNTIFS(Counters!$A$6:$A$105,E223)=1,INDEX(Counters!$B$6:$B$105,MATCH(E223,Counters!$A$6:$A$105,0)),""))</x:f>
      </x:c>
      <x:c r="G223" s="107"/>
      <x:c r="H223" s="98" t="str">
        <x:f>IF(C223="","",IF(COUNTIFS('Route List'!$F$6:$F$205,C223)=1,IF(COUNTIFS('Route List'!$F$6:$F$205,C223,'Route List'!$G$6:$G$205,"&lt;&gt;")=1,INDEX('Route List'!$G$6:$G$205,MATCH(C223,'Route List'!$F$6:$F$205,0)),"Enter route fare"),"Enter route fare"))</x:f>
      </x:c>
      <x:c r="I223" s="98" t="str">
        <x:f>IF(F223="","",IF(F223="Own",0,50))</x:f>
      </x:c>
      <x:c r="J223" s="98" t="str">
        <x:f>IF(OR(D223="",E223=""),"",IF(AND(ISNUMBER(G223),ISNUMBER(H223)),ROUND(G223*H223,2),""))</x:f>
      </x:c>
      <x:c r="K223" s="98" t="str">
        <x:f>IF(OR(D223="",E223=""),"",IF(AND(ISNUMBER(G223),ISNUMBER(I223)),ROUND(G223*I223,2),""))</x:f>
      </x:c>
      <x:c r="L223" s="98" t="str">
        <x:f>IF(OR(D223="",E223=""),"",IF(AND(ISNUMBER(J223),ISNUMBER(K223)),J223-K223,""))</x:f>
      </x:c>
      <x:c r="M223" s="114"/>
      <x:c r="N223" s="98" t="str">
        <x:f>IF(OR(D223="",E223=""),"",IF(COUNTIFS($D$6:D223,D223,$E$6:E223,E223)=1,MAX(SUMIFS($L$6:$L$505,$D$6:$D$505,D223,$E$6:$E$505,E223)-SUMIFS($M$6:$M$505,$D$6:$D$505,D223,$E$6:$E$505,E223),0),""))</x:f>
      </x:c>
    </x:row>
    <x:row r="224" ht="28" customHeight="1">
      <x:c r="A224" s="113" t="str">
        <x:f>IF(D224="","",IF(COUNTIFS(Trips!$A$6:$A$105,D224)=1,INDEX(Trips!$C$6:$C$105,MATCH(D224,Trips!$A$6:$A$105,0)),""))</x:f>
      </x:c>
      <x:c r="B224" s="90" t="str">
        <x:f>IF(D224="","",IF(COUNTIFS(Trips!$A$6:$A$105,D224)=1,INDEX(Trips!$B$6:$B$105,MATCH(D224,Trips!$A$6:$A$105,0)),""))</x:f>
      </x:c>
      <x:c r="C224" s="90" t="str">
        <x:f>IF(D224="","",IF(COUNTIFS(Trips!$A$6:$A$105,D224)=1,INDEX(Trips!$D$6:$D$105,MATCH(D224,Trips!$A$6:$A$105,0)),""))</x:f>
      </x:c>
      <x:c r="D224" s="107"/>
      <x:c r="E224" s="107"/>
      <x:c r="F224" s="90" t="str">
        <x:f>IF(E224="","",IF(COUNTIFS(Counters!$A$6:$A$105,E224)=1,INDEX(Counters!$B$6:$B$105,MATCH(E224,Counters!$A$6:$A$105,0)),""))</x:f>
      </x:c>
      <x:c r="G224" s="107"/>
      <x:c r="H224" s="98" t="str">
        <x:f>IF(C224="","",IF(COUNTIFS('Route List'!$F$6:$F$205,C224)=1,IF(COUNTIFS('Route List'!$F$6:$F$205,C224,'Route List'!$G$6:$G$205,"&lt;&gt;")=1,INDEX('Route List'!$G$6:$G$205,MATCH(C224,'Route List'!$F$6:$F$205,0)),"Enter route fare"),"Enter route fare"))</x:f>
      </x:c>
      <x:c r="I224" s="98" t="str">
        <x:f>IF(F224="","",IF(F224="Own",0,50))</x:f>
      </x:c>
      <x:c r="J224" s="98" t="str">
        <x:f>IF(OR(D224="",E224=""),"",IF(AND(ISNUMBER(G224),ISNUMBER(H224)),ROUND(G224*H224,2),""))</x:f>
      </x:c>
      <x:c r="K224" s="98" t="str">
        <x:f>IF(OR(D224="",E224=""),"",IF(AND(ISNUMBER(G224),ISNUMBER(I224)),ROUND(G224*I224,2),""))</x:f>
      </x:c>
      <x:c r="L224" s="98" t="str">
        <x:f>IF(OR(D224="",E224=""),"",IF(AND(ISNUMBER(J224),ISNUMBER(K224)),J224-K224,""))</x:f>
      </x:c>
      <x:c r="M224" s="114"/>
      <x:c r="N224" s="98" t="str">
        <x:f>IF(OR(D224="",E224=""),"",IF(COUNTIFS($D$6:D224,D224,$E$6:E224,E224)=1,MAX(SUMIFS($L$6:$L$505,$D$6:$D$505,D224,$E$6:$E$505,E224)-SUMIFS($M$6:$M$505,$D$6:$D$505,D224,$E$6:$E$505,E224),0),""))</x:f>
      </x:c>
    </x:row>
    <x:row r="225" ht="28" customHeight="1">
      <x:c r="A225" s="113" t="str">
        <x:f>IF(D225="","",IF(COUNTIFS(Trips!$A$6:$A$105,D225)=1,INDEX(Trips!$C$6:$C$105,MATCH(D225,Trips!$A$6:$A$105,0)),""))</x:f>
      </x:c>
      <x:c r="B225" s="90" t="str">
        <x:f>IF(D225="","",IF(COUNTIFS(Trips!$A$6:$A$105,D225)=1,INDEX(Trips!$B$6:$B$105,MATCH(D225,Trips!$A$6:$A$105,0)),""))</x:f>
      </x:c>
      <x:c r="C225" s="90" t="str">
        <x:f>IF(D225="","",IF(COUNTIFS(Trips!$A$6:$A$105,D225)=1,INDEX(Trips!$D$6:$D$105,MATCH(D225,Trips!$A$6:$A$105,0)),""))</x:f>
      </x:c>
      <x:c r="D225" s="107"/>
      <x:c r="E225" s="107"/>
      <x:c r="F225" s="90" t="str">
        <x:f>IF(E225="","",IF(COUNTIFS(Counters!$A$6:$A$105,E225)=1,INDEX(Counters!$B$6:$B$105,MATCH(E225,Counters!$A$6:$A$105,0)),""))</x:f>
      </x:c>
      <x:c r="G225" s="107"/>
      <x:c r="H225" s="98" t="str">
        <x:f>IF(C225="","",IF(COUNTIFS('Route List'!$F$6:$F$205,C225)=1,IF(COUNTIFS('Route List'!$F$6:$F$205,C225,'Route List'!$G$6:$G$205,"&lt;&gt;")=1,INDEX('Route List'!$G$6:$G$205,MATCH(C225,'Route List'!$F$6:$F$205,0)),"Enter route fare"),"Enter route fare"))</x:f>
      </x:c>
      <x:c r="I225" s="98" t="str">
        <x:f>IF(F225="","",IF(F225="Own",0,50))</x:f>
      </x:c>
      <x:c r="J225" s="98" t="str">
        <x:f>IF(OR(D225="",E225=""),"",IF(AND(ISNUMBER(G225),ISNUMBER(H225)),ROUND(G225*H225,2),""))</x:f>
      </x:c>
      <x:c r="K225" s="98" t="str">
        <x:f>IF(OR(D225="",E225=""),"",IF(AND(ISNUMBER(G225),ISNUMBER(I225)),ROUND(G225*I225,2),""))</x:f>
      </x:c>
      <x:c r="L225" s="98" t="str">
        <x:f>IF(OR(D225="",E225=""),"",IF(AND(ISNUMBER(J225),ISNUMBER(K225)),J225-K225,""))</x:f>
      </x:c>
      <x:c r="M225" s="114"/>
      <x:c r="N225" s="98" t="str">
        <x:f>IF(OR(D225="",E225=""),"",IF(COUNTIFS($D$6:D225,D225,$E$6:E225,E225)=1,MAX(SUMIFS($L$6:$L$505,$D$6:$D$505,D225,$E$6:$E$505,E225)-SUMIFS($M$6:$M$505,$D$6:$D$505,D225,$E$6:$E$505,E225),0),""))</x:f>
      </x:c>
    </x:row>
    <x:row r="226" ht="28" customHeight="1">
      <x:c r="A226" s="113" t="str">
        <x:f>IF(D226="","",IF(COUNTIFS(Trips!$A$6:$A$105,D226)=1,INDEX(Trips!$C$6:$C$105,MATCH(D226,Trips!$A$6:$A$105,0)),""))</x:f>
      </x:c>
      <x:c r="B226" s="90" t="str">
        <x:f>IF(D226="","",IF(COUNTIFS(Trips!$A$6:$A$105,D226)=1,INDEX(Trips!$B$6:$B$105,MATCH(D226,Trips!$A$6:$A$105,0)),""))</x:f>
      </x:c>
      <x:c r="C226" s="90" t="str">
        <x:f>IF(D226="","",IF(COUNTIFS(Trips!$A$6:$A$105,D226)=1,INDEX(Trips!$D$6:$D$105,MATCH(D226,Trips!$A$6:$A$105,0)),""))</x:f>
      </x:c>
      <x:c r="D226" s="107"/>
      <x:c r="E226" s="107"/>
      <x:c r="F226" s="90" t="str">
        <x:f>IF(E226="","",IF(COUNTIFS(Counters!$A$6:$A$105,E226)=1,INDEX(Counters!$B$6:$B$105,MATCH(E226,Counters!$A$6:$A$105,0)),""))</x:f>
      </x:c>
      <x:c r="G226" s="107"/>
      <x:c r="H226" s="98" t="str">
        <x:f>IF(C226="","",IF(COUNTIFS('Route List'!$F$6:$F$205,C226)=1,IF(COUNTIFS('Route List'!$F$6:$F$205,C226,'Route List'!$G$6:$G$205,"&lt;&gt;")=1,INDEX('Route List'!$G$6:$G$205,MATCH(C226,'Route List'!$F$6:$F$205,0)),"Enter route fare"),"Enter route fare"))</x:f>
      </x:c>
      <x:c r="I226" s="98" t="str">
        <x:f>IF(F226="","",IF(F226="Own",0,50))</x:f>
      </x:c>
      <x:c r="J226" s="98" t="str">
        <x:f>IF(OR(D226="",E226=""),"",IF(AND(ISNUMBER(G226),ISNUMBER(H226)),ROUND(G226*H226,2),""))</x:f>
      </x:c>
      <x:c r="K226" s="98" t="str">
        <x:f>IF(OR(D226="",E226=""),"",IF(AND(ISNUMBER(G226),ISNUMBER(I226)),ROUND(G226*I226,2),""))</x:f>
      </x:c>
      <x:c r="L226" s="98" t="str">
        <x:f>IF(OR(D226="",E226=""),"",IF(AND(ISNUMBER(J226),ISNUMBER(K226)),J226-K226,""))</x:f>
      </x:c>
      <x:c r="M226" s="114"/>
      <x:c r="N226" s="98" t="str">
        <x:f>IF(OR(D226="",E226=""),"",IF(COUNTIFS($D$6:D226,D226,$E$6:E226,E226)=1,MAX(SUMIFS($L$6:$L$505,$D$6:$D$505,D226,$E$6:$E$505,E226)-SUMIFS($M$6:$M$505,$D$6:$D$505,D226,$E$6:$E$505,E226),0),""))</x:f>
      </x:c>
    </x:row>
    <x:row r="227" ht="28" customHeight="1">
      <x:c r="A227" s="113" t="str">
        <x:f>IF(D227="","",IF(COUNTIFS(Trips!$A$6:$A$105,D227)=1,INDEX(Trips!$C$6:$C$105,MATCH(D227,Trips!$A$6:$A$105,0)),""))</x:f>
      </x:c>
      <x:c r="B227" s="90" t="str">
        <x:f>IF(D227="","",IF(COUNTIFS(Trips!$A$6:$A$105,D227)=1,INDEX(Trips!$B$6:$B$105,MATCH(D227,Trips!$A$6:$A$105,0)),""))</x:f>
      </x:c>
      <x:c r="C227" s="90" t="str">
        <x:f>IF(D227="","",IF(COUNTIFS(Trips!$A$6:$A$105,D227)=1,INDEX(Trips!$D$6:$D$105,MATCH(D227,Trips!$A$6:$A$105,0)),""))</x:f>
      </x:c>
      <x:c r="D227" s="107"/>
      <x:c r="E227" s="107"/>
      <x:c r="F227" s="90" t="str">
        <x:f>IF(E227="","",IF(COUNTIFS(Counters!$A$6:$A$105,E227)=1,INDEX(Counters!$B$6:$B$105,MATCH(E227,Counters!$A$6:$A$105,0)),""))</x:f>
      </x:c>
      <x:c r="G227" s="107"/>
      <x:c r="H227" s="98" t="str">
        <x:f>IF(C227="","",IF(COUNTIFS('Route List'!$F$6:$F$205,C227)=1,IF(COUNTIFS('Route List'!$F$6:$F$205,C227,'Route List'!$G$6:$G$205,"&lt;&gt;")=1,INDEX('Route List'!$G$6:$G$205,MATCH(C227,'Route List'!$F$6:$F$205,0)),"Enter route fare"),"Enter route fare"))</x:f>
      </x:c>
      <x:c r="I227" s="98" t="str">
        <x:f>IF(F227="","",IF(F227="Own",0,50))</x:f>
      </x:c>
      <x:c r="J227" s="98" t="str">
        <x:f>IF(OR(D227="",E227=""),"",IF(AND(ISNUMBER(G227),ISNUMBER(H227)),ROUND(G227*H227,2),""))</x:f>
      </x:c>
      <x:c r="K227" s="98" t="str">
        <x:f>IF(OR(D227="",E227=""),"",IF(AND(ISNUMBER(G227),ISNUMBER(I227)),ROUND(G227*I227,2),""))</x:f>
      </x:c>
      <x:c r="L227" s="98" t="str">
        <x:f>IF(OR(D227="",E227=""),"",IF(AND(ISNUMBER(J227),ISNUMBER(K227)),J227-K227,""))</x:f>
      </x:c>
      <x:c r="M227" s="114"/>
      <x:c r="N227" s="98" t="str">
        <x:f>IF(OR(D227="",E227=""),"",IF(COUNTIFS($D$6:D227,D227,$E$6:E227,E227)=1,MAX(SUMIFS($L$6:$L$505,$D$6:$D$505,D227,$E$6:$E$505,E227)-SUMIFS($M$6:$M$505,$D$6:$D$505,D227,$E$6:$E$505,E227),0),""))</x:f>
      </x:c>
    </x:row>
    <x:row r="228" ht="28" customHeight="1">
      <x:c r="A228" s="113" t="str">
        <x:f>IF(D228="","",IF(COUNTIFS(Trips!$A$6:$A$105,D228)=1,INDEX(Trips!$C$6:$C$105,MATCH(D228,Trips!$A$6:$A$105,0)),""))</x:f>
      </x:c>
      <x:c r="B228" s="90" t="str">
        <x:f>IF(D228="","",IF(COUNTIFS(Trips!$A$6:$A$105,D228)=1,INDEX(Trips!$B$6:$B$105,MATCH(D228,Trips!$A$6:$A$105,0)),""))</x:f>
      </x:c>
      <x:c r="C228" s="90" t="str">
        <x:f>IF(D228="","",IF(COUNTIFS(Trips!$A$6:$A$105,D228)=1,INDEX(Trips!$D$6:$D$105,MATCH(D228,Trips!$A$6:$A$105,0)),""))</x:f>
      </x:c>
      <x:c r="D228" s="107"/>
      <x:c r="E228" s="107"/>
      <x:c r="F228" s="90" t="str">
        <x:f>IF(E228="","",IF(COUNTIFS(Counters!$A$6:$A$105,E228)=1,INDEX(Counters!$B$6:$B$105,MATCH(E228,Counters!$A$6:$A$105,0)),""))</x:f>
      </x:c>
      <x:c r="G228" s="107"/>
      <x:c r="H228" s="98" t="str">
        <x:f>IF(C228="","",IF(COUNTIFS('Route List'!$F$6:$F$205,C228)=1,IF(COUNTIFS('Route List'!$F$6:$F$205,C228,'Route List'!$G$6:$G$205,"&lt;&gt;")=1,INDEX('Route List'!$G$6:$G$205,MATCH(C228,'Route List'!$F$6:$F$205,0)),"Enter route fare"),"Enter route fare"))</x:f>
      </x:c>
      <x:c r="I228" s="98" t="str">
        <x:f>IF(F228="","",IF(F228="Own",0,50))</x:f>
      </x:c>
      <x:c r="J228" s="98" t="str">
        <x:f>IF(OR(D228="",E228=""),"",IF(AND(ISNUMBER(G228),ISNUMBER(H228)),ROUND(G228*H228,2),""))</x:f>
      </x:c>
      <x:c r="K228" s="98" t="str">
        <x:f>IF(OR(D228="",E228=""),"",IF(AND(ISNUMBER(G228),ISNUMBER(I228)),ROUND(G228*I228,2),""))</x:f>
      </x:c>
      <x:c r="L228" s="98" t="str">
        <x:f>IF(OR(D228="",E228=""),"",IF(AND(ISNUMBER(J228),ISNUMBER(K228)),J228-K228,""))</x:f>
      </x:c>
      <x:c r="M228" s="114"/>
      <x:c r="N228" s="98" t="str">
        <x:f>IF(OR(D228="",E228=""),"",IF(COUNTIFS($D$6:D228,D228,$E$6:E228,E228)=1,MAX(SUMIFS($L$6:$L$505,$D$6:$D$505,D228,$E$6:$E$505,E228)-SUMIFS($M$6:$M$505,$D$6:$D$505,D228,$E$6:$E$505,E228),0),""))</x:f>
      </x:c>
    </x:row>
    <x:row r="229" ht="28" customHeight="1">
      <x:c r="A229" s="113" t="str">
        <x:f>IF(D229="","",IF(COUNTIFS(Trips!$A$6:$A$105,D229)=1,INDEX(Trips!$C$6:$C$105,MATCH(D229,Trips!$A$6:$A$105,0)),""))</x:f>
      </x:c>
      <x:c r="B229" s="90" t="str">
        <x:f>IF(D229="","",IF(COUNTIFS(Trips!$A$6:$A$105,D229)=1,INDEX(Trips!$B$6:$B$105,MATCH(D229,Trips!$A$6:$A$105,0)),""))</x:f>
      </x:c>
      <x:c r="C229" s="90" t="str">
        <x:f>IF(D229="","",IF(COUNTIFS(Trips!$A$6:$A$105,D229)=1,INDEX(Trips!$D$6:$D$105,MATCH(D229,Trips!$A$6:$A$105,0)),""))</x:f>
      </x:c>
      <x:c r="D229" s="107"/>
      <x:c r="E229" s="107"/>
      <x:c r="F229" s="90" t="str">
        <x:f>IF(E229="","",IF(COUNTIFS(Counters!$A$6:$A$105,E229)=1,INDEX(Counters!$B$6:$B$105,MATCH(E229,Counters!$A$6:$A$105,0)),""))</x:f>
      </x:c>
      <x:c r="G229" s="107"/>
      <x:c r="H229" s="98" t="str">
        <x:f>IF(C229="","",IF(COUNTIFS('Route List'!$F$6:$F$205,C229)=1,IF(COUNTIFS('Route List'!$F$6:$F$205,C229,'Route List'!$G$6:$G$205,"&lt;&gt;")=1,INDEX('Route List'!$G$6:$G$205,MATCH(C229,'Route List'!$F$6:$F$205,0)),"Enter route fare"),"Enter route fare"))</x:f>
      </x:c>
      <x:c r="I229" s="98" t="str">
        <x:f>IF(F229="","",IF(F229="Own",0,50))</x:f>
      </x:c>
      <x:c r="J229" s="98" t="str">
        <x:f>IF(OR(D229="",E229=""),"",IF(AND(ISNUMBER(G229),ISNUMBER(H229)),ROUND(G229*H229,2),""))</x:f>
      </x:c>
      <x:c r="K229" s="98" t="str">
        <x:f>IF(OR(D229="",E229=""),"",IF(AND(ISNUMBER(G229),ISNUMBER(I229)),ROUND(G229*I229,2),""))</x:f>
      </x:c>
      <x:c r="L229" s="98" t="str">
        <x:f>IF(OR(D229="",E229=""),"",IF(AND(ISNUMBER(J229),ISNUMBER(K229)),J229-K229,""))</x:f>
      </x:c>
      <x:c r="M229" s="114"/>
      <x:c r="N229" s="98" t="str">
        <x:f>IF(OR(D229="",E229=""),"",IF(COUNTIFS($D$6:D229,D229,$E$6:E229,E229)=1,MAX(SUMIFS($L$6:$L$505,$D$6:$D$505,D229,$E$6:$E$505,E229)-SUMIFS($M$6:$M$505,$D$6:$D$505,D229,$E$6:$E$505,E229),0),""))</x:f>
      </x:c>
    </x:row>
    <x:row r="230" ht="28" customHeight="1">
      <x:c r="A230" s="113" t="str">
        <x:f>IF(D230="","",IF(COUNTIFS(Trips!$A$6:$A$105,D230)=1,INDEX(Trips!$C$6:$C$105,MATCH(D230,Trips!$A$6:$A$105,0)),""))</x:f>
      </x:c>
      <x:c r="B230" s="90" t="str">
        <x:f>IF(D230="","",IF(COUNTIFS(Trips!$A$6:$A$105,D230)=1,INDEX(Trips!$B$6:$B$105,MATCH(D230,Trips!$A$6:$A$105,0)),""))</x:f>
      </x:c>
      <x:c r="C230" s="90" t="str">
        <x:f>IF(D230="","",IF(COUNTIFS(Trips!$A$6:$A$105,D230)=1,INDEX(Trips!$D$6:$D$105,MATCH(D230,Trips!$A$6:$A$105,0)),""))</x:f>
      </x:c>
      <x:c r="D230" s="107"/>
      <x:c r="E230" s="107"/>
      <x:c r="F230" s="90" t="str">
        <x:f>IF(E230="","",IF(COUNTIFS(Counters!$A$6:$A$105,E230)=1,INDEX(Counters!$B$6:$B$105,MATCH(E230,Counters!$A$6:$A$105,0)),""))</x:f>
      </x:c>
      <x:c r="G230" s="107"/>
      <x:c r="H230" s="98" t="str">
        <x:f>IF(C230="","",IF(COUNTIFS('Route List'!$F$6:$F$205,C230)=1,IF(COUNTIFS('Route List'!$F$6:$F$205,C230,'Route List'!$G$6:$G$205,"&lt;&gt;")=1,INDEX('Route List'!$G$6:$G$205,MATCH(C230,'Route List'!$F$6:$F$205,0)),"Enter route fare"),"Enter route fare"))</x:f>
      </x:c>
      <x:c r="I230" s="98" t="str">
        <x:f>IF(F230="","",IF(F230="Own",0,50))</x:f>
      </x:c>
      <x:c r="J230" s="98" t="str">
        <x:f>IF(OR(D230="",E230=""),"",IF(AND(ISNUMBER(G230),ISNUMBER(H230)),ROUND(G230*H230,2),""))</x:f>
      </x:c>
      <x:c r="K230" s="98" t="str">
        <x:f>IF(OR(D230="",E230=""),"",IF(AND(ISNUMBER(G230),ISNUMBER(I230)),ROUND(G230*I230,2),""))</x:f>
      </x:c>
      <x:c r="L230" s="98" t="str">
        <x:f>IF(OR(D230="",E230=""),"",IF(AND(ISNUMBER(J230),ISNUMBER(K230)),J230-K230,""))</x:f>
      </x:c>
      <x:c r="M230" s="114"/>
      <x:c r="N230" s="98" t="str">
        <x:f>IF(OR(D230="",E230=""),"",IF(COUNTIFS($D$6:D230,D230,$E$6:E230,E230)=1,MAX(SUMIFS($L$6:$L$505,$D$6:$D$505,D230,$E$6:$E$505,E230)-SUMIFS($M$6:$M$505,$D$6:$D$505,D230,$E$6:$E$505,E230),0),""))</x:f>
      </x:c>
    </x:row>
    <x:row r="231" ht="28" customHeight="1">
      <x:c r="A231" s="113" t="str">
        <x:f>IF(D231="","",IF(COUNTIFS(Trips!$A$6:$A$105,D231)=1,INDEX(Trips!$C$6:$C$105,MATCH(D231,Trips!$A$6:$A$105,0)),""))</x:f>
      </x:c>
      <x:c r="B231" s="90" t="str">
        <x:f>IF(D231="","",IF(COUNTIFS(Trips!$A$6:$A$105,D231)=1,INDEX(Trips!$B$6:$B$105,MATCH(D231,Trips!$A$6:$A$105,0)),""))</x:f>
      </x:c>
      <x:c r="C231" s="90" t="str">
        <x:f>IF(D231="","",IF(COUNTIFS(Trips!$A$6:$A$105,D231)=1,INDEX(Trips!$D$6:$D$105,MATCH(D231,Trips!$A$6:$A$105,0)),""))</x:f>
      </x:c>
      <x:c r="D231" s="107"/>
      <x:c r="E231" s="107"/>
      <x:c r="F231" s="90" t="str">
        <x:f>IF(E231="","",IF(COUNTIFS(Counters!$A$6:$A$105,E231)=1,INDEX(Counters!$B$6:$B$105,MATCH(E231,Counters!$A$6:$A$105,0)),""))</x:f>
      </x:c>
      <x:c r="G231" s="107"/>
      <x:c r="H231" s="98" t="str">
        <x:f>IF(C231="","",IF(COUNTIFS('Route List'!$F$6:$F$205,C231)=1,IF(COUNTIFS('Route List'!$F$6:$F$205,C231,'Route List'!$G$6:$G$205,"&lt;&gt;")=1,INDEX('Route List'!$G$6:$G$205,MATCH(C231,'Route List'!$F$6:$F$205,0)),"Enter route fare"),"Enter route fare"))</x:f>
      </x:c>
      <x:c r="I231" s="98" t="str">
        <x:f>IF(F231="","",IF(F231="Own",0,50))</x:f>
      </x:c>
      <x:c r="J231" s="98" t="str">
        <x:f>IF(OR(D231="",E231=""),"",IF(AND(ISNUMBER(G231),ISNUMBER(H231)),ROUND(G231*H231,2),""))</x:f>
      </x:c>
      <x:c r="K231" s="98" t="str">
        <x:f>IF(OR(D231="",E231=""),"",IF(AND(ISNUMBER(G231),ISNUMBER(I231)),ROUND(G231*I231,2),""))</x:f>
      </x:c>
      <x:c r="L231" s="98" t="str">
        <x:f>IF(OR(D231="",E231=""),"",IF(AND(ISNUMBER(J231),ISNUMBER(K231)),J231-K231,""))</x:f>
      </x:c>
      <x:c r="M231" s="114"/>
      <x:c r="N231" s="98" t="str">
        <x:f>IF(OR(D231="",E231=""),"",IF(COUNTIFS($D$6:D231,D231,$E$6:E231,E231)=1,MAX(SUMIFS($L$6:$L$505,$D$6:$D$505,D231,$E$6:$E$505,E231)-SUMIFS($M$6:$M$505,$D$6:$D$505,D231,$E$6:$E$505,E231),0),""))</x:f>
      </x:c>
    </x:row>
    <x:row r="232" ht="28" customHeight="1">
      <x:c r="A232" s="113" t="str">
        <x:f>IF(D232="","",IF(COUNTIFS(Trips!$A$6:$A$105,D232)=1,INDEX(Trips!$C$6:$C$105,MATCH(D232,Trips!$A$6:$A$105,0)),""))</x:f>
      </x:c>
      <x:c r="B232" s="90" t="str">
        <x:f>IF(D232="","",IF(COUNTIFS(Trips!$A$6:$A$105,D232)=1,INDEX(Trips!$B$6:$B$105,MATCH(D232,Trips!$A$6:$A$105,0)),""))</x:f>
      </x:c>
      <x:c r="C232" s="90" t="str">
        <x:f>IF(D232="","",IF(COUNTIFS(Trips!$A$6:$A$105,D232)=1,INDEX(Trips!$D$6:$D$105,MATCH(D232,Trips!$A$6:$A$105,0)),""))</x:f>
      </x:c>
      <x:c r="D232" s="107"/>
      <x:c r="E232" s="107"/>
      <x:c r="F232" s="90" t="str">
        <x:f>IF(E232="","",IF(COUNTIFS(Counters!$A$6:$A$105,E232)=1,INDEX(Counters!$B$6:$B$105,MATCH(E232,Counters!$A$6:$A$105,0)),""))</x:f>
      </x:c>
      <x:c r="G232" s="107"/>
      <x:c r="H232" s="98" t="str">
        <x:f>IF(C232="","",IF(COUNTIFS('Route List'!$F$6:$F$205,C232)=1,IF(COUNTIFS('Route List'!$F$6:$F$205,C232,'Route List'!$G$6:$G$205,"&lt;&gt;")=1,INDEX('Route List'!$G$6:$G$205,MATCH(C232,'Route List'!$F$6:$F$205,0)),"Enter route fare"),"Enter route fare"))</x:f>
      </x:c>
      <x:c r="I232" s="98" t="str">
        <x:f>IF(F232="","",IF(F232="Own",0,50))</x:f>
      </x:c>
      <x:c r="J232" s="98" t="str">
        <x:f>IF(OR(D232="",E232=""),"",IF(AND(ISNUMBER(G232),ISNUMBER(H232)),ROUND(G232*H232,2),""))</x:f>
      </x:c>
      <x:c r="K232" s="98" t="str">
        <x:f>IF(OR(D232="",E232=""),"",IF(AND(ISNUMBER(G232),ISNUMBER(I232)),ROUND(G232*I232,2),""))</x:f>
      </x:c>
      <x:c r="L232" s="98" t="str">
        <x:f>IF(OR(D232="",E232=""),"",IF(AND(ISNUMBER(J232),ISNUMBER(K232)),J232-K232,""))</x:f>
      </x:c>
      <x:c r="M232" s="114"/>
      <x:c r="N232" s="98" t="str">
        <x:f>IF(OR(D232="",E232=""),"",IF(COUNTIFS($D$6:D232,D232,$E$6:E232,E232)=1,MAX(SUMIFS($L$6:$L$505,$D$6:$D$505,D232,$E$6:$E$505,E232)-SUMIFS($M$6:$M$505,$D$6:$D$505,D232,$E$6:$E$505,E232),0),""))</x:f>
      </x:c>
    </x:row>
    <x:row r="233" ht="28" customHeight="1">
      <x:c r="A233" s="113" t="str">
        <x:f>IF(D233="","",IF(COUNTIFS(Trips!$A$6:$A$105,D233)=1,INDEX(Trips!$C$6:$C$105,MATCH(D233,Trips!$A$6:$A$105,0)),""))</x:f>
      </x:c>
      <x:c r="B233" s="90" t="str">
        <x:f>IF(D233="","",IF(COUNTIFS(Trips!$A$6:$A$105,D233)=1,INDEX(Trips!$B$6:$B$105,MATCH(D233,Trips!$A$6:$A$105,0)),""))</x:f>
      </x:c>
      <x:c r="C233" s="90" t="str">
        <x:f>IF(D233="","",IF(COUNTIFS(Trips!$A$6:$A$105,D233)=1,INDEX(Trips!$D$6:$D$105,MATCH(D233,Trips!$A$6:$A$105,0)),""))</x:f>
      </x:c>
      <x:c r="D233" s="107"/>
      <x:c r="E233" s="107"/>
      <x:c r="F233" s="90" t="str">
        <x:f>IF(E233="","",IF(COUNTIFS(Counters!$A$6:$A$105,E233)=1,INDEX(Counters!$B$6:$B$105,MATCH(E233,Counters!$A$6:$A$105,0)),""))</x:f>
      </x:c>
      <x:c r="G233" s="107"/>
      <x:c r="H233" s="98" t="str">
        <x:f>IF(C233="","",IF(COUNTIFS('Route List'!$F$6:$F$205,C233)=1,IF(COUNTIFS('Route List'!$F$6:$F$205,C233,'Route List'!$G$6:$G$205,"&lt;&gt;")=1,INDEX('Route List'!$G$6:$G$205,MATCH(C233,'Route List'!$F$6:$F$205,0)),"Enter route fare"),"Enter route fare"))</x:f>
      </x:c>
      <x:c r="I233" s="98" t="str">
        <x:f>IF(F233="","",IF(F233="Own",0,50))</x:f>
      </x:c>
      <x:c r="J233" s="98" t="str">
        <x:f>IF(OR(D233="",E233=""),"",IF(AND(ISNUMBER(G233),ISNUMBER(H233)),ROUND(G233*H233,2),""))</x:f>
      </x:c>
      <x:c r="K233" s="98" t="str">
        <x:f>IF(OR(D233="",E233=""),"",IF(AND(ISNUMBER(G233),ISNUMBER(I233)),ROUND(G233*I233,2),""))</x:f>
      </x:c>
      <x:c r="L233" s="98" t="str">
        <x:f>IF(OR(D233="",E233=""),"",IF(AND(ISNUMBER(J233),ISNUMBER(K233)),J233-K233,""))</x:f>
      </x:c>
      <x:c r="M233" s="114"/>
      <x:c r="N233" s="98" t="str">
        <x:f>IF(OR(D233="",E233=""),"",IF(COUNTIFS($D$6:D233,D233,$E$6:E233,E233)=1,MAX(SUMIFS($L$6:$L$505,$D$6:$D$505,D233,$E$6:$E$505,E233)-SUMIFS($M$6:$M$505,$D$6:$D$505,D233,$E$6:$E$505,E233),0),""))</x:f>
      </x:c>
    </x:row>
    <x:row r="234" ht="28" customHeight="1">
      <x:c r="A234" s="113" t="str">
        <x:f>IF(D234="","",IF(COUNTIFS(Trips!$A$6:$A$105,D234)=1,INDEX(Trips!$C$6:$C$105,MATCH(D234,Trips!$A$6:$A$105,0)),""))</x:f>
      </x:c>
      <x:c r="B234" s="90" t="str">
        <x:f>IF(D234="","",IF(COUNTIFS(Trips!$A$6:$A$105,D234)=1,INDEX(Trips!$B$6:$B$105,MATCH(D234,Trips!$A$6:$A$105,0)),""))</x:f>
      </x:c>
      <x:c r="C234" s="90" t="str">
        <x:f>IF(D234="","",IF(COUNTIFS(Trips!$A$6:$A$105,D234)=1,INDEX(Trips!$D$6:$D$105,MATCH(D234,Trips!$A$6:$A$105,0)),""))</x:f>
      </x:c>
      <x:c r="D234" s="107"/>
      <x:c r="E234" s="107"/>
      <x:c r="F234" s="90" t="str">
        <x:f>IF(E234="","",IF(COUNTIFS(Counters!$A$6:$A$105,E234)=1,INDEX(Counters!$B$6:$B$105,MATCH(E234,Counters!$A$6:$A$105,0)),""))</x:f>
      </x:c>
      <x:c r="G234" s="107"/>
      <x:c r="H234" s="98" t="str">
        <x:f>IF(C234="","",IF(COUNTIFS('Route List'!$F$6:$F$205,C234)=1,IF(COUNTIFS('Route List'!$F$6:$F$205,C234,'Route List'!$G$6:$G$205,"&lt;&gt;")=1,INDEX('Route List'!$G$6:$G$205,MATCH(C234,'Route List'!$F$6:$F$205,0)),"Enter route fare"),"Enter route fare"))</x:f>
      </x:c>
      <x:c r="I234" s="98" t="str">
        <x:f>IF(F234="","",IF(F234="Own",0,50))</x:f>
      </x:c>
      <x:c r="J234" s="98" t="str">
        <x:f>IF(OR(D234="",E234=""),"",IF(AND(ISNUMBER(G234),ISNUMBER(H234)),ROUND(G234*H234,2),""))</x:f>
      </x:c>
      <x:c r="K234" s="98" t="str">
        <x:f>IF(OR(D234="",E234=""),"",IF(AND(ISNUMBER(G234),ISNUMBER(I234)),ROUND(G234*I234,2),""))</x:f>
      </x:c>
      <x:c r="L234" s="98" t="str">
        <x:f>IF(OR(D234="",E234=""),"",IF(AND(ISNUMBER(J234),ISNUMBER(K234)),J234-K234,""))</x:f>
      </x:c>
      <x:c r="M234" s="114"/>
      <x:c r="N234" s="98" t="str">
        <x:f>IF(OR(D234="",E234=""),"",IF(COUNTIFS($D$6:D234,D234,$E$6:E234,E234)=1,MAX(SUMIFS($L$6:$L$505,$D$6:$D$505,D234,$E$6:$E$505,E234)-SUMIFS($M$6:$M$505,$D$6:$D$505,D234,$E$6:$E$505,E234),0),""))</x:f>
      </x:c>
    </x:row>
    <x:row r="235" ht="28" customHeight="1">
      <x:c r="A235" s="113" t="str">
        <x:f>IF(D235="","",IF(COUNTIFS(Trips!$A$6:$A$105,D235)=1,INDEX(Trips!$C$6:$C$105,MATCH(D235,Trips!$A$6:$A$105,0)),""))</x:f>
      </x:c>
      <x:c r="B235" s="90" t="str">
        <x:f>IF(D235="","",IF(COUNTIFS(Trips!$A$6:$A$105,D235)=1,INDEX(Trips!$B$6:$B$105,MATCH(D235,Trips!$A$6:$A$105,0)),""))</x:f>
      </x:c>
      <x:c r="C235" s="90" t="str">
        <x:f>IF(D235="","",IF(COUNTIFS(Trips!$A$6:$A$105,D235)=1,INDEX(Trips!$D$6:$D$105,MATCH(D235,Trips!$A$6:$A$105,0)),""))</x:f>
      </x:c>
      <x:c r="D235" s="107"/>
      <x:c r="E235" s="107"/>
      <x:c r="F235" s="90" t="str">
        <x:f>IF(E235="","",IF(COUNTIFS(Counters!$A$6:$A$105,E235)=1,INDEX(Counters!$B$6:$B$105,MATCH(E235,Counters!$A$6:$A$105,0)),""))</x:f>
      </x:c>
      <x:c r="G235" s="107"/>
      <x:c r="H235" s="98" t="str">
        <x:f>IF(C235="","",IF(COUNTIFS('Route List'!$F$6:$F$205,C235)=1,IF(COUNTIFS('Route List'!$F$6:$F$205,C235,'Route List'!$G$6:$G$205,"&lt;&gt;")=1,INDEX('Route List'!$G$6:$G$205,MATCH(C235,'Route List'!$F$6:$F$205,0)),"Enter route fare"),"Enter route fare"))</x:f>
      </x:c>
      <x:c r="I235" s="98" t="str">
        <x:f>IF(F235="","",IF(F235="Own",0,50))</x:f>
      </x:c>
      <x:c r="J235" s="98" t="str">
        <x:f>IF(OR(D235="",E235=""),"",IF(AND(ISNUMBER(G235),ISNUMBER(H235)),ROUND(G235*H235,2),""))</x:f>
      </x:c>
      <x:c r="K235" s="98" t="str">
        <x:f>IF(OR(D235="",E235=""),"",IF(AND(ISNUMBER(G235),ISNUMBER(I235)),ROUND(G235*I235,2),""))</x:f>
      </x:c>
      <x:c r="L235" s="98" t="str">
        <x:f>IF(OR(D235="",E235=""),"",IF(AND(ISNUMBER(J235),ISNUMBER(K235)),J235-K235,""))</x:f>
      </x:c>
      <x:c r="M235" s="114"/>
      <x:c r="N235" s="98" t="str">
        <x:f>IF(OR(D235="",E235=""),"",IF(COUNTIFS($D$6:D235,D235,$E$6:E235,E235)=1,MAX(SUMIFS($L$6:$L$505,$D$6:$D$505,D235,$E$6:$E$505,E235)-SUMIFS($M$6:$M$505,$D$6:$D$505,D235,$E$6:$E$505,E235),0),""))</x:f>
      </x:c>
    </x:row>
    <x:row r="236" ht="28" customHeight="1">
      <x:c r="A236" s="113" t="str">
        <x:f>IF(D236="","",IF(COUNTIFS(Trips!$A$6:$A$105,D236)=1,INDEX(Trips!$C$6:$C$105,MATCH(D236,Trips!$A$6:$A$105,0)),""))</x:f>
      </x:c>
      <x:c r="B236" s="90" t="str">
        <x:f>IF(D236="","",IF(COUNTIFS(Trips!$A$6:$A$105,D236)=1,INDEX(Trips!$B$6:$B$105,MATCH(D236,Trips!$A$6:$A$105,0)),""))</x:f>
      </x:c>
      <x:c r="C236" s="90" t="str">
        <x:f>IF(D236="","",IF(COUNTIFS(Trips!$A$6:$A$105,D236)=1,INDEX(Trips!$D$6:$D$105,MATCH(D236,Trips!$A$6:$A$105,0)),""))</x:f>
      </x:c>
      <x:c r="D236" s="107"/>
      <x:c r="E236" s="107"/>
      <x:c r="F236" s="90" t="str">
        <x:f>IF(E236="","",IF(COUNTIFS(Counters!$A$6:$A$105,E236)=1,INDEX(Counters!$B$6:$B$105,MATCH(E236,Counters!$A$6:$A$105,0)),""))</x:f>
      </x:c>
      <x:c r="G236" s="107"/>
      <x:c r="H236" s="98" t="str">
        <x:f>IF(C236="","",IF(COUNTIFS('Route List'!$F$6:$F$205,C236)=1,IF(COUNTIFS('Route List'!$F$6:$F$205,C236,'Route List'!$G$6:$G$205,"&lt;&gt;")=1,INDEX('Route List'!$G$6:$G$205,MATCH(C236,'Route List'!$F$6:$F$205,0)),"Enter route fare"),"Enter route fare"))</x:f>
      </x:c>
      <x:c r="I236" s="98" t="str">
        <x:f>IF(F236="","",IF(F236="Own",0,50))</x:f>
      </x:c>
      <x:c r="J236" s="98" t="str">
        <x:f>IF(OR(D236="",E236=""),"",IF(AND(ISNUMBER(G236),ISNUMBER(H236)),ROUND(G236*H236,2),""))</x:f>
      </x:c>
      <x:c r="K236" s="98" t="str">
        <x:f>IF(OR(D236="",E236=""),"",IF(AND(ISNUMBER(G236),ISNUMBER(I236)),ROUND(G236*I236,2),""))</x:f>
      </x:c>
      <x:c r="L236" s="98" t="str">
        <x:f>IF(OR(D236="",E236=""),"",IF(AND(ISNUMBER(J236),ISNUMBER(K236)),J236-K236,""))</x:f>
      </x:c>
      <x:c r="M236" s="114"/>
      <x:c r="N236" s="98" t="str">
        <x:f>IF(OR(D236="",E236=""),"",IF(COUNTIFS($D$6:D236,D236,$E$6:E236,E236)=1,MAX(SUMIFS($L$6:$L$505,$D$6:$D$505,D236,$E$6:$E$505,E236)-SUMIFS($M$6:$M$505,$D$6:$D$505,D236,$E$6:$E$505,E236),0),""))</x:f>
      </x:c>
    </x:row>
    <x:row r="237" ht="28" customHeight="1">
      <x:c r="A237" s="113" t="str">
        <x:f>IF(D237="","",IF(COUNTIFS(Trips!$A$6:$A$105,D237)=1,INDEX(Trips!$C$6:$C$105,MATCH(D237,Trips!$A$6:$A$105,0)),""))</x:f>
      </x:c>
      <x:c r="B237" s="90" t="str">
        <x:f>IF(D237="","",IF(COUNTIFS(Trips!$A$6:$A$105,D237)=1,INDEX(Trips!$B$6:$B$105,MATCH(D237,Trips!$A$6:$A$105,0)),""))</x:f>
      </x:c>
      <x:c r="C237" s="90" t="str">
        <x:f>IF(D237="","",IF(COUNTIFS(Trips!$A$6:$A$105,D237)=1,INDEX(Trips!$D$6:$D$105,MATCH(D237,Trips!$A$6:$A$105,0)),""))</x:f>
      </x:c>
      <x:c r="D237" s="107"/>
      <x:c r="E237" s="107"/>
      <x:c r="F237" s="90" t="str">
        <x:f>IF(E237="","",IF(COUNTIFS(Counters!$A$6:$A$105,E237)=1,INDEX(Counters!$B$6:$B$105,MATCH(E237,Counters!$A$6:$A$105,0)),""))</x:f>
      </x:c>
      <x:c r="G237" s="107"/>
      <x:c r="H237" s="98" t="str">
        <x:f>IF(C237="","",IF(COUNTIFS('Route List'!$F$6:$F$205,C237)=1,IF(COUNTIFS('Route List'!$F$6:$F$205,C237,'Route List'!$G$6:$G$205,"&lt;&gt;")=1,INDEX('Route List'!$G$6:$G$205,MATCH(C237,'Route List'!$F$6:$F$205,0)),"Enter route fare"),"Enter route fare"))</x:f>
      </x:c>
      <x:c r="I237" s="98" t="str">
        <x:f>IF(F237="","",IF(F237="Own",0,50))</x:f>
      </x:c>
      <x:c r="J237" s="98" t="str">
        <x:f>IF(OR(D237="",E237=""),"",IF(AND(ISNUMBER(G237),ISNUMBER(H237)),ROUND(G237*H237,2),""))</x:f>
      </x:c>
      <x:c r="K237" s="98" t="str">
        <x:f>IF(OR(D237="",E237=""),"",IF(AND(ISNUMBER(G237),ISNUMBER(I237)),ROUND(G237*I237,2),""))</x:f>
      </x:c>
      <x:c r="L237" s="98" t="str">
        <x:f>IF(OR(D237="",E237=""),"",IF(AND(ISNUMBER(J237),ISNUMBER(K237)),J237-K237,""))</x:f>
      </x:c>
      <x:c r="M237" s="114"/>
      <x:c r="N237" s="98" t="str">
        <x:f>IF(OR(D237="",E237=""),"",IF(COUNTIFS($D$6:D237,D237,$E$6:E237,E237)=1,MAX(SUMIFS($L$6:$L$505,$D$6:$D$505,D237,$E$6:$E$505,E237)-SUMIFS($M$6:$M$505,$D$6:$D$505,D237,$E$6:$E$505,E237),0),""))</x:f>
      </x:c>
    </x:row>
    <x:row r="238" ht="28" customHeight="1">
      <x:c r="A238" s="113" t="str">
        <x:f>IF(D238="","",IF(COUNTIFS(Trips!$A$6:$A$105,D238)=1,INDEX(Trips!$C$6:$C$105,MATCH(D238,Trips!$A$6:$A$105,0)),""))</x:f>
      </x:c>
      <x:c r="B238" s="90" t="str">
        <x:f>IF(D238="","",IF(COUNTIFS(Trips!$A$6:$A$105,D238)=1,INDEX(Trips!$B$6:$B$105,MATCH(D238,Trips!$A$6:$A$105,0)),""))</x:f>
      </x:c>
      <x:c r="C238" s="90" t="str">
        <x:f>IF(D238="","",IF(COUNTIFS(Trips!$A$6:$A$105,D238)=1,INDEX(Trips!$D$6:$D$105,MATCH(D238,Trips!$A$6:$A$105,0)),""))</x:f>
      </x:c>
      <x:c r="D238" s="107"/>
      <x:c r="E238" s="107"/>
      <x:c r="F238" s="90" t="str">
        <x:f>IF(E238="","",IF(COUNTIFS(Counters!$A$6:$A$105,E238)=1,INDEX(Counters!$B$6:$B$105,MATCH(E238,Counters!$A$6:$A$105,0)),""))</x:f>
      </x:c>
      <x:c r="G238" s="107"/>
      <x:c r="H238" s="98" t="str">
        <x:f>IF(C238="","",IF(COUNTIFS('Route List'!$F$6:$F$205,C238)=1,IF(COUNTIFS('Route List'!$F$6:$F$205,C238,'Route List'!$G$6:$G$205,"&lt;&gt;")=1,INDEX('Route List'!$G$6:$G$205,MATCH(C238,'Route List'!$F$6:$F$205,0)),"Enter route fare"),"Enter route fare"))</x:f>
      </x:c>
      <x:c r="I238" s="98" t="str">
        <x:f>IF(F238="","",IF(F238="Own",0,50))</x:f>
      </x:c>
      <x:c r="J238" s="98" t="str">
        <x:f>IF(OR(D238="",E238=""),"",IF(AND(ISNUMBER(G238),ISNUMBER(H238)),ROUND(G238*H238,2),""))</x:f>
      </x:c>
      <x:c r="K238" s="98" t="str">
        <x:f>IF(OR(D238="",E238=""),"",IF(AND(ISNUMBER(G238),ISNUMBER(I238)),ROUND(G238*I238,2),""))</x:f>
      </x:c>
      <x:c r="L238" s="98" t="str">
        <x:f>IF(OR(D238="",E238=""),"",IF(AND(ISNUMBER(J238),ISNUMBER(K238)),J238-K238,""))</x:f>
      </x:c>
      <x:c r="M238" s="114"/>
      <x:c r="N238" s="98" t="str">
        <x:f>IF(OR(D238="",E238=""),"",IF(COUNTIFS($D$6:D238,D238,$E$6:E238,E238)=1,MAX(SUMIFS($L$6:$L$505,$D$6:$D$505,D238,$E$6:$E$505,E238)-SUMIFS($M$6:$M$505,$D$6:$D$505,D238,$E$6:$E$505,E238),0),""))</x:f>
      </x:c>
    </x:row>
    <x:row r="239" ht="28" customHeight="1">
      <x:c r="A239" s="113" t="str">
        <x:f>IF(D239="","",IF(COUNTIFS(Trips!$A$6:$A$105,D239)=1,INDEX(Trips!$C$6:$C$105,MATCH(D239,Trips!$A$6:$A$105,0)),""))</x:f>
      </x:c>
      <x:c r="B239" s="90" t="str">
        <x:f>IF(D239="","",IF(COUNTIFS(Trips!$A$6:$A$105,D239)=1,INDEX(Trips!$B$6:$B$105,MATCH(D239,Trips!$A$6:$A$105,0)),""))</x:f>
      </x:c>
      <x:c r="C239" s="90" t="str">
        <x:f>IF(D239="","",IF(COUNTIFS(Trips!$A$6:$A$105,D239)=1,INDEX(Trips!$D$6:$D$105,MATCH(D239,Trips!$A$6:$A$105,0)),""))</x:f>
      </x:c>
      <x:c r="D239" s="107"/>
      <x:c r="E239" s="107"/>
      <x:c r="F239" s="90" t="str">
        <x:f>IF(E239="","",IF(COUNTIFS(Counters!$A$6:$A$105,E239)=1,INDEX(Counters!$B$6:$B$105,MATCH(E239,Counters!$A$6:$A$105,0)),""))</x:f>
      </x:c>
      <x:c r="G239" s="107"/>
      <x:c r="H239" s="98" t="str">
        <x:f>IF(C239="","",IF(COUNTIFS('Route List'!$F$6:$F$205,C239)=1,IF(COUNTIFS('Route List'!$F$6:$F$205,C239,'Route List'!$G$6:$G$205,"&lt;&gt;")=1,INDEX('Route List'!$G$6:$G$205,MATCH(C239,'Route List'!$F$6:$F$205,0)),"Enter route fare"),"Enter route fare"))</x:f>
      </x:c>
      <x:c r="I239" s="98" t="str">
        <x:f>IF(F239="","",IF(F239="Own",0,50))</x:f>
      </x:c>
      <x:c r="J239" s="98" t="str">
        <x:f>IF(OR(D239="",E239=""),"",IF(AND(ISNUMBER(G239),ISNUMBER(H239)),ROUND(G239*H239,2),""))</x:f>
      </x:c>
      <x:c r="K239" s="98" t="str">
        <x:f>IF(OR(D239="",E239=""),"",IF(AND(ISNUMBER(G239),ISNUMBER(I239)),ROUND(G239*I239,2),""))</x:f>
      </x:c>
      <x:c r="L239" s="98" t="str">
        <x:f>IF(OR(D239="",E239=""),"",IF(AND(ISNUMBER(J239),ISNUMBER(K239)),J239-K239,""))</x:f>
      </x:c>
      <x:c r="M239" s="114"/>
      <x:c r="N239" s="98" t="str">
        <x:f>IF(OR(D239="",E239=""),"",IF(COUNTIFS($D$6:D239,D239,$E$6:E239,E239)=1,MAX(SUMIFS($L$6:$L$505,$D$6:$D$505,D239,$E$6:$E$505,E239)-SUMIFS($M$6:$M$505,$D$6:$D$505,D239,$E$6:$E$505,E239),0),""))</x:f>
      </x:c>
    </x:row>
    <x:row r="240" ht="28" customHeight="1">
      <x:c r="A240" s="113" t="str">
        <x:f>IF(D240="","",IF(COUNTIFS(Trips!$A$6:$A$105,D240)=1,INDEX(Trips!$C$6:$C$105,MATCH(D240,Trips!$A$6:$A$105,0)),""))</x:f>
      </x:c>
      <x:c r="B240" s="90" t="str">
        <x:f>IF(D240="","",IF(COUNTIFS(Trips!$A$6:$A$105,D240)=1,INDEX(Trips!$B$6:$B$105,MATCH(D240,Trips!$A$6:$A$105,0)),""))</x:f>
      </x:c>
      <x:c r="C240" s="90" t="str">
        <x:f>IF(D240="","",IF(COUNTIFS(Trips!$A$6:$A$105,D240)=1,INDEX(Trips!$D$6:$D$105,MATCH(D240,Trips!$A$6:$A$105,0)),""))</x:f>
      </x:c>
      <x:c r="D240" s="107"/>
      <x:c r="E240" s="107"/>
      <x:c r="F240" s="90" t="str">
        <x:f>IF(E240="","",IF(COUNTIFS(Counters!$A$6:$A$105,E240)=1,INDEX(Counters!$B$6:$B$105,MATCH(E240,Counters!$A$6:$A$105,0)),""))</x:f>
      </x:c>
      <x:c r="G240" s="107"/>
      <x:c r="H240" s="98" t="str">
        <x:f>IF(C240="","",IF(COUNTIFS('Route List'!$F$6:$F$205,C240)=1,IF(COUNTIFS('Route List'!$F$6:$F$205,C240,'Route List'!$G$6:$G$205,"&lt;&gt;")=1,INDEX('Route List'!$G$6:$G$205,MATCH(C240,'Route List'!$F$6:$F$205,0)),"Enter route fare"),"Enter route fare"))</x:f>
      </x:c>
      <x:c r="I240" s="98" t="str">
        <x:f>IF(F240="","",IF(F240="Own",0,50))</x:f>
      </x:c>
      <x:c r="J240" s="98" t="str">
        <x:f>IF(OR(D240="",E240=""),"",IF(AND(ISNUMBER(G240),ISNUMBER(H240)),ROUND(G240*H240,2),""))</x:f>
      </x:c>
      <x:c r="K240" s="98" t="str">
        <x:f>IF(OR(D240="",E240=""),"",IF(AND(ISNUMBER(G240),ISNUMBER(I240)),ROUND(G240*I240,2),""))</x:f>
      </x:c>
      <x:c r="L240" s="98" t="str">
        <x:f>IF(OR(D240="",E240=""),"",IF(AND(ISNUMBER(J240),ISNUMBER(K240)),J240-K240,""))</x:f>
      </x:c>
      <x:c r="M240" s="114"/>
      <x:c r="N240" s="98" t="str">
        <x:f>IF(OR(D240="",E240=""),"",IF(COUNTIFS($D$6:D240,D240,$E$6:E240,E240)=1,MAX(SUMIFS($L$6:$L$505,$D$6:$D$505,D240,$E$6:$E$505,E240)-SUMIFS($M$6:$M$505,$D$6:$D$505,D240,$E$6:$E$505,E240),0),""))</x:f>
      </x:c>
    </x:row>
    <x:row r="241" ht="28" customHeight="1">
      <x:c r="A241" s="113" t="str">
        <x:f>IF(D241="","",IF(COUNTIFS(Trips!$A$6:$A$105,D241)=1,INDEX(Trips!$C$6:$C$105,MATCH(D241,Trips!$A$6:$A$105,0)),""))</x:f>
      </x:c>
      <x:c r="B241" s="90" t="str">
        <x:f>IF(D241="","",IF(COUNTIFS(Trips!$A$6:$A$105,D241)=1,INDEX(Trips!$B$6:$B$105,MATCH(D241,Trips!$A$6:$A$105,0)),""))</x:f>
      </x:c>
      <x:c r="C241" s="90" t="str">
        <x:f>IF(D241="","",IF(COUNTIFS(Trips!$A$6:$A$105,D241)=1,INDEX(Trips!$D$6:$D$105,MATCH(D241,Trips!$A$6:$A$105,0)),""))</x:f>
      </x:c>
      <x:c r="D241" s="107"/>
      <x:c r="E241" s="107"/>
      <x:c r="F241" s="90" t="str">
        <x:f>IF(E241="","",IF(COUNTIFS(Counters!$A$6:$A$105,E241)=1,INDEX(Counters!$B$6:$B$105,MATCH(E241,Counters!$A$6:$A$105,0)),""))</x:f>
      </x:c>
      <x:c r="G241" s="107"/>
      <x:c r="H241" s="98" t="str">
        <x:f>IF(C241="","",IF(COUNTIFS('Route List'!$F$6:$F$205,C241)=1,IF(COUNTIFS('Route List'!$F$6:$F$205,C241,'Route List'!$G$6:$G$205,"&lt;&gt;")=1,INDEX('Route List'!$G$6:$G$205,MATCH(C241,'Route List'!$F$6:$F$205,0)),"Enter route fare"),"Enter route fare"))</x:f>
      </x:c>
      <x:c r="I241" s="98" t="str">
        <x:f>IF(F241="","",IF(F241="Own",0,50))</x:f>
      </x:c>
      <x:c r="J241" s="98" t="str">
        <x:f>IF(OR(D241="",E241=""),"",IF(AND(ISNUMBER(G241),ISNUMBER(H241)),ROUND(G241*H241,2),""))</x:f>
      </x:c>
      <x:c r="K241" s="98" t="str">
        <x:f>IF(OR(D241="",E241=""),"",IF(AND(ISNUMBER(G241),ISNUMBER(I241)),ROUND(G241*I241,2),""))</x:f>
      </x:c>
      <x:c r="L241" s="98" t="str">
        <x:f>IF(OR(D241="",E241=""),"",IF(AND(ISNUMBER(J241),ISNUMBER(K241)),J241-K241,""))</x:f>
      </x:c>
      <x:c r="M241" s="114"/>
      <x:c r="N241" s="98" t="str">
        <x:f>IF(OR(D241="",E241=""),"",IF(COUNTIFS($D$6:D241,D241,$E$6:E241,E241)=1,MAX(SUMIFS($L$6:$L$505,$D$6:$D$505,D241,$E$6:$E$505,E241)-SUMIFS($M$6:$M$505,$D$6:$D$505,D241,$E$6:$E$505,E241),0),""))</x:f>
      </x:c>
    </x:row>
    <x:row r="242" ht="28" customHeight="1">
      <x:c r="A242" s="113" t="str">
        <x:f>IF(D242="","",IF(COUNTIFS(Trips!$A$6:$A$105,D242)=1,INDEX(Trips!$C$6:$C$105,MATCH(D242,Trips!$A$6:$A$105,0)),""))</x:f>
      </x:c>
      <x:c r="B242" s="90" t="str">
        <x:f>IF(D242="","",IF(COUNTIFS(Trips!$A$6:$A$105,D242)=1,INDEX(Trips!$B$6:$B$105,MATCH(D242,Trips!$A$6:$A$105,0)),""))</x:f>
      </x:c>
      <x:c r="C242" s="90" t="str">
        <x:f>IF(D242="","",IF(COUNTIFS(Trips!$A$6:$A$105,D242)=1,INDEX(Trips!$D$6:$D$105,MATCH(D242,Trips!$A$6:$A$105,0)),""))</x:f>
      </x:c>
      <x:c r="D242" s="107"/>
      <x:c r="E242" s="107"/>
      <x:c r="F242" s="90" t="str">
        <x:f>IF(E242="","",IF(COUNTIFS(Counters!$A$6:$A$105,E242)=1,INDEX(Counters!$B$6:$B$105,MATCH(E242,Counters!$A$6:$A$105,0)),""))</x:f>
      </x:c>
      <x:c r="G242" s="107"/>
      <x:c r="H242" s="98" t="str">
        <x:f>IF(C242="","",IF(COUNTIFS('Route List'!$F$6:$F$205,C242)=1,IF(COUNTIFS('Route List'!$F$6:$F$205,C242,'Route List'!$G$6:$G$205,"&lt;&gt;")=1,INDEX('Route List'!$G$6:$G$205,MATCH(C242,'Route List'!$F$6:$F$205,0)),"Enter route fare"),"Enter route fare"))</x:f>
      </x:c>
      <x:c r="I242" s="98" t="str">
        <x:f>IF(F242="","",IF(F242="Own",0,50))</x:f>
      </x:c>
      <x:c r="J242" s="98" t="str">
        <x:f>IF(OR(D242="",E242=""),"",IF(AND(ISNUMBER(G242),ISNUMBER(H242)),ROUND(G242*H242,2),""))</x:f>
      </x:c>
      <x:c r="K242" s="98" t="str">
        <x:f>IF(OR(D242="",E242=""),"",IF(AND(ISNUMBER(G242),ISNUMBER(I242)),ROUND(G242*I242,2),""))</x:f>
      </x:c>
      <x:c r="L242" s="98" t="str">
        <x:f>IF(OR(D242="",E242=""),"",IF(AND(ISNUMBER(J242),ISNUMBER(K242)),J242-K242,""))</x:f>
      </x:c>
      <x:c r="M242" s="114"/>
      <x:c r="N242" s="98" t="str">
        <x:f>IF(OR(D242="",E242=""),"",IF(COUNTIFS($D$6:D242,D242,$E$6:E242,E242)=1,MAX(SUMIFS($L$6:$L$505,$D$6:$D$505,D242,$E$6:$E$505,E242)-SUMIFS($M$6:$M$505,$D$6:$D$505,D242,$E$6:$E$505,E242),0),""))</x:f>
      </x:c>
    </x:row>
    <x:row r="243" ht="28" customHeight="1">
      <x:c r="A243" s="113" t="str">
        <x:f>IF(D243="","",IF(COUNTIFS(Trips!$A$6:$A$105,D243)=1,INDEX(Trips!$C$6:$C$105,MATCH(D243,Trips!$A$6:$A$105,0)),""))</x:f>
      </x:c>
      <x:c r="B243" s="90" t="str">
        <x:f>IF(D243="","",IF(COUNTIFS(Trips!$A$6:$A$105,D243)=1,INDEX(Trips!$B$6:$B$105,MATCH(D243,Trips!$A$6:$A$105,0)),""))</x:f>
      </x:c>
      <x:c r="C243" s="90" t="str">
        <x:f>IF(D243="","",IF(COUNTIFS(Trips!$A$6:$A$105,D243)=1,INDEX(Trips!$D$6:$D$105,MATCH(D243,Trips!$A$6:$A$105,0)),""))</x:f>
      </x:c>
      <x:c r="D243" s="107"/>
      <x:c r="E243" s="107"/>
      <x:c r="F243" s="90" t="str">
        <x:f>IF(E243="","",IF(COUNTIFS(Counters!$A$6:$A$105,E243)=1,INDEX(Counters!$B$6:$B$105,MATCH(E243,Counters!$A$6:$A$105,0)),""))</x:f>
      </x:c>
      <x:c r="G243" s="107"/>
      <x:c r="H243" s="98" t="str">
        <x:f>IF(C243="","",IF(COUNTIFS('Route List'!$F$6:$F$205,C243)=1,IF(COUNTIFS('Route List'!$F$6:$F$205,C243,'Route List'!$G$6:$G$205,"&lt;&gt;")=1,INDEX('Route List'!$G$6:$G$205,MATCH(C243,'Route List'!$F$6:$F$205,0)),"Enter route fare"),"Enter route fare"))</x:f>
      </x:c>
      <x:c r="I243" s="98" t="str">
        <x:f>IF(F243="","",IF(F243="Own",0,50))</x:f>
      </x:c>
      <x:c r="J243" s="98" t="str">
        <x:f>IF(OR(D243="",E243=""),"",IF(AND(ISNUMBER(G243),ISNUMBER(H243)),ROUND(G243*H243,2),""))</x:f>
      </x:c>
      <x:c r="K243" s="98" t="str">
        <x:f>IF(OR(D243="",E243=""),"",IF(AND(ISNUMBER(G243),ISNUMBER(I243)),ROUND(G243*I243,2),""))</x:f>
      </x:c>
      <x:c r="L243" s="98" t="str">
        <x:f>IF(OR(D243="",E243=""),"",IF(AND(ISNUMBER(J243),ISNUMBER(K243)),J243-K243,""))</x:f>
      </x:c>
      <x:c r="M243" s="114"/>
      <x:c r="N243" s="98" t="str">
        <x:f>IF(OR(D243="",E243=""),"",IF(COUNTIFS($D$6:D243,D243,$E$6:E243,E243)=1,MAX(SUMIFS($L$6:$L$505,$D$6:$D$505,D243,$E$6:$E$505,E243)-SUMIFS($M$6:$M$505,$D$6:$D$505,D243,$E$6:$E$505,E243),0),""))</x:f>
      </x:c>
    </x:row>
    <x:row r="244" ht="28" customHeight="1">
      <x:c r="A244" s="113" t="str">
        <x:f>IF(D244="","",IF(COUNTIFS(Trips!$A$6:$A$105,D244)=1,INDEX(Trips!$C$6:$C$105,MATCH(D244,Trips!$A$6:$A$105,0)),""))</x:f>
      </x:c>
      <x:c r="B244" s="90" t="str">
        <x:f>IF(D244="","",IF(COUNTIFS(Trips!$A$6:$A$105,D244)=1,INDEX(Trips!$B$6:$B$105,MATCH(D244,Trips!$A$6:$A$105,0)),""))</x:f>
      </x:c>
      <x:c r="C244" s="90" t="str">
        <x:f>IF(D244="","",IF(COUNTIFS(Trips!$A$6:$A$105,D244)=1,INDEX(Trips!$D$6:$D$105,MATCH(D244,Trips!$A$6:$A$105,0)),""))</x:f>
      </x:c>
      <x:c r="D244" s="107"/>
      <x:c r="E244" s="107"/>
      <x:c r="F244" s="90" t="str">
        <x:f>IF(E244="","",IF(COUNTIFS(Counters!$A$6:$A$105,E244)=1,INDEX(Counters!$B$6:$B$105,MATCH(E244,Counters!$A$6:$A$105,0)),""))</x:f>
      </x:c>
      <x:c r="G244" s="107"/>
      <x:c r="H244" s="98" t="str">
        <x:f>IF(C244="","",IF(COUNTIFS('Route List'!$F$6:$F$205,C244)=1,IF(COUNTIFS('Route List'!$F$6:$F$205,C244,'Route List'!$G$6:$G$205,"&lt;&gt;")=1,INDEX('Route List'!$G$6:$G$205,MATCH(C244,'Route List'!$F$6:$F$205,0)),"Enter route fare"),"Enter route fare"))</x:f>
      </x:c>
      <x:c r="I244" s="98" t="str">
        <x:f>IF(F244="","",IF(F244="Own",0,50))</x:f>
      </x:c>
      <x:c r="J244" s="98" t="str">
        <x:f>IF(OR(D244="",E244=""),"",IF(AND(ISNUMBER(G244),ISNUMBER(H244)),ROUND(G244*H244,2),""))</x:f>
      </x:c>
      <x:c r="K244" s="98" t="str">
        <x:f>IF(OR(D244="",E244=""),"",IF(AND(ISNUMBER(G244),ISNUMBER(I244)),ROUND(G244*I244,2),""))</x:f>
      </x:c>
      <x:c r="L244" s="98" t="str">
        <x:f>IF(OR(D244="",E244=""),"",IF(AND(ISNUMBER(J244),ISNUMBER(K244)),J244-K244,""))</x:f>
      </x:c>
      <x:c r="M244" s="114"/>
      <x:c r="N244" s="98" t="str">
        <x:f>IF(OR(D244="",E244=""),"",IF(COUNTIFS($D$6:D244,D244,$E$6:E244,E244)=1,MAX(SUMIFS($L$6:$L$505,$D$6:$D$505,D244,$E$6:$E$505,E244)-SUMIFS($M$6:$M$505,$D$6:$D$505,D244,$E$6:$E$505,E244),0),""))</x:f>
      </x:c>
    </x:row>
    <x:row r="245" ht="28" customHeight="1">
      <x:c r="A245" s="113" t="str">
        <x:f>IF(D245="","",IF(COUNTIFS(Trips!$A$6:$A$105,D245)=1,INDEX(Trips!$C$6:$C$105,MATCH(D245,Trips!$A$6:$A$105,0)),""))</x:f>
      </x:c>
      <x:c r="B245" s="90" t="str">
        <x:f>IF(D245="","",IF(COUNTIFS(Trips!$A$6:$A$105,D245)=1,INDEX(Trips!$B$6:$B$105,MATCH(D245,Trips!$A$6:$A$105,0)),""))</x:f>
      </x:c>
      <x:c r="C245" s="90" t="str">
        <x:f>IF(D245="","",IF(COUNTIFS(Trips!$A$6:$A$105,D245)=1,INDEX(Trips!$D$6:$D$105,MATCH(D245,Trips!$A$6:$A$105,0)),""))</x:f>
      </x:c>
      <x:c r="D245" s="107"/>
      <x:c r="E245" s="107"/>
      <x:c r="F245" s="90" t="str">
        <x:f>IF(E245="","",IF(COUNTIFS(Counters!$A$6:$A$105,E245)=1,INDEX(Counters!$B$6:$B$105,MATCH(E245,Counters!$A$6:$A$105,0)),""))</x:f>
      </x:c>
      <x:c r="G245" s="107"/>
      <x:c r="H245" s="98" t="str">
        <x:f>IF(C245="","",IF(COUNTIFS('Route List'!$F$6:$F$205,C245)=1,IF(COUNTIFS('Route List'!$F$6:$F$205,C245,'Route List'!$G$6:$G$205,"&lt;&gt;")=1,INDEX('Route List'!$G$6:$G$205,MATCH(C245,'Route List'!$F$6:$F$205,0)),"Enter route fare"),"Enter route fare"))</x:f>
      </x:c>
      <x:c r="I245" s="98" t="str">
        <x:f>IF(F245="","",IF(F245="Own",0,50))</x:f>
      </x:c>
      <x:c r="J245" s="98" t="str">
        <x:f>IF(OR(D245="",E245=""),"",IF(AND(ISNUMBER(G245),ISNUMBER(H245)),ROUND(G245*H245,2),""))</x:f>
      </x:c>
      <x:c r="K245" s="98" t="str">
        <x:f>IF(OR(D245="",E245=""),"",IF(AND(ISNUMBER(G245),ISNUMBER(I245)),ROUND(G245*I245,2),""))</x:f>
      </x:c>
      <x:c r="L245" s="98" t="str">
        <x:f>IF(OR(D245="",E245=""),"",IF(AND(ISNUMBER(J245),ISNUMBER(K245)),J245-K245,""))</x:f>
      </x:c>
      <x:c r="M245" s="114"/>
      <x:c r="N245" s="98" t="str">
        <x:f>IF(OR(D245="",E245=""),"",IF(COUNTIFS($D$6:D245,D245,$E$6:E245,E245)=1,MAX(SUMIFS($L$6:$L$505,$D$6:$D$505,D245,$E$6:$E$505,E245)-SUMIFS($M$6:$M$505,$D$6:$D$505,D245,$E$6:$E$505,E245),0),""))</x:f>
      </x:c>
    </x:row>
    <x:row r="246" ht="28" customHeight="1">
      <x:c r="A246" s="113" t="str">
        <x:f>IF(D246="","",IF(COUNTIFS(Trips!$A$6:$A$105,D246)=1,INDEX(Trips!$C$6:$C$105,MATCH(D246,Trips!$A$6:$A$105,0)),""))</x:f>
      </x:c>
      <x:c r="B246" s="90" t="str">
        <x:f>IF(D246="","",IF(COUNTIFS(Trips!$A$6:$A$105,D246)=1,INDEX(Trips!$B$6:$B$105,MATCH(D246,Trips!$A$6:$A$105,0)),""))</x:f>
      </x:c>
      <x:c r="C246" s="90" t="str">
        <x:f>IF(D246="","",IF(COUNTIFS(Trips!$A$6:$A$105,D246)=1,INDEX(Trips!$D$6:$D$105,MATCH(D246,Trips!$A$6:$A$105,0)),""))</x:f>
      </x:c>
      <x:c r="D246" s="107"/>
      <x:c r="E246" s="107"/>
      <x:c r="F246" s="90" t="str">
        <x:f>IF(E246="","",IF(COUNTIFS(Counters!$A$6:$A$105,E246)=1,INDEX(Counters!$B$6:$B$105,MATCH(E246,Counters!$A$6:$A$105,0)),""))</x:f>
      </x:c>
      <x:c r="G246" s="107"/>
      <x:c r="H246" s="98" t="str">
        <x:f>IF(C246="","",IF(COUNTIFS('Route List'!$F$6:$F$205,C246)=1,IF(COUNTIFS('Route List'!$F$6:$F$205,C246,'Route List'!$G$6:$G$205,"&lt;&gt;")=1,INDEX('Route List'!$G$6:$G$205,MATCH(C246,'Route List'!$F$6:$F$205,0)),"Enter route fare"),"Enter route fare"))</x:f>
      </x:c>
      <x:c r="I246" s="98" t="str">
        <x:f>IF(F246="","",IF(F246="Own",0,50))</x:f>
      </x:c>
      <x:c r="J246" s="98" t="str">
        <x:f>IF(OR(D246="",E246=""),"",IF(AND(ISNUMBER(G246),ISNUMBER(H246)),ROUND(G246*H246,2),""))</x:f>
      </x:c>
      <x:c r="K246" s="98" t="str">
        <x:f>IF(OR(D246="",E246=""),"",IF(AND(ISNUMBER(G246),ISNUMBER(I246)),ROUND(G246*I246,2),""))</x:f>
      </x:c>
      <x:c r="L246" s="98" t="str">
        <x:f>IF(OR(D246="",E246=""),"",IF(AND(ISNUMBER(J246),ISNUMBER(K246)),J246-K246,""))</x:f>
      </x:c>
      <x:c r="M246" s="114"/>
      <x:c r="N246" s="98" t="str">
        <x:f>IF(OR(D246="",E246=""),"",IF(COUNTIFS($D$6:D246,D246,$E$6:E246,E246)=1,MAX(SUMIFS($L$6:$L$505,$D$6:$D$505,D246,$E$6:$E$505,E246)-SUMIFS($M$6:$M$505,$D$6:$D$505,D246,$E$6:$E$505,E246),0),""))</x:f>
      </x:c>
    </x:row>
    <x:row r="247" ht="28" customHeight="1">
      <x:c r="A247" s="113" t="str">
        <x:f>IF(D247="","",IF(COUNTIFS(Trips!$A$6:$A$105,D247)=1,INDEX(Trips!$C$6:$C$105,MATCH(D247,Trips!$A$6:$A$105,0)),""))</x:f>
      </x:c>
      <x:c r="B247" s="90" t="str">
        <x:f>IF(D247="","",IF(COUNTIFS(Trips!$A$6:$A$105,D247)=1,INDEX(Trips!$B$6:$B$105,MATCH(D247,Trips!$A$6:$A$105,0)),""))</x:f>
      </x:c>
      <x:c r="C247" s="90" t="str">
        <x:f>IF(D247="","",IF(COUNTIFS(Trips!$A$6:$A$105,D247)=1,INDEX(Trips!$D$6:$D$105,MATCH(D247,Trips!$A$6:$A$105,0)),""))</x:f>
      </x:c>
      <x:c r="D247" s="107"/>
      <x:c r="E247" s="107"/>
      <x:c r="F247" s="90" t="str">
        <x:f>IF(E247="","",IF(COUNTIFS(Counters!$A$6:$A$105,E247)=1,INDEX(Counters!$B$6:$B$105,MATCH(E247,Counters!$A$6:$A$105,0)),""))</x:f>
      </x:c>
      <x:c r="G247" s="107"/>
      <x:c r="H247" s="98" t="str">
        <x:f>IF(C247="","",IF(COUNTIFS('Route List'!$F$6:$F$205,C247)=1,IF(COUNTIFS('Route List'!$F$6:$F$205,C247,'Route List'!$G$6:$G$205,"&lt;&gt;")=1,INDEX('Route List'!$G$6:$G$205,MATCH(C247,'Route List'!$F$6:$F$205,0)),"Enter route fare"),"Enter route fare"))</x:f>
      </x:c>
      <x:c r="I247" s="98" t="str">
        <x:f>IF(F247="","",IF(F247="Own",0,50))</x:f>
      </x:c>
      <x:c r="J247" s="98" t="str">
        <x:f>IF(OR(D247="",E247=""),"",IF(AND(ISNUMBER(G247),ISNUMBER(H247)),ROUND(G247*H247,2),""))</x:f>
      </x:c>
      <x:c r="K247" s="98" t="str">
        <x:f>IF(OR(D247="",E247=""),"",IF(AND(ISNUMBER(G247),ISNUMBER(I247)),ROUND(G247*I247,2),""))</x:f>
      </x:c>
      <x:c r="L247" s="98" t="str">
        <x:f>IF(OR(D247="",E247=""),"",IF(AND(ISNUMBER(J247),ISNUMBER(K247)),J247-K247,""))</x:f>
      </x:c>
      <x:c r="M247" s="114"/>
      <x:c r="N247" s="98" t="str">
        <x:f>IF(OR(D247="",E247=""),"",IF(COUNTIFS($D$6:D247,D247,$E$6:E247,E247)=1,MAX(SUMIFS($L$6:$L$505,$D$6:$D$505,D247,$E$6:$E$505,E247)-SUMIFS($M$6:$M$505,$D$6:$D$505,D247,$E$6:$E$505,E247),0),""))</x:f>
      </x:c>
    </x:row>
    <x:row r="248" ht="28" customHeight="1">
      <x:c r="A248" s="113" t="str">
        <x:f>IF(D248="","",IF(COUNTIFS(Trips!$A$6:$A$105,D248)=1,INDEX(Trips!$C$6:$C$105,MATCH(D248,Trips!$A$6:$A$105,0)),""))</x:f>
      </x:c>
      <x:c r="B248" s="90" t="str">
        <x:f>IF(D248="","",IF(COUNTIFS(Trips!$A$6:$A$105,D248)=1,INDEX(Trips!$B$6:$B$105,MATCH(D248,Trips!$A$6:$A$105,0)),""))</x:f>
      </x:c>
      <x:c r="C248" s="90" t="str">
        <x:f>IF(D248="","",IF(COUNTIFS(Trips!$A$6:$A$105,D248)=1,INDEX(Trips!$D$6:$D$105,MATCH(D248,Trips!$A$6:$A$105,0)),""))</x:f>
      </x:c>
      <x:c r="D248" s="107"/>
      <x:c r="E248" s="107"/>
      <x:c r="F248" s="90" t="str">
        <x:f>IF(E248="","",IF(COUNTIFS(Counters!$A$6:$A$105,E248)=1,INDEX(Counters!$B$6:$B$105,MATCH(E248,Counters!$A$6:$A$105,0)),""))</x:f>
      </x:c>
      <x:c r="G248" s="107"/>
      <x:c r="H248" s="98" t="str">
        <x:f>IF(C248="","",IF(COUNTIFS('Route List'!$F$6:$F$205,C248)=1,IF(COUNTIFS('Route List'!$F$6:$F$205,C248,'Route List'!$G$6:$G$205,"&lt;&gt;")=1,INDEX('Route List'!$G$6:$G$205,MATCH(C248,'Route List'!$F$6:$F$205,0)),"Enter route fare"),"Enter route fare"))</x:f>
      </x:c>
      <x:c r="I248" s="98" t="str">
        <x:f>IF(F248="","",IF(F248="Own",0,50))</x:f>
      </x:c>
      <x:c r="J248" s="98" t="str">
        <x:f>IF(OR(D248="",E248=""),"",IF(AND(ISNUMBER(G248),ISNUMBER(H248)),ROUND(G248*H248,2),""))</x:f>
      </x:c>
      <x:c r="K248" s="98" t="str">
        <x:f>IF(OR(D248="",E248=""),"",IF(AND(ISNUMBER(G248),ISNUMBER(I248)),ROUND(G248*I248,2),""))</x:f>
      </x:c>
      <x:c r="L248" s="98" t="str">
        <x:f>IF(OR(D248="",E248=""),"",IF(AND(ISNUMBER(J248),ISNUMBER(K248)),J248-K248,""))</x:f>
      </x:c>
      <x:c r="M248" s="114"/>
      <x:c r="N248" s="98" t="str">
        <x:f>IF(OR(D248="",E248=""),"",IF(COUNTIFS($D$6:D248,D248,$E$6:E248,E248)=1,MAX(SUMIFS($L$6:$L$505,$D$6:$D$505,D248,$E$6:$E$505,E248)-SUMIFS($M$6:$M$505,$D$6:$D$505,D248,$E$6:$E$505,E248),0),""))</x:f>
      </x:c>
    </x:row>
    <x:row r="249" ht="28" customHeight="1">
      <x:c r="A249" s="113" t="str">
        <x:f>IF(D249="","",IF(COUNTIFS(Trips!$A$6:$A$105,D249)=1,INDEX(Trips!$C$6:$C$105,MATCH(D249,Trips!$A$6:$A$105,0)),""))</x:f>
      </x:c>
      <x:c r="B249" s="90" t="str">
        <x:f>IF(D249="","",IF(COUNTIFS(Trips!$A$6:$A$105,D249)=1,INDEX(Trips!$B$6:$B$105,MATCH(D249,Trips!$A$6:$A$105,0)),""))</x:f>
      </x:c>
      <x:c r="C249" s="90" t="str">
        <x:f>IF(D249="","",IF(COUNTIFS(Trips!$A$6:$A$105,D249)=1,INDEX(Trips!$D$6:$D$105,MATCH(D249,Trips!$A$6:$A$105,0)),""))</x:f>
      </x:c>
      <x:c r="D249" s="107"/>
      <x:c r="E249" s="107"/>
      <x:c r="F249" s="90" t="str">
        <x:f>IF(E249="","",IF(COUNTIFS(Counters!$A$6:$A$105,E249)=1,INDEX(Counters!$B$6:$B$105,MATCH(E249,Counters!$A$6:$A$105,0)),""))</x:f>
      </x:c>
      <x:c r="G249" s="107"/>
      <x:c r="H249" s="98" t="str">
        <x:f>IF(C249="","",IF(COUNTIFS('Route List'!$F$6:$F$205,C249)=1,IF(COUNTIFS('Route List'!$F$6:$F$205,C249,'Route List'!$G$6:$G$205,"&lt;&gt;")=1,INDEX('Route List'!$G$6:$G$205,MATCH(C249,'Route List'!$F$6:$F$205,0)),"Enter route fare"),"Enter route fare"))</x:f>
      </x:c>
      <x:c r="I249" s="98" t="str">
        <x:f>IF(F249="","",IF(F249="Own",0,50))</x:f>
      </x:c>
      <x:c r="J249" s="98" t="str">
        <x:f>IF(OR(D249="",E249=""),"",IF(AND(ISNUMBER(G249),ISNUMBER(H249)),ROUND(G249*H249,2),""))</x:f>
      </x:c>
      <x:c r="K249" s="98" t="str">
        <x:f>IF(OR(D249="",E249=""),"",IF(AND(ISNUMBER(G249),ISNUMBER(I249)),ROUND(G249*I249,2),""))</x:f>
      </x:c>
      <x:c r="L249" s="98" t="str">
        <x:f>IF(OR(D249="",E249=""),"",IF(AND(ISNUMBER(J249),ISNUMBER(K249)),J249-K249,""))</x:f>
      </x:c>
      <x:c r="M249" s="114"/>
      <x:c r="N249" s="98" t="str">
        <x:f>IF(OR(D249="",E249=""),"",IF(COUNTIFS($D$6:D249,D249,$E$6:E249,E249)=1,MAX(SUMIFS($L$6:$L$505,$D$6:$D$505,D249,$E$6:$E$505,E249)-SUMIFS($M$6:$M$505,$D$6:$D$505,D249,$E$6:$E$505,E249),0),""))</x:f>
      </x:c>
    </x:row>
    <x:row r="250" ht="28" customHeight="1">
      <x:c r="A250" s="113" t="str">
        <x:f>IF(D250="","",IF(COUNTIFS(Trips!$A$6:$A$105,D250)=1,INDEX(Trips!$C$6:$C$105,MATCH(D250,Trips!$A$6:$A$105,0)),""))</x:f>
      </x:c>
      <x:c r="B250" s="90" t="str">
        <x:f>IF(D250="","",IF(COUNTIFS(Trips!$A$6:$A$105,D250)=1,INDEX(Trips!$B$6:$B$105,MATCH(D250,Trips!$A$6:$A$105,0)),""))</x:f>
      </x:c>
      <x:c r="C250" s="90" t="str">
        <x:f>IF(D250="","",IF(COUNTIFS(Trips!$A$6:$A$105,D250)=1,INDEX(Trips!$D$6:$D$105,MATCH(D250,Trips!$A$6:$A$105,0)),""))</x:f>
      </x:c>
      <x:c r="D250" s="107"/>
      <x:c r="E250" s="107"/>
      <x:c r="F250" s="90" t="str">
        <x:f>IF(E250="","",IF(COUNTIFS(Counters!$A$6:$A$105,E250)=1,INDEX(Counters!$B$6:$B$105,MATCH(E250,Counters!$A$6:$A$105,0)),""))</x:f>
      </x:c>
      <x:c r="G250" s="107"/>
      <x:c r="H250" s="98" t="str">
        <x:f>IF(C250="","",IF(COUNTIFS('Route List'!$F$6:$F$205,C250)=1,IF(COUNTIFS('Route List'!$F$6:$F$205,C250,'Route List'!$G$6:$G$205,"&lt;&gt;")=1,INDEX('Route List'!$G$6:$G$205,MATCH(C250,'Route List'!$F$6:$F$205,0)),"Enter route fare"),"Enter route fare"))</x:f>
      </x:c>
      <x:c r="I250" s="98" t="str">
        <x:f>IF(F250="","",IF(F250="Own",0,50))</x:f>
      </x:c>
      <x:c r="J250" s="98" t="str">
        <x:f>IF(OR(D250="",E250=""),"",IF(AND(ISNUMBER(G250),ISNUMBER(H250)),ROUND(G250*H250,2),""))</x:f>
      </x:c>
      <x:c r="K250" s="98" t="str">
        <x:f>IF(OR(D250="",E250=""),"",IF(AND(ISNUMBER(G250),ISNUMBER(I250)),ROUND(G250*I250,2),""))</x:f>
      </x:c>
      <x:c r="L250" s="98" t="str">
        <x:f>IF(OR(D250="",E250=""),"",IF(AND(ISNUMBER(J250),ISNUMBER(K250)),J250-K250,""))</x:f>
      </x:c>
      <x:c r="M250" s="114"/>
      <x:c r="N250" s="98" t="str">
        <x:f>IF(OR(D250="",E250=""),"",IF(COUNTIFS($D$6:D250,D250,$E$6:E250,E250)=1,MAX(SUMIFS($L$6:$L$505,$D$6:$D$505,D250,$E$6:$E$505,E250)-SUMIFS($M$6:$M$505,$D$6:$D$505,D250,$E$6:$E$505,E250),0),""))</x:f>
      </x:c>
    </x:row>
    <x:row r="251" ht="28" customHeight="1">
      <x:c r="A251" s="113" t="str">
        <x:f>IF(D251="","",IF(COUNTIFS(Trips!$A$6:$A$105,D251)=1,INDEX(Trips!$C$6:$C$105,MATCH(D251,Trips!$A$6:$A$105,0)),""))</x:f>
      </x:c>
      <x:c r="B251" s="90" t="str">
        <x:f>IF(D251="","",IF(COUNTIFS(Trips!$A$6:$A$105,D251)=1,INDEX(Trips!$B$6:$B$105,MATCH(D251,Trips!$A$6:$A$105,0)),""))</x:f>
      </x:c>
      <x:c r="C251" s="90" t="str">
        <x:f>IF(D251="","",IF(COUNTIFS(Trips!$A$6:$A$105,D251)=1,INDEX(Trips!$D$6:$D$105,MATCH(D251,Trips!$A$6:$A$105,0)),""))</x:f>
      </x:c>
      <x:c r="D251" s="107"/>
      <x:c r="E251" s="107"/>
      <x:c r="F251" s="90" t="str">
        <x:f>IF(E251="","",IF(COUNTIFS(Counters!$A$6:$A$105,E251)=1,INDEX(Counters!$B$6:$B$105,MATCH(E251,Counters!$A$6:$A$105,0)),""))</x:f>
      </x:c>
      <x:c r="G251" s="107"/>
      <x:c r="H251" s="98" t="str">
        <x:f>IF(C251="","",IF(COUNTIFS('Route List'!$F$6:$F$205,C251)=1,IF(COUNTIFS('Route List'!$F$6:$F$205,C251,'Route List'!$G$6:$G$205,"&lt;&gt;")=1,INDEX('Route List'!$G$6:$G$205,MATCH(C251,'Route List'!$F$6:$F$205,0)),"Enter route fare"),"Enter route fare"))</x:f>
      </x:c>
      <x:c r="I251" s="98" t="str">
        <x:f>IF(F251="","",IF(F251="Own",0,50))</x:f>
      </x:c>
      <x:c r="J251" s="98" t="str">
        <x:f>IF(OR(D251="",E251=""),"",IF(AND(ISNUMBER(G251),ISNUMBER(H251)),ROUND(G251*H251,2),""))</x:f>
      </x:c>
      <x:c r="K251" s="98" t="str">
        <x:f>IF(OR(D251="",E251=""),"",IF(AND(ISNUMBER(G251),ISNUMBER(I251)),ROUND(G251*I251,2),""))</x:f>
      </x:c>
      <x:c r="L251" s="98" t="str">
        <x:f>IF(OR(D251="",E251=""),"",IF(AND(ISNUMBER(J251),ISNUMBER(K251)),J251-K251,""))</x:f>
      </x:c>
      <x:c r="M251" s="114"/>
      <x:c r="N251" s="98" t="str">
        <x:f>IF(OR(D251="",E251=""),"",IF(COUNTIFS($D$6:D251,D251,$E$6:E251,E251)=1,MAX(SUMIFS($L$6:$L$505,$D$6:$D$505,D251,$E$6:$E$505,E251)-SUMIFS($M$6:$M$505,$D$6:$D$505,D251,$E$6:$E$505,E251),0),""))</x:f>
      </x:c>
    </x:row>
    <x:row r="252" ht="28" customHeight="1">
      <x:c r="A252" s="113" t="str">
        <x:f>IF(D252="","",IF(COUNTIFS(Trips!$A$6:$A$105,D252)=1,INDEX(Trips!$C$6:$C$105,MATCH(D252,Trips!$A$6:$A$105,0)),""))</x:f>
      </x:c>
      <x:c r="B252" s="90" t="str">
        <x:f>IF(D252="","",IF(COUNTIFS(Trips!$A$6:$A$105,D252)=1,INDEX(Trips!$B$6:$B$105,MATCH(D252,Trips!$A$6:$A$105,0)),""))</x:f>
      </x:c>
      <x:c r="C252" s="90" t="str">
        <x:f>IF(D252="","",IF(COUNTIFS(Trips!$A$6:$A$105,D252)=1,INDEX(Trips!$D$6:$D$105,MATCH(D252,Trips!$A$6:$A$105,0)),""))</x:f>
      </x:c>
      <x:c r="D252" s="107"/>
      <x:c r="E252" s="107"/>
      <x:c r="F252" s="90" t="str">
        <x:f>IF(E252="","",IF(COUNTIFS(Counters!$A$6:$A$105,E252)=1,INDEX(Counters!$B$6:$B$105,MATCH(E252,Counters!$A$6:$A$105,0)),""))</x:f>
      </x:c>
      <x:c r="G252" s="107"/>
      <x:c r="H252" s="98" t="str">
        <x:f>IF(C252="","",IF(COUNTIFS('Route List'!$F$6:$F$205,C252)=1,IF(COUNTIFS('Route List'!$F$6:$F$205,C252,'Route List'!$G$6:$G$205,"&lt;&gt;")=1,INDEX('Route List'!$G$6:$G$205,MATCH(C252,'Route List'!$F$6:$F$205,0)),"Enter route fare"),"Enter route fare"))</x:f>
      </x:c>
      <x:c r="I252" s="98" t="str">
        <x:f>IF(F252="","",IF(F252="Own",0,50))</x:f>
      </x:c>
      <x:c r="J252" s="98" t="str">
        <x:f>IF(OR(D252="",E252=""),"",IF(AND(ISNUMBER(G252),ISNUMBER(H252)),ROUND(G252*H252,2),""))</x:f>
      </x:c>
      <x:c r="K252" s="98" t="str">
        <x:f>IF(OR(D252="",E252=""),"",IF(AND(ISNUMBER(G252),ISNUMBER(I252)),ROUND(G252*I252,2),""))</x:f>
      </x:c>
      <x:c r="L252" s="98" t="str">
        <x:f>IF(OR(D252="",E252=""),"",IF(AND(ISNUMBER(J252),ISNUMBER(K252)),J252-K252,""))</x:f>
      </x:c>
      <x:c r="M252" s="114"/>
      <x:c r="N252" s="98" t="str">
        <x:f>IF(OR(D252="",E252=""),"",IF(COUNTIFS($D$6:D252,D252,$E$6:E252,E252)=1,MAX(SUMIFS($L$6:$L$505,$D$6:$D$505,D252,$E$6:$E$505,E252)-SUMIFS($M$6:$M$505,$D$6:$D$505,D252,$E$6:$E$505,E252),0),""))</x:f>
      </x:c>
    </x:row>
    <x:row r="253" ht="28" customHeight="1">
      <x:c r="A253" s="113" t="str">
        <x:f>IF(D253="","",IF(COUNTIFS(Trips!$A$6:$A$105,D253)=1,INDEX(Trips!$C$6:$C$105,MATCH(D253,Trips!$A$6:$A$105,0)),""))</x:f>
      </x:c>
      <x:c r="B253" s="90" t="str">
        <x:f>IF(D253="","",IF(COUNTIFS(Trips!$A$6:$A$105,D253)=1,INDEX(Trips!$B$6:$B$105,MATCH(D253,Trips!$A$6:$A$105,0)),""))</x:f>
      </x:c>
      <x:c r="C253" s="90" t="str">
        <x:f>IF(D253="","",IF(COUNTIFS(Trips!$A$6:$A$105,D253)=1,INDEX(Trips!$D$6:$D$105,MATCH(D253,Trips!$A$6:$A$105,0)),""))</x:f>
      </x:c>
      <x:c r="D253" s="107"/>
      <x:c r="E253" s="107"/>
      <x:c r="F253" s="90" t="str">
        <x:f>IF(E253="","",IF(COUNTIFS(Counters!$A$6:$A$105,E253)=1,INDEX(Counters!$B$6:$B$105,MATCH(E253,Counters!$A$6:$A$105,0)),""))</x:f>
      </x:c>
      <x:c r="G253" s="107"/>
      <x:c r="H253" s="98" t="str">
        <x:f>IF(C253="","",IF(COUNTIFS('Route List'!$F$6:$F$205,C253)=1,IF(COUNTIFS('Route List'!$F$6:$F$205,C253,'Route List'!$G$6:$G$205,"&lt;&gt;")=1,INDEX('Route List'!$G$6:$G$205,MATCH(C253,'Route List'!$F$6:$F$205,0)),"Enter route fare"),"Enter route fare"))</x:f>
      </x:c>
      <x:c r="I253" s="98" t="str">
        <x:f>IF(F253="","",IF(F253="Own",0,50))</x:f>
      </x:c>
      <x:c r="J253" s="98" t="str">
        <x:f>IF(OR(D253="",E253=""),"",IF(AND(ISNUMBER(G253),ISNUMBER(H253)),ROUND(G253*H253,2),""))</x:f>
      </x:c>
      <x:c r="K253" s="98" t="str">
        <x:f>IF(OR(D253="",E253=""),"",IF(AND(ISNUMBER(G253),ISNUMBER(I253)),ROUND(G253*I253,2),""))</x:f>
      </x:c>
      <x:c r="L253" s="98" t="str">
        <x:f>IF(OR(D253="",E253=""),"",IF(AND(ISNUMBER(J253),ISNUMBER(K253)),J253-K253,""))</x:f>
      </x:c>
      <x:c r="M253" s="114"/>
      <x:c r="N253" s="98" t="str">
        <x:f>IF(OR(D253="",E253=""),"",IF(COUNTIFS($D$6:D253,D253,$E$6:E253,E253)=1,MAX(SUMIFS($L$6:$L$505,$D$6:$D$505,D253,$E$6:$E$505,E253)-SUMIFS($M$6:$M$505,$D$6:$D$505,D253,$E$6:$E$505,E253),0),""))</x:f>
      </x:c>
    </x:row>
    <x:row r="254" ht="28" customHeight="1">
      <x:c r="A254" s="113" t="str">
        <x:f>IF(D254="","",IF(COUNTIFS(Trips!$A$6:$A$105,D254)=1,INDEX(Trips!$C$6:$C$105,MATCH(D254,Trips!$A$6:$A$105,0)),""))</x:f>
      </x:c>
      <x:c r="B254" s="90" t="str">
        <x:f>IF(D254="","",IF(COUNTIFS(Trips!$A$6:$A$105,D254)=1,INDEX(Trips!$B$6:$B$105,MATCH(D254,Trips!$A$6:$A$105,0)),""))</x:f>
      </x:c>
      <x:c r="C254" s="90" t="str">
        <x:f>IF(D254="","",IF(COUNTIFS(Trips!$A$6:$A$105,D254)=1,INDEX(Trips!$D$6:$D$105,MATCH(D254,Trips!$A$6:$A$105,0)),""))</x:f>
      </x:c>
      <x:c r="D254" s="107"/>
      <x:c r="E254" s="107"/>
      <x:c r="F254" s="90" t="str">
        <x:f>IF(E254="","",IF(COUNTIFS(Counters!$A$6:$A$105,E254)=1,INDEX(Counters!$B$6:$B$105,MATCH(E254,Counters!$A$6:$A$105,0)),""))</x:f>
      </x:c>
      <x:c r="G254" s="107"/>
      <x:c r="H254" s="98" t="str">
        <x:f>IF(C254="","",IF(COUNTIFS('Route List'!$F$6:$F$205,C254)=1,IF(COUNTIFS('Route List'!$F$6:$F$205,C254,'Route List'!$G$6:$G$205,"&lt;&gt;")=1,INDEX('Route List'!$G$6:$G$205,MATCH(C254,'Route List'!$F$6:$F$205,0)),"Enter route fare"),"Enter route fare"))</x:f>
      </x:c>
      <x:c r="I254" s="98" t="str">
        <x:f>IF(F254="","",IF(F254="Own",0,50))</x:f>
      </x:c>
      <x:c r="J254" s="98" t="str">
        <x:f>IF(OR(D254="",E254=""),"",IF(AND(ISNUMBER(G254),ISNUMBER(H254)),ROUND(G254*H254,2),""))</x:f>
      </x:c>
      <x:c r="K254" s="98" t="str">
        <x:f>IF(OR(D254="",E254=""),"",IF(AND(ISNUMBER(G254),ISNUMBER(I254)),ROUND(G254*I254,2),""))</x:f>
      </x:c>
      <x:c r="L254" s="98" t="str">
        <x:f>IF(OR(D254="",E254=""),"",IF(AND(ISNUMBER(J254),ISNUMBER(K254)),J254-K254,""))</x:f>
      </x:c>
      <x:c r="M254" s="114"/>
      <x:c r="N254" s="98" t="str">
        <x:f>IF(OR(D254="",E254=""),"",IF(COUNTIFS($D$6:D254,D254,$E$6:E254,E254)=1,MAX(SUMIFS($L$6:$L$505,$D$6:$D$505,D254,$E$6:$E$505,E254)-SUMIFS($M$6:$M$505,$D$6:$D$505,D254,$E$6:$E$505,E254),0),""))</x:f>
      </x:c>
    </x:row>
    <x:row r="255" ht="28" customHeight="1">
      <x:c r="A255" s="113" t="str">
        <x:f>IF(D255="","",IF(COUNTIFS(Trips!$A$6:$A$105,D255)=1,INDEX(Trips!$C$6:$C$105,MATCH(D255,Trips!$A$6:$A$105,0)),""))</x:f>
      </x:c>
      <x:c r="B255" s="90" t="str">
        <x:f>IF(D255="","",IF(COUNTIFS(Trips!$A$6:$A$105,D255)=1,INDEX(Trips!$B$6:$B$105,MATCH(D255,Trips!$A$6:$A$105,0)),""))</x:f>
      </x:c>
      <x:c r="C255" s="90" t="str">
        <x:f>IF(D255="","",IF(COUNTIFS(Trips!$A$6:$A$105,D255)=1,INDEX(Trips!$D$6:$D$105,MATCH(D255,Trips!$A$6:$A$105,0)),""))</x:f>
      </x:c>
      <x:c r="D255" s="107"/>
      <x:c r="E255" s="107"/>
      <x:c r="F255" s="90" t="str">
        <x:f>IF(E255="","",IF(COUNTIFS(Counters!$A$6:$A$105,E255)=1,INDEX(Counters!$B$6:$B$105,MATCH(E255,Counters!$A$6:$A$105,0)),""))</x:f>
      </x:c>
      <x:c r="G255" s="107"/>
      <x:c r="H255" s="98" t="str">
        <x:f>IF(C255="","",IF(COUNTIFS('Route List'!$F$6:$F$205,C255)=1,IF(COUNTIFS('Route List'!$F$6:$F$205,C255,'Route List'!$G$6:$G$205,"&lt;&gt;")=1,INDEX('Route List'!$G$6:$G$205,MATCH(C255,'Route List'!$F$6:$F$205,0)),"Enter route fare"),"Enter route fare"))</x:f>
      </x:c>
      <x:c r="I255" s="98" t="str">
        <x:f>IF(F255="","",IF(F255="Own",0,50))</x:f>
      </x:c>
      <x:c r="J255" s="98" t="str">
        <x:f>IF(OR(D255="",E255=""),"",IF(AND(ISNUMBER(G255),ISNUMBER(H255)),ROUND(G255*H255,2),""))</x:f>
      </x:c>
      <x:c r="K255" s="98" t="str">
        <x:f>IF(OR(D255="",E255=""),"",IF(AND(ISNUMBER(G255),ISNUMBER(I255)),ROUND(G255*I255,2),""))</x:f>
      </x:c>
      <x:c r="L255" s="98" t="str">
        <x:f>IF(OR(D255="",E255=""),"",IF(AND(ISNUMBER(J255),ISNUMBER(K255)),J255-K255,""))</x:f>
      </x:c>
      <x:c r="M255" s="114"/>
      <x:c r="N255" s="98" t="str">
        <x:f>IF(OR(D255="",E255=""),"",IF(COUNTIFS($D$6:D255,D255,$E$6:E255,E255)=1,MAX(SUMIFS($L$6:$L$505,$D$6:$D$505,D255,$E$6:$E$505,E255)-SUMIFS($M$6:$M$505,$D$6:$D$505,D255,$E$6:$E$505,E255),0),""))</x:f>
      </x:c>
    </x:row>
    <x:row r="256" ht="28" customHeight="1">
      <x:c r="A256" s="113" t="str">
        <x:f>IF(D256="","",IF(COUNTIFS(Trips!$A$6:$A$105,D256)=1,INDEX(Trips!$C$6:$C$105,MATCH(D256,Trips!$A$6:$A$105,0)),""))</x:f>
      </x:c>
      <x:c r="B256" s="90" t="str">
        <x:f>IF(D256="","",IF(COUNTIFS(Trips!$A$6:$A$105,D256)=1,INDEX(Trips!$B$6:$B$105,MATCH(D256,Trips!$A$6:$A$105,0)),""))</x:f>
      </x:c>
      <x:c r="C256" s="90" t="str">
        <x:f>IF(D256="","",IF(COUNTIFS(Trips!$A$6:$A$105,D256)=1,INDEX(Trips!$D$6:$D$105,MATCH(D256,Trips!$A$6:$A$105,0)),""))</x:f>
      </x:c>
      <x:c r="D256" s="107"/>
      <x:c r="E256" s="107"/>
      <x:c r="F256" s="90" t="str">
        <x:f>IF(E256="","",IF(COUNTIFS(Counters!$A$6:$A$105,E256)=1,INDEX(Counters!$B$6:$B$105,MATCH(E256,Counters!$A$6:$A$105,0)),""))</x:f>
      </x:c>
      <x:c r="G256" s="107"/>
      <x:c r="H256" s="98" t="str">
        <x:f>IF(C256="","",IF(COUNTIFS('Route List'!$F$6:$F$205,C256)=1,IF(COUNTIFS('Route List'!$F$6:$F$205,C256,'Route List'!$G$6:$G$205,"&lt;&gt;")=1,INDEX('Route List'!$G$6:$G$205,MATCH(C256,'Route List'!$F$6:$F$205,0)),"Enter route fare"),"Enter route fare"))</x:f>
      </x:c>
      <x:c r="I256" s="98" t="str">
        <x:f>IF(F256="","",IF(F256="Own",0,50))</x:f>
      </x:c>
      <x:c r="J256" s="98" t="str">
        <x:f>IF(OR(D256="",E256=""),"",IF(AND(ISNUMBER(G256),ISNUMBER(H256)),ROUND(G256*H256,2),""))</x:f>
      </x:c>
      <x:c r="K256" s="98" t="str">
        <x:f>IF(OR(D256="",E256=""),"",IF(AND(ISNUMBER(G256),ISNUMBER(I256)),ROUND(G256*I256,2),""))</x:f>
      </x:c>
      <x:c r="L256" s="98" t="str">
        <x:f>IF(OR(D256="",E256=""),"",IF(AND(ISNUMBER(J256),ISNUMBER(K256)),J256-K256,""))</x:f>
      </x:c>
      <x:c r="M256" s="114"/>
      <x:c r="N256" s="98" t="str">
        <x:f>IF(OR(D256="",E256=""),"",IF(COUNTIFS($D$6:D256,D256,$E$6:E256,E256)=1,MAX(SUMIFS($L$6:$L$505,$D$6:$D$505,D256,$E$6:$E$505,E256)-SUMIFS($M$6:$M$505,$D$6:$D$505,D256,$E$6:$E$505,E256),0),""))</x:f>
      </x:c>
    </x:row>
    <x:row r="257" ht="28" customHeight="1">
      <x:c r="A257" s="113" t="str">
        <x:f>IF(D257="","",IF(COUNTIFS(Trips!$A$6:$A$105,D257)=1,INDEX(Trips!$C$6:$C$105,MATCH(D257,Trips!$A$6:$A$105,0)),""))</x:f>
      </x:c>
      <x:c r="B257" s="90" t="str">
        <x:f>IF(D257="","",IF(COUNTIFS(Trips!$A$6:$A$105,D257)=1,INDEX(Trips!$B$6:$B$105,MATCH(D257,Trips!$A$6:$A$105,0)),""))</x:f>
      </x:c>
      <x:c r="C257" s="90" t="str">
        <x:f>IF(D257="","",IF(COUNTIFS(Trips!$A$6:$A$105,D257)=1,INDEX(Trips!$D$6:$D$105,MATCH(D257,Trips!$A$6:$A$105,0)),""))</x:f>
      </x:c>
      <x:c r="D257" s="107"/>
      <x:c r="E257" s="107"/>
      <x:c r="F257" s="90" t="str">
        <x:f>IF(E257="","",IF(COUNTIFS(Counters!$A$6:$A$105,E257)=1,INDEX(Counters!$B$6:$B$105,MATCH(E257,Counters!$A$6:$A$105,0)),""))</x:f>
      </x:c>
      <x:c r="G257" s="107"/>
      <x:c r="H257" s="98" t="str">
        <x:f>IF(C257="","",IF(COUNTIFS('Route List'!$F$6:$F$205,C257)=1,IF(COUNTIFS('Route List'!$F$6:$F$205,C257,'Route List'!$G$6:$G$205,"&lt;&gt;")=1,INDEX('Route List'!$G$6:$G$205,MATCH(C257,'Route List'!$F$6:$F$205,0)),"Enter route fare"),"Enter route fare"))</x:f>
      </x:c>
      <x:c r="I257" s="98" t="str">
        <x:f>IF(F257="","",IF(F257="Own",0,50))</x:f>
      </x:c>
      <x:c r="J257" s="98" t="str">
        <x:f>IF(OR(D257="",E257=""),"",IF(AND(ISNUMBER(G257),ISNUMBER(H257)),ROUND(G257*H257,2),""))</x:f>
      </x:c>
      <x:c r="K257" s="98" t="str">
        <x:f>IF(OR(D257="",E257=""),"",IF(AND(ISNUMBER(G257),ISNUMBER(I257)),ROUND(G257*I257,2),""))</x:f>
      </x:c>
      <x:c r="L257" s="98" t="str">
        <x:f>IF(OR(D257="",E257=""),"",IF(AND(ISNUMBER(J257),ISNUMBER(K257)),J257-K257,""))</x:f>
      </x:c>
      <x:c r="M257" s="114"/>
      <x:c r="N257" s="98" t="str">
        <x:f>IF(OR(D257="",E257=""),"",IF(COUNTIFS($D$6:D257,D257,$E$6:E257,E257)=1,MAX(SUMIFS($L$6:$L$505,$D$6:$D$505,D257,$E$6:$E$505,E257)-SUMIFS($M$6:$M$505,$D$6:$D$505,D257,$E$6:$E$505,E257),0),""))</x:f>
      </x:c>
    </x:row>
    <x:row r="258" ht="28" customHeight="1">
      <x:c r="A258" s="113" t="str">
        <x:f>IF(D258="","",IF(COUNTIFS(Trips!$A$6:$A$105,D258)=1,INDEX(Trips!$C$6:$C$105,MATCH(D258,Trips!$A$6:$A$105,0)),""))</x:f>
      </x:c>
      <x:c r="B258" s="90" t="str">
        <x:f>IF(D258="","",IF(COUNTIFS(Trips!$A$6:$A$105,D258)=1,INDEX(Trips!$B$6:$B$105,MATCH(D258,Trips!$A$6:$A$105,0)),""))</x:f>
      </x:c>
      <x:c r="C258" s="90" t="str">
        <x:f>IF(D258="","",IF(COUNTIFS(Trips!$A$6:$A$105,D258)=1,INDEX(Trips!$D$6:$D$105,MATCH(D258,Trips!$A$6:$A$105,0)),""))</x:f>
      </x:c>
      <x:c r="D258" s="107"/>
      <x:c r="E258" s="107"/>
      <x:c r="F258" s="90" t="str">
        <x:f>IF(E258="","",IF(COUNTIFS(Counters!$A$6:$A$105,E258)=1,INDEX(Counters!$B$6:$B$105,MATCH(E258,Counters!$A$6:$A$105,0)),""))</x:f>
      </x:c>
      <x:c r="G258" s="107"/>
      <x:c r="H258" s="98" t="str">
        <x:f>IF(C258="","",IF(COUNTIFS('Route List'!$F$6:$F$205,C258)=1,IF(COUNTIFS('Route List'!$F$6:$F$205,C258,'Route List'!$G$6:$G$205,"&lt;&gt;")=1,INDEX('Route List'!$G$6:$G$205,MATCH(C258,'Route List'!$F$6:$F$205,0)),"Enter route fare"),"Enter route fare"))</x:f>
      </x:c>
      <x:c r="I258" s="98" t="str">
        <x:f>IF(F258="","",IF(F258="Own",0,50))</x:f>
      </x:c>
      <x:c r="J258" s="98" t="str">
        <x:f>IF(OR(D258="",E258=""),"",IF(AND(ISNUMBER(G258),ISNUMBER(H258)),ROUND(G258*H258,2),""))</x:f>
      </x:c>
      <x:c r="K258" s="98" t="str">
        <x:f>IF(OR(D258="",E258=""),"",IF(AND(ISNUMBER(G258),ISNUMBER(I258)),ROUND(G258*I258,2),""))</x:f>
      </x:c>
      <x:c r="L258" s="98" t="str">
        <x:f>IF(OR(D258="",E258=""),"",IF(AND(ISNUMBER(J258),ISNUMBER(K258)),J258-K258,""))</x:f>
      </x:c>
      <x:c r="M258" s="114"/>
      <x:c r="N258" s="98" t="str">
        <x:f>IF(OR(D258="",E258=""),"",IF(COUNTIFS($D$6:D258,D258,$E$6:E258,E258)=1,MAX(SUMIFS($L$6:$L$505,$D$6:$D$505,D258,$E$6:$E$505,E258)-SUMIFS($M$6:$M$505,$D$6:$D$505,D258,$E$6:$E$505,E258),0),""))</x:f>
      </x:c>
    </x:row>
    <x:row r="259" ht="28" customHeight="1">
      <x:c r="A259" s="113" t="str">
        <x:f>IF(D259="","",IF(COUNTIFS(Trips!$A$6:$A$105,D259)=1,INDEX(Trips!$C$6:$C$105,MATCH(D259,Trips!$A$6:$A$105,0)),""))</x:f>
      </x:c>
      <x:c r="B259" s="90" t="str">
        <x:f>IF(D259="","",IF(COUNTIFS(Trips!$A$6:$A$105,D259)=1,INDEX(Trips!$B$6:$B$105,MATCH(D259,Trips!$A$6:$A$105,0)),""))</x:f>
      </x:c>
      <x:c r="C259" s="90" t="str">
        <x:f>IF(D259="","",IF(COUNTIFS(Trips!$A$6:$A$105,D259)=1,INDEX(Trips!$D$6:$D$105,MATCH(D259,Trips!$A$6:$A$105,0)),""))</x:f>
      </x:c>
      <x:c r="D259" s="107"/>
      <x:c r="E259" s="107"/>
      <x:c r="F259" s="90" t="str">
        <x:f>IF(E259="","",IF(COUNTIFS(Counters!$A$6:$A$105,E259)=1,INDEX(Counters!$B$6:$B$105,MATCH(E259,Counters!$A$6:$A$105,0)),""))</x:f>
      </x:c>
      <x:c r="G259" s="107"/>
      <x:c r="H259" s="98" t="str">
        <x:f>IF(C259="","",IF(COUNTIFS('Route List'!$F$6:$F$205,C259)=1,IF(COUNTIFS('Route List'!$F$6:$F$205,C259,'Route List'!$G$6:$G$205,"&lt;&gt;")=1,INDEX('Route List'!$G$6:$G$205,MATCH(C259,'Route List'!$F$6:$F$205,0)),"Enter route fare"),"Enter route fare"))</x:f>
      </x:c>
      <x:c r="I259" s="98" t="str">
        <x:f>IF(F259="","",IF(F259="Own",0,50))</x:f>
      </x:c>
      <x:c r="J259" s="98" t="str">
        <x:f>IF(OR(D259="",E259=""),"",IF(AND(ISNUMBER(G259),ISNUMBER(H259)),ROUND(G259*H259,2),""))</x:f>
      </x:c>
      <x:c r="K259" s="98" t="str">
        <x:f>IF(OR(D259="",E259=""),"",IF(AND(ISNUMBER(G259),ISNUMBER(I259)),ROUND(G259*I259,2),""))</x:f>
      </x:c>
      <x:c r="L259" s="98" t="str">
        <x:f>IF(OR(D259="",E259=""),"",IF(AND(ISNUMBER(J259),ISNUMBER(K259)),J259-K259,""))</x:f>
      </x:c>
      <x:c r="M259" s="114"/>
      <x:c r="N259" s="98" t="str">
        <x:f>IF(OR(D259="",E259=""),"",IF(COUNTIFS($D$6:D259,D259,$E$6:E259,E259)=1,MAX(SUMIFS($L$6:$L$505,$D$6:$D$505,D259,$E$6:$E$505,E259)-SUMIFS($M$6:$M$505,$D$6:$D$505,D259,$E$6:$E$505,E259),0),""))</x:f>
      </x:c>
    </x:row>
    <x:row r="260" ht="28" customHeight="1">
      <x:c r="A260" s="113" t="str">
        <x:f>IF(D260="","",IF(COUNTIFS(Trips!$A$6:$A$105,D260)=1,INDEX(Trips!$C$6:$C$105,MATCH(D260,Trips!$A$6:$A$105,0)),""))</x:f>
      </x:c>
      <x:c r="B260" s="90" t="str">
        <x:f>IF(D260="","",IF(COUNTIFS(Trips!$A$6:$A$105,D260)=1,INDEX(Trips!$B$6:$B$105,MATCH(D260,Trips!$A$6:$A$105,0)),""))</x:f>
      </x:c>
      <x:c r="C260" s="90" t="str">
        <x:f>IF(D260="","",IF(COUNTIFS(Trips!$A$6:$A$105,D260)=1,INDEX(Trips!$D$6:$D$105,MATCH(D260,Trips!$A$6:$A$105,0)),""))</x:f>
      </x:c>
      <x:c r="D260" s="107"/>
      <x:c r="E260" s="107"/>
      <x:c r="F260" s="90" t="str">
        <x:f>IF(E260="","",IF(COUNTIFS(Counters!$A$6:$A$105,E260)=1,INDEX(Counters!$B$6:$B$105,MATCH(E260,Counters!$A$6:$A$105,0)),""))</x:f>
      </x:c>
      <x:c r="G260" s="107"/>
      <x:c r="H260" s="98" t="str">
        <x:f>IF(C260="","",IF(COUNTIFS('Route List'!$F$6:$F$205,C260)=1,IF(COUNTIFS('Route List'!$F$6:$F$205,C260,'Route List'!$G$6:$G$205,"&lt;&gt;")=1,INDEX('Route List'!$G$6:$G$205,MATCH(C260,'Route List'!$F$6:$F$205,0)),"Enter route fare"),"Enter route fare"))</x:f>
      </x:c>
      <x:c r="I260" s="98" t="str">
        <x:f>IF(F260="","",IF(F260="Own",0,50))</x:f>
      </x:c>
      <x:c r="J260" s="98" t="str">
        <x:f>IF(OR(D260="",E260=""),"",IF(AND(ISNUMBER(G260),ISNUMBER(H260)),ROUND(G260*H260,2),""))</x:f>
      </x:c>
      <x:c r="K260" s="98" t="str">
        <x:f>IF(OR(D260="",E260=""),"",IF(AND(ISNUMBER(G260),ISNUMBER(I260)),ROUND(G260*I260,2),""))</x:f>
      </x:c>
      <x:c r="L260" s="98" t="str">
        <x:f>IF(OR(D260="",E260=""),"",IF(AND(ISNUMBER(J260),ISNUMBER(K260)),J260-K260,""))</x:f>
      </x:c>
      <x:c r="M260" s="114"/>
      <x:c r="N260" s="98" t="str">
        <x:f>IF(OR(D260="",E260=""),"",IF(COUNTIFS($D$6:D260,D260,$E$6:E260,E260)=1,MAX(SUMIFS($L$6:$L$505,$D$6:$D$505,D260,$E$6:$E$505,E260)-SUMIFS($M$6:$M$505,$D$6:$D$505,D260,$E$6:$E$505,E260),0),""))</x:f>
      </x:c>
    </x:row>
    <x:row r="261" ht="28" customHeight="1">
      <x:c r="A261" s="113" t="str">
        <x:f>IF(D261="","",IF(COUNTIFS(Trips!$A$6:$A$105,D261)=1,INDEX(Trips!$C$6:$C$105,MATCH(D261,Trips!$A$6:$A$105,0)),""))</x:f>
      </x:c>
      <x:c r="B261" s="90" t="str">
        <x:f>IF(D261="","",IF(COUNTIFS(Trips!$A$6:$A$105,D261)=1,INDEX(Trips!$B$6:$B$105,MATCH(D261,Trips!$A$6:$A$105,0)),""))</x:f>
      </x:c>
      <x:c r="C261" s="90" t="str">
        <x:f>IF(D261="","",IF(COUNTIFS(Trips!$A$6:$A$105,D261)=1,INDEX(Trips!$D$6:$D$105,MATCH(D261,Trips!$A$6:$A$105,0)),""))</x:f>
      </x:c>
      <x:c r="D261" s="107"/>
      <x:c r="E261" s="107"/>
      <x:c r="F261" s="90" t="str">
        <x:f>IF(E261="","",IF(COUNTIFS(Counters!$A$6:$A$105,E261)=1,INDEX(Counters!$B$6:$B$105,MATCH(E261,Counters!$A$6:$A$105,0)),""))</x:f>
      </x:c>
      <x:c r="G261" s="107"/>
      <x:c r="H261" s="98" t="str">
        <x:f>IF(C261="","",IF(COUNTIFS('Route List'!$F$6:$F$205,C261)=1,IF(COUNTIFS('Route List'!$F$6:$F$205,C261,'Route List'!$G$6:$G$205,"&lt;&gt;")=1,INDEX('Route List'!$G$6:$G$205,MATCH(C261,'Route List'!$F$6:$F$205,0)),"Enter route fare"),"Enter route fare"))</x:f>
      </x:c>
      <x:c r="I261" s="98" t="str">
        <x:f>IF(F261="","",IF(F261="Own",0,50))</x:f>
      </x:c>
      <x:c r="J261" s="98" t="str">
        <x:f>IF(OR(D261="",E261=""),"",IF(AND(ISNUMBER(G261),ISNUMBER(H261)),ROUND(G261*H261,2),""))</x:f>
      </x:c>
      <x:c r="K261" s="98" t="str">
        <x:f>IF(OR(D261="",E261=""),"",IF(AND(ISNUMBER(G261),ISNUMBER(I261)),ROUND(G261*I261,2),""))</x:f>
      </x:c>
      <x:c r="L261" s="98" t="str">
        <x:f>IF(OR(D261="",E261=""),"",IF(AND(ISNUMBER(J261),ISNUMBER(K261)),J261-K261,""))</x:f>
      </x:c>
      <x:c r="M261" s="114"/>
      <x:c r="N261" s="98" t="str">
        <x:f>IF(OR(D261="",E261=""),"",IF(COUNTIFS($D$6:D261,D261,$E$6:E261,E261)=1,MAX(SUMIFS($L$6:$L$505,$D$6:$D$505,D261,$E$6:$E$505,E261)-SUMIFS($M$6:$M$505,$D$6:$D$505,D261,$E$6:$E$505,E261),0),""))</x:f>
      </x:c>
    </x:row>
    <x:row r="262" ht="28" customHeight="1">
      <x:c r="A262" s="113" t="str">
        <x:f>IF(D262="","",IF(COUNTIFS(Trips!$A$6:$A$105,D262)=1,INDEX(Trips!$C$6:$C$105,MATCH(D262,Trips!$A$6:$A$105,0)),""))</x:f>
      </x:c>
      <x:c r="B262" s="90" t="str">
        <x:f>IF(D262="","",IF(COUNTIFS(Trips!$A$6:$A$105,D262)=1,INDEX(Trips!$B$6:$B$105,MATCH(D262,Trips!$A$6:$A$105,0)),""))</x:f>
      </x:c>
      <x:c r="C262" s="90" t="str">
        <x:f>IF(D262="","",IF(COUNTIFS(Trips!$A$6:$A$105,D262)=1,INDEX(Trips!$D$6:$D$105,MATCH(D262,Trips!$A$6:$A$105,0)),""))</x:f>
      </x:c>
      <x:c r="D262" s="107"/>
      <x:c r="E262" s="107"/>
      <x:c r="F262" s="90" t="str">
        <x:f>IF(E262="","",IF(COUNTIFS(Counters!$A$6:$A$105,E262)=1,INDEX(Counters!$B$6:$B$105,MATCH(E262,Counters!$A$6:$A$105,0)),""))</x:f>
      </x:c>
      <x:c r="G262" s="107"/>
      <x:c r="H262" s="98" t="str">
        <x:f>IF(C262="","",IF(COUNTIFS('Route List'!$F$6:$F$205,C262)=1,IF(COUNTIFS('Route List'!$F$6:$F$205,C262,'Route List'!$G$6:$G$205,"&lt;&gt;")=1,INDEX('Route List'!$G$6:$G$205,MATCH(C262,'Route List'!$F$6:$F$205,0)),"Enter route fare"),"Enter route fare"))</x:f>
      </x:c>
      <x:c r="I262" s="98" t="str">
        <x:f>IF(F262="","",IF(F262="Own",0,50))</x:f>
      </x:c>
      <x:c r="J262" s="98" t="str">
        <x:f>IF(OR(D262="",E262=""),"",IF(AND(ISNUMBER(G262),ISNUMBER(H262)),ROUND(G262*H262,2),""))</x:f>
      </x:c>
      <x:c r="K262" s="98" t="str">
        <x:f>IF(OR(D262="",E262=""),"",IF(AND(ISNUMBER(G262),ISNUMBER(I262)),ROUND(G262*I262,2),""))</x:f>
      </x:c>
      <x:c r="L262" s="98" t="str">
        <x:f>IF(OR(D262="",E262=""),"",IF(AND(ISNUMBER(J262),ISNUMBER(K262)),J262-K262,""))</x:f>
      </x:c>
      <x:c r="M262" s="114"/>
      <x:c r="N262" s="98" t="str">
        <x:f>IF(OR(D262="",E262=""),"",IF(COUNTIFS($D$6:D262,D262,$E$6:E262,E262)=1,MAX(SUMIFS($L$6:$L$505,$D$6:$D$505,D262,$E$6:$E$505,E262)-SUMIFS($M$6:$M$505,$D$6:$D$505,D262,$E$6:$E$505,E262),0),""))</x:f>
      </x:c>
    </x:row>
    <x:row r="263" ht="28" customHeight="1">
      <x:c r="A263" s="113" t="str">
        <x:f>IF(D263="","",IF(COUNTIFS(Trips!$A$6:$A$105,D263)=1,INDEX(Trips!$C$6:$C$105,MATCH(D263,Trips!$A$6:$A$105,0)),""))</x:f>
      </x:c>
      <x:c r="B263" s="90" t="str">
        <x:f>IF(D263="","",IF(COUNTIFS(Trips!$A$6:$A$105,D263)=1,INDEX(Trips!$B$6:$B$105,MATCH(D263,Trips!$A$6:$A$105,0)),""))</x:f>
      </x:c>
      <x:c r="C263" s="90" t="str">
        <x:f>IF(D263="","",IF(COUNTIFS(Trips!$A$6:$A$105,D263)=1,INDEX(Trips!$D$6:$D$105,MATCH(D263,Trips!$A$6:$A$105,0)),""))</x:f>
      </x:c>
      <x:c r="D263" s="107"/>
      <x:c r="E263" s="107"/>
      <x:c r="F263" s="90" t="str">
        <x:f>IF(E263="","",IF(COUNTIFS(Counters!$A$6:$A$105,E263)=1,INDEX(Counters!$B$6:$B$105,MATCH(E263,Counters!$A$6:$A$105,0)),""))</x:f>
      </x:c>
      <x:c r="G263" s="107"/>
      <x:c r="H263" s="98" t="str">
        <x:f>IF(C263="","",IF(COUNTIFS('Route List'!$F$6:$F$205,C263)=1,IF(COUNTIFS('Route List'!$F$6:$F$205,C263,'Route List'!$G$6:$G$205,"&lt;&gt;")=1,INDEX('Route List'!$G$6:$G$205,MATCH(C263,'Route List'!$F$6:$F$205,0)),"Enter route fare"),"Enter route fare"))</x:f>
      </x:c>
      <x:c r="I263" s="98" t="str">
        <x:f>IF(F263="","",IF(F263="Own",0,50))</x:f>
      </x:c>
      <x:c r="J263" s="98" t="str">
        <x:f>IF(OR(D263="",E263=""),"",IF(AND(ISNUMBER(G263),ISNUMBER(H263)),ROUND(G263*H263,2),""))</x:f>
      </x:c>
      <x:c r="K263" s="98" t="str">
        <x:f>IF(OR(D263="",E263=""),"",IF(AND(ISNUMBER(G263),ISNUMBER(I263)),ROUND(G263*I263,2),""))</x:f>
      </x:c>
      <x:c r="L263" s="98" t="str">
        <x:f>IF(OR(D263="",E263=""),"",IF(AND(ISNUMBER(J263),ISNUMBER(K263)),J263-K263,""))</x:f>
      </x:c>
      <x:c r="M263" s="114"/>
      <x:c r="N263" s="98" t="str">
        <x:f>IF(OR(D263="",E263=""),"",IF(COUNTIFS($D$6:D263,D263,$E$6:E263,E263)=1,MAX(SUMIFS($L$6:$L$505,$D$6:$D$505,D263,$E$6:$E$505,E263)-SUMIFS($M$6:$M$505,$D$6:$D$505,D263,$E$6:$E$505,E263),0),""))</x:f>
      </x:c>
    </x:row>
    <x:row r="264" ht="28" customHeight="1">
      <x:c r="A264" s="113" t="str">
        <x:f>IF(D264="","",IF(COUNTIFS(Trips!$A$6:$A$105,D264)=1,INDEX(Trips!$C$6:$C$105,MATCH(D264,Trips!$A$6:$A$105,0)),""))</x:f>
      </x:c>
      <x:c r="B264" s="90" t="str">
        <x:f>IF(D264="","",IF(COUNTIFS(Trips!$A$6:$A$105,D264)=1,INDEX(Trips!$B$6:$B$105,MATCH(D264,Trips!$A$6:$A$105,0)),""))</x:f>
      </x:c>
      <x:c r="C264" s="90" t="str">
        <x:f>IF(D264="","",IF(COUNTIFS(Trips!$A$6:$A$105,D264)=1,INDEX(Trips!$D$6:$D$105,MATCH(D264,Trips!$A$6:$A$105,0)),""))</x:f>
      </x:c>
      <x:c r="D264" s="107"/>
      <x:c r="E264" s="107"/>
      <x:c r="F264" s="90" t="str">
        <x:f>IF(E264="","",IF(COUNTIFS(Counters!$A$6:$A$105,E264)=1,INDEX(Counters!$B$6:$B$105,MATCH(E264,Counters!$A$6:$A$105,0)),""))</x:f>
      </x:c>
      <x:c r="G264" s="107"/>
      <x:c r="H264" s="98" t="str">
        <x:f>IF(C264="","",IF(COUNTIFS('Route List'!$F$6:$F$205,C264)=1,IF(COUNTIFS('Route List'!$F$6:$F$205,C264,'Route List'!$G$6:$G$205,"&lt;&gt;")=1,INDEX('Route List'!$G$6:$G$205,MATCH(C264,'Route List'!$F$6:$F$205,0)),"Enter route fare"),"Enter route fare"))</x:f>
      </x:c>
      <x:c r="I264" s="98" t="str">
        <x:f>IF(F264="","",IF(F264="Own",0,50))</x:f>
      </x:c>
      <x:c r="J264" s="98" t="str">
        <x:f>IF(OR(D264="",E264=""),"",IF(AND(ISNUMBER(G264),ISNUMBER(H264)),ROUND(G264*H264,2),""))</x:f>
      </x:c>
      <x:c r="K264" s="98" t="str">
        <x:f>IF(OR(D264="",E264=""),"",IF(AND(ISNUMBER(G264),ISNUMBER(I264)),ROUND(G264*I264,2),""))</x:f>
      </x:c>
      <x:c r="L264" s="98" t="str">
        <x:f>IF(OR(D264="",E264=""),"",IF(AND(ISNUMBER(J264),ISNUMBER(K264)),J264-K264,""))</x:f>
      </x:c>
      <x:c r="M264" s="114"/>
      <x:c r="N264" s="98" t="str">
        <x:f>IF(OR(D264="",E264=""),"",IF(COUNTIFS($D$6:D264,D264,$E$6:E264,E264)=1,MAX(SUMIFS($L$6:$L$505,$D$6:$D$505,D264,$E$6:$E$505,E264)-SUMIFS($M$6:$M$505,$D$6:$D$505,D264,$E$6:$E$505,E264),0),""))</x:f>
      </x:c>
    </x:row>
    <x:row r="265" ht="28" customHeight="1">
      <x:c r="A265" s="113" t="str">
        <x:f>IF(D265="","",IF(COUNTIFS(Trips!$A$6:$A$105,D265)=1,INDEX(Trips!$C$6:$C$105,MATCH(D265,Trips!$A$6:$A$105,0)),""))</x:f>
      </x:c>
      <x:c r="B265" s="90" t="str">
        <x:f>IF(D265="","",IF(COUNTIFS(Trips!$A$6:$A$105,D265)=1,INDEX(Trips!$B$6:$B$105,MATCH(D265,Trips!$A$6:$A$105,0)),""))</x:f>
      </x:c>
      <x:c r="C265" s="90" t="str">
        <x:f>IF(D265="","",IF(COUNTIFS(Trips!$A$6:$A$105,D265)=1,INDEX(Trips!$D$6:$D$105,MATCH(D265,Trips!$A$6:$A$105,0)),""))</x:f>
      </x:c>
      <x:c r="D265" s="107"/>
      <x:c r="E265" s="107"/>
      <x:c r="F265" s="90" t="str">
        <x:f>IF(E265="","",IF(COUNTIFS(Counters!$A$6:$A$105,E265)=1,INDEX(Counters!$B$6:$B$105,MATCH(E265,Counters!$A$6:$A$105,0)),""))</x:f>
      </x:c>
      <x:c r="G265" s="107"/>
      <x:c r="H265" s="98" t="str">
        <x:f>IF(C265="","",IF(COUNTIFS('Route List'!$F$6:$F$205,C265)=1,IF(COUNTIFS('Route List'!$F$6:$F$205,C265,'Route List'!$G$6:$G$205,"&lt;&gt;")=1,INDEX('Route List'!$G$6:$G$205,MATCH(C265,'Route List'!$F$6:$F$205,0)),"Enter route fare"),"Enter route fare"))</x:f>
      </x:c>
      <x:c r="I265" s="98" t="str">
        <x:f>IF(F265="","",IF(F265="Own",0,50))</x:f>
      </x:c>
      <x:c r="J265" s="98" t="str">
        <x:f>IF(OR(D265="",E265=""),"",IF(AND(ISNUMBER(G265),ISNUMBER(H265)),ROUND(G265*H265,2),""))</x:f>
      </x:c>
      <x:c r="K265" s="98" t="str">
        <x:f>IF(OR(D265="",E265=""),"",IF(AND(ISNUMBER(G265),ISNUMBER(I265)),ROUND(G265*I265,2),""))</x:f>
      </x:c>
      <x:c r="L265" s="98" t="str">
        <x:f>IF(OR(D265="",E265=""),"",IF(AND(ISNUMBER(J265),ISNUMBER(K265)),J265-K265,""))</x:f>
      </x:c>
      <x:c r="M265" s="114"/>
      <x:c r="N265" s="98" t="str">
        <x:f>IF(OR(D265="",E265=""),"",IF(COUNTIFS($D$6:D265,D265,$E$6:E265,E265)=1,MAX(SUMIFS($L$6:$L$505,$D$6:$D$505,D265,$E$6:$E$505,E265)-SUMIFS($M$6:$M$505,$D$6:$D$505,D265,$E$6:$E$505,E265),0),""))</x:f>
      </x:c>
    </x:row>
    <x:row r="266" ht="28" customHeight="1">
      <x:c r="A266" s="113" t="str">
        <x:f>IF(D266="","",IF(COUNTIFS(Trips!$A$6:$A$105,D266)=1,INDEX(Trips!$C$6:$C$105,MATCH(D266,Trips!$A$6:$A$105,0)),""))</x:f>
      </x:c>
      <x:c r="B266" s="90" t="str">
        <x:f>IF(D266="","",IF(COUNTIFS(Trips!$A$6:$A$105,D266)=1,INDEX(Trips!$B$6:$B$105,MATCH(D266,Trips!$A$6:$A$105,0)),""))</x:f>
      </x:c>
      <x:c r="C266" s="90" t="str">
        <x:f>IF(D266="","",IF(COUNTIFS(Trips!$A$6:$A$105,D266)=1,INDEX(Trips!$D$6:$D$105,MATCH(D266,Trips!$A$6:$A$105,0)),""))</x:f>
      </x:c>
      <x:c r="D266" s="107"/>
      <x:c r="E266" s="107"/>
      <x:c r="F266" s="90" t="str">
        <x:f>IF(E266="","",IF(COUNTIFS(Counters!$A$6:$A$105,E266)=1,INDEX(Counters!$B$6:$B$105,MATCH(E266,Counters!$A$6:$A$105,0)),""))</x:f>
      </x:c>
      <x:c r="G266" s="107"/>
      <x:c r="H266" s="98" t="str">
        <x:f>IF(C266="","",IF(COUNTIFS('Route List'!$F$6:$F$205,C266)=1,IF(COUNTIFS('Route List'!$F$6:$F$205,C266,'Route List'!$G$6:$G$205,"&lt;&gt;")=1,INDEX('Route List'!$G$6:$G$205,MATCH(C266,'Route List'!$F$6:$F$205,0)),"Enter route fare"),"Enter route fare"))</x:f>
      </x:c>
      <x:c r="I266" s="98" t="str">
        <x:f>IF(F266="","",IF(F266="Own",0,50))</x:f>
      </x:c>
      <x:c r="J266" s="98" t="str">
        <x:f>IF(OR(D266="",E266=""),"",IF(AND(ISNUMBER(G266),ISNUMBER(H266)),ROUND(G266*H266,2),""))</x:f>
      </x:c>
      <x:c r="K266" s="98" t="str">
        <x:f>IF(OR(D266="",E266=""),"",IF(AND(ISNUMBER(G266),ISNUMBER(I266)),ROUND(G266*I266,2),""))</x:f>
      </x:c>
      <x:c r="L266" s="98" t="str">
        <x:f>IF(OR(D266="",E266=""),"",IF(AND(ISNUMBER(J266),ISNUMBER(K266)),J266-K266,""))</x:f>
      </x:c>
      <x:c r="M266" s="114"/>
      <x:c r="N266" s="98" t="str">
        <x:f>IF(OR(D266="",E266=""),"",IF(COUNTIFS($D$6:D266,D266,$E$6:E266,E266)=1,MAX(SUMIFS($L$6:$L$505,$D$6:$D$505,D266,$E$6:$E$505,E266)-SUMIFS($M$6:$M$505,$D$6:$D$505,D266,$E$6:$E$505,E266),0),""))</x:f>
      </x:c>
    </x:row>
    <x:row r="267" ht="28" customHeight="1">
      <x:c r="A267" s="113" t="str">
        <x:f>IF(D267="","",IF(COUNTIFS(Trips!$A$6:$A$105,D267)=1,INDEX(Trips!$C$6:$C$105,MATCH(D267,Trips!$A$6:$A$105,0)),""))</x:f>
      </x:c>
      <x:c r="B267" s="90" t="str">
        <x:f>IF(D267="","",IF(COUNTIFS(Trips!$A$6:$A$105,D267)=1,INDEX(Trips!$B$6:$B$105,MATCH(D267,Trips!$A$6:$A$105,0)),""))</x:f>
      </x:c>
      <x:c r="C267" s="90" t="str">
        <x:f>IF(D267="","",IF(COUNTIFS(Trips!$A$6:$A$105,D267)=1,INDEX(Trips!$D$6:$D$105,MATCH(D267,Trips!$A$6:$A$105,0)),""))</x:f>
      </x:c>
      <x:c r="D267" s="107"/>
      <x:c r="E267" s="107"/>
      <x:c r="F267" s="90" t="str">
        <x:f>IF(E267="","",IF(COUNTIFS(Counters!$A$6:$A$105,E267)=1,INDEX(Counters!$B$6:$B$105,MATCH(E267,Counters!$A$6:$A$105,0)),""))</x:f>
      </x:c>
      <x:c r="G267" s="107"/>
      <x:c r="H267" s="98" t="str">
        <x:f>IF(C267="","",IF(COUNTIFS('Route List'!$F$6:$F$205,C267)=1,IF(COUNTIFS('Route List'!$F$6:$F$205,C267,'Route List'!$G$6:$G$205,"&lt;&gt;")=1,INDEX('Route List'!$G$6:$G$205,MATCH(C267,'Route List'!$F$6:$F$205,0)),"Enter route fare"),"Enter route fare"))</x:f>
      </x:c>
      <x:c r="I267" s="98" t="str">
        <x:f>IF(F267="","",IF(F267="Own",0,50))</x:f>
      </x:c>
      <x:c r="J267" s="98" t="str">
        <x:f>IF(OR(D267="",E267=""),"",IF(AND(ISNUMBER(G267),ISNUMBER(H267)),ROUND(G267*H267,2),""))</x:f>
      </x:c>
      <x:c r="K267" s="98" t="str">
        <x:f>IF(OR(D267="",E267=""),"",IF(AND(ISNUMBER(G267),ISNUMBER(I267)),ROUND(G267*I267,2),""))</x:f>
      </x:c>
      <x:c r="L267" s="98" t="str">
        <x:f>IF(OR(D267="",E267=""),"",IF(AND(ISNUMBER(J267),ISNUMBER(K267)),J267-K267,""))</x:f>
      </x:c>
      <x:c r="M267" s="114"/>
      <x:c r="N267" s="98" t="str">
        <x:f>IF(OR(D267="",E267=""),"",IF(COUNTIFS($D$6:D267,D267,$E$6:E267,E267)=1,MAX(SUMIFS($L$6:$L$505,$D$6:$D$505,D267,$E$6:$E$505,E267)-SUMIFS($M$6:$M$505,$D$6:$D$505,D267,$E$6:$E$505,E267),0),""))</x:f>
      </x:c>
    </x:row>
    <x:row r="268" ht="28" customHeight="1">
      <x:c r="A268" s="113" t="str">
        <x:f>IF(D268="","",IF(COUNTIFS(Trips!$A$6:$A$105,D268)=1,INDEX(Trips!$C$6:$C$105,MATCH(D268,Trips!$A$6:$A$105,0)),""))</x:f>
      </x:c>
      <x:c r="B268" s="90" t="str">
        <x:f>IF(D268="","",IF(COUNTIFS(Trips!$A$6:$A$105,D268)=1,INDEX(Trips!$B$6:$B$105,MATCH(D268,Trips!$A$6:$A$105,0)),""))</x:f>
      </x:c>
      <x:c r="C268" s="90" t="str">
        <x:f>IF(D268="","",IF(COUNTIFS(Trips!$A$6:$A$105,D268)=1,INDEX(Trips!$D$6:$D$105,MATCH(D268,Trips!$A$6:$A$105,0)),""))</x:f>
      </x:c>
      <x:c r="D268" s="107"/>
      <x:c r="E268" s="107"/>
      <x:c r="F268" s="90" t="str">
        <x:f>IF(E268="","",IF(COUNTIFS(Counters!$A$6:$A$105,E268)=1,INDEX(Counters!$B$6:$B$105,MATCH(E268,Counters!$A$6:$A$105,0)),""))</x:f>
      </x:c>
      <x:c r="G268" s="107"/>
      <x:c r="H268" s="98" t="str">
        <x:f>IF(C268="","",IF(COUNTIFS('Route List'!$F$6:$F$205,C268)=1,IF(COUNTIFS('Route List'!$F$6:$F$205,C268,'Route List'!$G$6:$G$205,"&lt;&gt;")=1,INDEX('Route List'!$G$6:$G$205,MATCH(C268,'Route List'!$F$6:$F$205,0)),"Enter route fare"),"Enter route fare"))</x:f>
      </x:c>
      <x:c r="I268" s="98" t="str">
        <x:f>IF(F268="","",IF(F268="Own",0,50))</x:f>
      </x:c>
      <x:c r="J268" s="98" t="str">
        <x:f>IF(OR(D268="",E268=""),"",IF(AND(ISNUMBER(G268),ISNUMBER(H268)),ROUND(G268*H268,2),""))</x:f>
      </x:c>
      <x:c r="K268" s="98" t="str">
        <x:f>IF(OR(D268="",E268=""),"",IF(AND(ISNUMBER(G268),ISNUMBER(I268)),ROUND(G268*I268,2),""))</x:f>
      </x:c>
      <x:c r="L268" s="98" t="str">
        <x:f>IF(OR(D268="",E268=""),"",IF(AND(ISNUMBER(J268),ISNUMBER(K268)),J268-K268,""))</x:f>
      </x:c>
      <x:c r="M268" s="114"/>
      <x:c r="N268" s="98" t="str">
        <x:f>IF(OR(D268="",E268=""),"",IF(COUNTIFS($D$6:D268,D268,$E$6:E268,E268)=1,MAX(SUMIFS($L$6:$L$505,$D$6:$D$505,D268,$E$6:$E$505,E268)-SUMIFS($M$6:$M$505,$D$6:$D$505,D268,$E$6:$E$505,E268),0),""))</x:f>
      </x:c>
    </x:row>
    <x:row r="269" ht="28" customHeight="1">
      <x:c r="A269" s="113" t="str">
        <x:f>IF(D269="","",IF(COUNTIFS(Trips!$A$6:$A$105,D269)=1,INDEX(Trips!$C$6:$C$105,MATCH(D269,Trips!$A$6:$A$105,0)),""))</x:f>
      </x:c>
      <x:c r="B269" s="90" t="str">
        <x:f>IF(D269="","",IF(COUNTIFS(Trips!$A$6:$A$105,D269)=1,INDEX(Trips!$B$6:$B$105,MATCH(D269,Trips!$A$6:$A$105,0)),""))</x:f>
      </x:c>
      <x:c r="C269" s="90" t="str">
        <x:f>IF(D269="","",IF(COUNTIFS(Trips!$A$6:$A$105,D269)=1,INDEX(Trips!$D$6:$D$105,MATCH(D269,Trips!$A$6:$A$105,0)),""))</x:f>
      </x:c>
      <x:c r="D269" s="107"/>
      <x:c r="E269" s="107"/>
      <x:c r="F269" s="90" t="str">
        <x:f>IF(E269="","",IF(COUNTIFS(Counters!$A$6:$A$105,E269)=1,INDEX(Counters!$B$6:$B$105,MATCH(E269,Counters!$A$6:$A$105,0)),""))</x:f>
      </x:c>
      <x:c r="G269" s="107"/>
      <x:c r="H269" s="98" t="str">
        <x:f>IF(C269="","",IF(COUNTIFS('Route List'!$F$6:$F$205,C269)=1,IF(COUNTIFS('Route List'!$F$6:$F$205,C269,'Route List'!$G$6:$G$205,"&lt;&gt;")=1,INDEX('Route List'!$G$6:$G$205,MATCH(C269,'Route List'!$F$6:$F$205,0)),"Enter route fare"),"Enter route fare"))</x:f>
      </x:c>
      <x:c r="I269" s="98" t="str">
        <x:f>IF(F269="","",IF(F269="Own",0,50))</x:f>
      </x:c>
      <x:c r="J269" s="98" t="str">
        <x:f>IF(OR(D269="",E269=""),"",IF(AND(ISNUMBER(G269),ISNUMBER(H269)),ROUND(G269*H269,2),""))</x:f>
      </x:c>
      <x:c r="K269" s="98" t="str">
        <x:f>IF(OR(D269="",E269=""),"",IF(AND(ISNUMBER(G269),ISNUMBER(I269)),ROUND(G269*I269,2),""))</x:f>
      </x:c>
      <x:c r="L269" s="98" t="str">
        <x:f>IF(OR(D269="",E269=""),"",IF(AND(ISNUMBER(J269),ISNUMBER(K269)),J269-K269,""))</x:f>
      </x:c>
      <x:c r="M269" s="114"/>
      <x:c r="N269" s="98" t="str">
        <x:f>IF(OR(D269="",E269=""),"",IF(COUNTIFS($D$6:D269,D269,$E$6:E269,E269)=1,MAX(SUMIFS($L$6:$L$505,$D$6:$D$505,D269,$E$6:$E$505,E269)-SUMIFS($M$6:$M$505,$D$6:$D$505,D269,$E$6:$E$505,E269),0),""))</x:f>
      </x:c>
    </x:row>
    <x:row r="270" ht="28" customHeight="1">
      <x:c r="A270" s="113" t="str">
        <x:f>IF(D270="","",IF(COUNTIFS(Trips!$A$6:$A$105,D270)=1,INDEX(Trips!$C$6:$C$105,MATCH(D270,Trips!$A$6:$A$105,0)),""))</x:f>
      </x:c>
      <x:c r="B270" s="90" t="str">
        <x:f>IF(D270="","",IF(COUNTIFS(Trips!$A$6:$A$105,D270)=1,INDEX(Trips!$B$6:$B$105,MATCH(D270,Trips!$A$6:$A$105,0)),""))</x:f>
      </x:c>
      <x:c r="C270" s="90" t="str">
        <x:f>IF(D270="","",IF(COUNTIFS(Trips!$A$6:$A$105,D270)=1,INDEX(Trips!$D$6:$D$105,MATCH(D270,Trips!$A$6:$A$105,0)),""))</x:f>
      </x:c>
      <x:c r="D270" s="107"/>
      <x:c r="E270" s="107"/>
      <x:c r="F270" s="90" t="str">
        <x:f>IF(E270="","",IF(COUNTIFS(Counters!$A$6:$A$105,E270)=1,INDEX(Counters!$B$6:$B$105,MATCH(E270,Counters!$A$6:$A$105,0)),""))</x:f>
      </x:c>
      <x:c r="G270" s="107"/>
      <x:c r="H270" s="98" t="str">
        <x:f>IF(C270="","",IF(COUNTIFS('Route List'!$F$6:$F$205,C270)=1,IF(COUNTIFS('Route List'!$F$6:$F$205,C270,'Route List'!$G$6:$G$205,"&lt;&gt;")=1,INDEX('Route List'!$G$6:$G$205,MATCH(C270,'Route List'!$F$6:$F$205,0)),"Enter route fare"),"Enter route fare"))</x:f>
      </x:c>
      <x:c r="I270" s="98" t="str">
        <x:f>IF(F270="","",IF(F270="Own",0,50))</x:f>
      </x:c>
      <x:c r="J270" s="98" t="str">
        <x:f>IF(OR(D270="",E270=""),"",IF(AND(ISNUMBER(G270),ISNUMBER(H270)),ROUND(G270*H270,2),""))</x:f>
      </x:c>
      <x:c r="K270" s="98" t="str">
        <x:f>IF(OR(D270="",E270=""),"",IF(AND(ISNUMBER(G270),ISNUMBER(I270)),ROUND(G270*I270,2),""))</x:f>
      </x:c>
      <x:c r="L270" s="98" t="str">
        <x:f>IF(OR(D270="",E270=""),"",IF(AND(ISNUMBER(J270),ISNUMBER(K270)),J270-K270,""))</x:f>
      </x:c>
      <x:c r="M270" s="114"/>
      <x:c r="N270" s="98" t="str">
        <x:f>IF(OR(D270="",E270=""),"",IF(COUNTIFS($D$6:D270,D270,$E$6:E270,E270)=1,MAX(SUMIFS($L$6:$L$505,$D$6:$D$505,D270,$E$6:$E$505,E270)-SUMIFS($M$6:$M$505,$D$6:$D$505,D270,$E$6:$E$505,E270),0),""))</x:f>
      </x:c>
    </x:row>
    <x:row r="271" ht="28" customHeight="1">
      <x:c r="A271" s="113" t="str">
        <x:f>IF(D271="","",IF(COUNTIFS(Trips!$A$6:$A$105,D271)=1,INDEX(Trips!$C$6:$C$105,MATCH(D271,Trips!$A$6:$A$105,0)),""))</x:f>
      </x:c>
      <x:c r="B271" s="90" t="str">
        <x:f>IF(D271="","",IF(COUNTIFS(Trips!$A$6:$A$105,D271)=1,INDEX(Trips!$B$6:$B$105,MATCH(D271,Trips!$A$6:$A$105,0)),""))</x:f>
      </x:c>
      <x:c r="C271" s="90" t="str">
        <x:f>IF(D271="","",IF(COUNTIFS(Trips!$A$6:$A$105,D271)=1,INDEX(Trips!$D$6:$D$105,MATCH(D271,Trips!$A$6:$A$105,0)),""))</x:f>
      </x:c>
      <x:c r="D271" s="107"/>
      <x:c r="E271" s="107"/>
      <x:c r="F271" s="90" t="str">
        <x:f>IF(E271="","",IF(COUNTIFS(Counters!$A$6:$A$105,E271)=1,INDEX(Counters!$B$6:$B$105,MATCH(E271,Counters!$A$6:$A$105,0)),""))</x:f>
      </x:c>
      <x:c r="G271" s="107"/>
      <x:c r="H271" s="98" t="str">
        <x:f>IF(C271="","",IF(COUNTIFS('Route List'!$F$6:$F$205,C271)=1,IF(COUNTIFS('Route List'!$F$6:$F$205,C271,'Route List'!$G$6:$G$205,"&lt;&gt;")=1,INDEX('Route List'!$G$6:$G$205,MATCH(C271,'Route List'!$F$6:$F$205,0)),"Enter route fare"),"Enter route fare"))</x:f>
      </x:c>
      <x:c r="I271" s="98" t="str">
        <x:f>IF(F271="","",IF(F271="Own",0,50))</x:f>
      </x:c>
      <x:c r="J271" s="98" t="str">
        <x:f>IF(OR(D271="",E271=""),"",IF(AND(ISNUMBER(G271),ISNUMBER(H271)),ROUND(G271*H271,2),""))</x:f>
      </x:c>
      <x:c r="K271" s="98" t="str">
        <x:f>IF(OR(D271="",E271=""),"",IF(AND(ISNUMBER(G271),ISNUMBER(I271)),ROUND(G271*I271,2),""))</x:f>
      </x:c>
      <x:c r="L271" s="98" t="str">
        <x:f>IF(OR(D271="",E271=""),"",IF(AND(ISNUMBER(J271),ISNUMBER(K271)),J271-K271,""))</x:f>
      </x:c>
      <x:c r="M271" s="114"/>
      <x:c r="N271" s="98" t="str">
        <x:f>IF(OR(D271="",E271=""),"",IF(COUNTIFS($D$6:D271,D271,$E$6:E271,E271)=1,MAX(SUMIFS($L$6:$L$505,$D$6:$D$505,D271,$E$6:$E$505,E271)-SUMIFS($M$6:$M$505,$D$6:$D$505,D271,$E$6:$E$505,E271),0),""))</x:f>
      </x:c>
    </x:row>
    <x:row r="272" ht="28" customHeight="1">
      <x:c r="A272" s="113" t="str">
        <x:f>IF(D272="","",IF(COUNTIFS(Trips!$A$6:$A$105,D272)=1,INDEX(Trips!$C$6:$C$105,MATCH(D272,Trips!$A$6:$A$105,0)),""))</x:f>
      </x:c>
      <x:c r="B272" s="90" t="str">
        <x:f>IF(D272="","",IF(COUNTIFS(Trips!$A$6:$A$105,D272)=1,INDEX(Trips!$B$6:$B$105,MATCH(D272,Trips!$A$6:$A$105,0)),""))</x:f>
      </x:c>
      <x:c r="C272" s="90" t="str">
        <x:f>IF(D272="","",IF(COUNTIFS(Trips!$A$6:$A$105,D272)=1,INDEX(Trips!$D$6:$D$105,MATCH(D272,Trips!$A$6:$A$105,0)),""))</x:f>
      </x:c>
      <x:c r="D272" s="107"/>
      <x:c r="E272" s="107"/>
      <x:c r="F272" s="90" t="str">
        <x:f>IF(E272="","",IF(COUNTIFS(Counters!$A$6:$A$105,E272)=1,INDEX(Counters!$B$6:$B$105,MATCH(E272,Counters!$A$6:$A$105,0)),""))</x:f>
      </x:c>
      <x:c r="G272" s="107"/>
      <x:c r="H272" s="98" t="str">
        <x:f>IF(C272="","",IF(COUNTIFS('Route List'!$F$6:$F$205,C272)=1,IF(COUNTIFS('Route List'!$F$6:$F$205,C272,'Route List'!$G$6:$G$205,"&lt;&gt;")=1,INDEX('Route List'!$G$6:$G$205,MATCH(C272,'Route List'!$F$6:$F$205,0)),"Enter route fare"),"Enter route fare"))</x:f>
      </x:c>
      <x:c r="I272" s="98" t="str">
        <x:f>IF(F272="","",IF(F272="Own",0,50))</x:f>
      </x:c>
      <x:c r="J272" s="98" t="str">
        <x:f>IF(OR(D272="",E272=""),"",IF(AND(ISNUMBER(G272),ISNUMBER(H272)),ROUND(G272*H272,2),""))</x:f>
      </x:c>
      <x:c r="K272" s="98" t="str">
        <x:f>IF(OR(D272="",E272=""),"",IF(AND(ISNUMBER(G272),ISNUMBER(I272)),ROUND(G272*I272,2),""))</x:f>
      </x:c>
      <x:c r="L272" s="98" t="str">
        <x:f>IF(OR(D272="",E272=""),"",IF(AND(ISNUMBER(J272),ISNUMBER(K272)),J272-K272,""))</x:f>
      </x:c>
      <x:c r="M272" s="114"/>
      <x:c r="N272" s="98" t="str">
        <x:f>IF(OR(D272="",E272=""),"",IF(COUNTIFS($D$6:D272,D272,$E$6:E272,E272)=1,MAX(SUMIFS($L$6:$L$505,$D$6:$D$505,D272,$E$6:$E$505,E272)-SUMIFS($M$6:$M$505,$D$6:$D$505,D272,$E$6:$E$505,E272),0),""))</x:f>
      </x:c>
    </x:row>
    <x:row r="273" ht="28" customHeight="1">
      <x:c r="A273" s="113" t="str">
        <x:f>IF(D273="","",IF(COUNTIFS(Trips!$A$6:$A$105,D273)=1,INDEX(Trips!$C$6:$C$105,MATCH(D273,Trips!$A$6:$A$105,0)),""))</x:f>
      </x:c>
      <x:c r="B273" s="90" t="str">
        <x:f>IF(D273="","",IF(COUNTIFS(Trips!$A$6:$A$105,D273)=1,INDEX(Trips!$B$6:$B$105,MATCH(D273,Trips!$A$6:$A$105,0)),""))</x:f>
      </x:c>
      <x:c r="C273" s="90" t="str">
        <x:f>IF(D273="","",IF(COUNTIFS(Trips!$A$6:$A$105,D273)=1,INDEX(Trips!$D$6:$D$105,MATCH(D273,Trips!$A$6:$A$105,0)),""))</x:f>
      </x:c>
      <x:c r="D273" s="107"/>
      <x:c r="E273" s="107"/>
      <x:c r="F273" s="90" t="str">
        <x:f>IF(E273="","",IF(COUNTIFS(Counters!$A$6:$A$105,E273)=1,INDEX(Counters!$B$6:$B$105,MATCH(E273,Counters!$A$6:$A$105,0)),""))</x:f>
      </x:c>
      <x:c r="G273" s="107"/>
      <x:c r="H273" s="98" t="str">
        <x:f>IF(C273="","",IF(COUNTIFS('Route List'!$F$6:$F$205,C273)=1,IF(COUNTIFS('Route List'!$F$6:$F$205,C273,'Route List'!$G$6:$G$205,"&lt;&gt;")=1,INDEX('Route List'!$G$6:$G$205,MATCH(C273,'Route List'!$F$6:$F$205,0)),"Enter route fare"),"Enter route fare"))</x:f>
      </x:c>
      <x:c r="I273" s="98" t="str">
        <x:f>IF(F273="","",IF(F273="Own",0,50))</x:f>
      </x:c>
      <x:c r="J273" s="98" t="str">
        <x:f>IF(OR(D273="",E273=""),"",IF(AND(ISNUMBER(G273),ISNUMBER(H273)),ROUND(G273*H273,2),""))</x:f>
      </x:c>
      <x:c r="K273" s="98" t="str">
        <x:f>IF(OR(D273="",E273=""),"",IF(AND(ISNUMBER(G273),ISNUMBER(I273)),ROUND(G273*I273,2),""))</x:f>
      </x:c>
      <x:c r="L273" s="98" t="str">
        <x:f>IF(OR(D273="",E273=""),"",IF(AND(ISNUMBER(J273),ISNUMBER(K273)),J273-K273,""))</x:f>
      </x:c>
      <x:c r="M273" s="114"/>
      <x:c r="N273" s="98" t="str">
        <x:f>IF(OR(D273="",E273=""),"",IF(COUNTIFS($D$6:D273,D273,$E$6:E273,E273)=1,MAX(SUMIFS($L$6:$L$505,$D$6:$D$505,D273,$E$6:$E$505,E273)-SUMIFS($M$6:$M$505,$D$6:$D$505,D273,$E$6:$E$505,E273),0),""))</x:f>
      </x:c>
    </x:row>
    <x:row r="274" ht="28" customHeight="1">
      <x:c r="A274" s="113" t="str">
        <x:f>IF(D274="","",IF(COUNTIFS(Trips!$A$6:$A$105,D274)=1,INDEX(Trips!$C$6:$C$105,MATCH(D274,Trips!$A$6:$A$105,0)),""))</x:f>
      </x:c>
      <x:c r="B274" s="90" t="str">
        <x:f>IF(D274="","",IF(COUNTIFS(Trips!$A$6:$A$105,D274)=1,INDEX(Trips!$B$6:$B$105,MATCH(D274,Trips!$A$6:$A$105,0)),""))</x:f>
      </x:c>
      <x:c r="C274" s="90" t="str">
        <x:f>IF(D274="","",IF(COUNTIFS(Trips!$A$6:$A$105,D274)=1,INDEX(Trips!$D$6:$D$105,MATCH(D274,Trips!$A$6:$A$105,0)),""))</x:f>
      </x:c>
      <x:c r="D274" s="107"/>
      <x:c r="E274" s="107"/>
      <x:c r="F274" s="90" t="str">
        <x:f>IF(E274="","",IF(COUNTIFS(Counters!$A$6:$A$105,E274)=1,INDEX(Counters!$B$6:$B$105,MATCH(E274,Counters!$A$6:$A$105,0)),""))</x:f>
      </x:c>
      <x:c r="G274" s="107"/>
      <x:c r="H274" s="98" t="str">
        <x:f>IF(C274="","",IF(COUNTIFS('Route List'!$F$6:$F$205,C274)=1,IF(COUNTIFS('Route List'!$F$6:$F$205,C274,'Route List'!$G$6:$G$205,"&lt;&gt;")=1,INDEX('Route List'!$G$6:$G$205,MATCH(C274,'Route List'!$F$6:$F$205,0)),"Enter route fare"),"Enter route fare"))</x:f>
      </x:c>
      <x:c r="I274" s="98" t="str">
        <x:f>IF(F274="","",IF(F274="Own",0,50))</x:f>
      </x:c>
      <x:c r="J274" s="98" t="str">
        <x:f>IF(OR(D274="",E274=""),"",IF(AND(ISNUMBER(G274),ISNUMBER(H274)),ROUND(G274*H274,2),""))</x:f>
      </x:c>
      <x:c r="K274" s="98" t="str">
        <x:f>IF(OR(D274="",E274=""),"",IF(AND(ISNUMBER(G274),ISNUMBER(I274)),ROUND(G274*I274,2),""))</x:f>
      </x:c>
      <x:c r="L274" s="98" t="str">
        <x:f>IF(OR(D274="",E274=""),"",IF(AND(ISNUMBER(J274),ISNUMBER(K274)),J274-K274,""))</x:f>
      </x:c>
      <x:c r="M274" s="114"/>
      <x:c r="N274" s="98" t="str">
        <x:f>IF(OR(D274="",E274=""),"",IF(COUNTIFS($D$6:D274,D274,$E$6:E274,E274)=1,MAX(SUMIFS($L$6:$L$505,$D$6:$D$505,D274,$E$6:$E$505,E274)-SUMIFS($M$6:$M$505,$D$6:$D$505,D274,$E$6:$E$505,E274),0),""))</x:f>
      </x:c>
    </x:row>
    <x:row r="275" ht="28" customHeight="1">
      <x:c r="A275" s="113" t="str">
        <x:f>IF(D275="","",IF(COUNTIFS(Trips!$A$6:$A$105,D275)=1,INDEX(Trips!$C$6:$C$105,MATCH(D275,Trips!$A$6:$A$105,0)),""))</x:f>
      </x:c>
      <x:c r="B275" s="90" t="str">
        <x:f>IF(D275="","",IF(COUNTIFS(Trips!$A$6:$A$105,D275)=1,INDEX(Trips!$B$6:$B$105,MATCH(D275,Trips!$A$6:$A$105,0)),""))</x:f>
      </x:c>
      <x:c r="C275" s="90" t="str">
        <x:f>IF(D275="","",IF(COUNTIFS(Trips!$A$6:$A$105,D275)=1,INDEX(Trips!$D$6:$D$105,MATCH(D275,Trips!$A$6:$A$105,0)),""))</x:f>
      </x:c>
      <x:c r="D275" s="107"/>
      <x:c r="E275" s="107"/>
      <x:c r="F275" s="90" t="str">
        <x:f>IF(E275="","",IF(COUNTIFS(Counters!$A$6:$A$105,E275)=1,INDEX(Counters!$B$6:$B$105,MATCH(E275,Counters!$A$6:$A$105,0)),""))</x:f>
      </x:c>
      <x:c r="G275" s="107"/>
      <x:c r="H275" s="98" t="str">
        <x:f>IF(C275="","",IF(COUNTIFS('Route List'!$F$6:$F$205,C275)=1,IF(COUNTIFS('Route List'!$F$6:$F$205,C275,'Route List'!$G$6:$G$205,"&lt;&gt;")=1,INDEX('Route List'!$G$6:$G$205,MATCH(C275,'Route List'!$F$6:$F$205,0)),"Enter route fare"),"Enter route fare"))</x:f>
      </x:c>
      <x:c r="I275" s="98" t="str">
        <x:f>IF(F275="","",IF(F275="Own",0,50))</x:f>
      </x:c>
      <x:c r="J275" s="98" t="str">
        <x:f>IF(OR(D275="",E275=""),"",IF(AND(ISNUMBER(G275),ISNUMBER(H275)),ROUND(G275*H275,2),""))</x:f>
      </x:c>
      <x:c r="K275" s="98" t="str">
        <x:f>IF(OR(D275="",E275=""),"",IF(AND(ISNUMBER(G275),ISNUMBER(I275)),ROUND(G275*I275,2),""))</x:f>
      </x:c>
      <x:c r="L275" s="98" t="str">
        <x:f>IF(OR(D275="",E275=""),"",IF(AND(ISNUMBER(J275),ISNUMBER(K275)),J275-K275,""))</x:f>
      </x:c>
      <x:c r="M275" s="114"/>
      <x:c r="N275" s="98" t="str">
        <x:f>IF(OR(D275="",E275=""),"",IF(COUNTIFS($D$6:D275,D275,$E$6:E275,E275)=1,MAX(SUMIFS($L$6:$L$505,$D$6:$D$505,D275,$E$6:$E$505,E275)-SUMIFS($M$6:$M$505,$D$6:$D$505,D275,$E$6:$E$505,E275),0),""))</x:f>
      </x:c>
    </x:row>
    <x:row r="276" ht="28" customHeight="1">
      <x:c r="A276" s="113" t="str">
        <x:f>IF(D276="","",IF(COUNTIFS(Trips!$A$6:$A$105,D276)=1,INDEX(Trips!$C$6:$C$105,MATCH(D276,Trips!$A$6:$A$105,0)),""))</x:f>
      </x:c>
      <x:c r="B276" s="90" t="str">
        <x:f>IF(D276="","",IF(COUNTIFS(Trips!$A$6:$A$105,D276)=1,INDEX(Trips!$B$6:$B$105,MATCH(D276,Trips!$A$6:$A$105,0)),""))</x:f>
      </x:c>
      <x:c r="C276" s="90" t="str">
        <x:f>IF(D276="","",IF(COUNTIFS(Trips!$A$6:$A$105,D276)=1,INDEX(Trips!$D$6:$D$105,MATCH(D276,Trips!$A$6:$A$105,0)),""))</x:f>
      </x:c>
      <x:c r="D276" s="107"/>
      <x:c r="E276" s="107"/>
      <x:c r="F276" s="90" t="str">
        <x:f>IF(E276="","",IF(COUNTIFS(Counters!$A$6:$A$105,E276)=1,INDEX(Counters!$B$6:$B$105,MATCH(E276,Counters!$A$6:$A$105,0)),""))</x:f>
      </x:c>
      <x:c r="G276" s="107"/>
      <x:c r="H276" s="98" t="str">
        <x:f>IF(C276="","",IF(COUNTIFS('Route List'!$F$6:$F$205,C276)=1,IF(COUNTIFS('Route List'!$F$6:$F$205,C276,'Route List'!$G$6:$G$205,"&lt;&gt;")=1,INDEX('Route List'!$G$6:$G$205,MATCH(C276,'Route List'!$F$6:$F$205,0)),"Enter route fare"),"Enter route fare"))</x:f>
      </x:c>
      <x:c r="I276" s="98" t="str">
        <x:f>IF(F276="","",IF(F276="Own",0,50))</x:f>
      </x:c>
      <x:c r="J276" s="98" t="str">
        <x:f>IF(OR(D276="",E276=""),"",IF(AND(ISNUMBER(G276),ISNUMBER(H276)),ROUND(G276*H276,2),""))</x:f>
      </x:c>
      <x:c r="K276" s="98" t="str">
        <x:f>IF(OR(D276="",E276=""),"",IF(AND(ISNUMBER(G276),ISNUMBER(I276)),ROUND(G276*I276,2),""))</x:f>
      </x:c>
      <x:c r="L276" s="98" t="str">
        <x:f>IF(OR(D276="",E276=""),"",IF(AND(ISNUMBER(J276),ISNUMBER(K276)),J276-K276,""))</x:f>
      </x:c>
      <x:c r="M276" s="114"/>
      <x:c r="N276" s="98" t="str">
        <x:f>IF(OR(D276="",E276=""),"",IF(COUNTIFS($D$6:D276,D276,$E$6:E276,E276)=1,MAX(SUMIFS($L$6:$L$505,$D$6:$D$505,D276,$E$6:$E$505,E276)-SUMIFS($M$6:$M$505,$D$6:$D$505,D276,$E$6:$E$505,E276),0),""))</x:f>
      </x:c>
    </x:row>
    <x:row r="277" ht="28" customHeight="1">
      <x:c r="A277" s="113" t="str">
        <x:f>IF(D277="","",IF(COUNTIFS(Trips!$A$6:$A$105,D277)=1,INDEX(Trips!$C$6:$C$105,MATCH(D277,Trips!$A$6:$A$105,0)),""))</x:f>
      </x:c>
      <x:c r="B277" s="90" t="str">
        <x:f>IF(D277="","",IF(COUNTIFS(Trips!$A$6:$A$105,D277)=1,INDEX(Trips!$B$6:$B$105,MATCH(D277,Trips!$A$6:$A$105,0)),""))</x:f>
      </x:c>
      <x:c r="C277" s="90" t="str">
        <x:f>IF(D277="","",IF(COUNTIFS(Trips!$A$6:$A$105,D277)=1,INDEX(Trips!$D$6:$D$105,MATCH(D277,Trips!$A$6:$A$105,0)),""))</x:f>
      </x:c>
      <x:c r="D277" s="107"/>
      <x:c r="E277" s="107"/>
      <x:c r="F277" s="90" t="str">
        <x:f>IF(E277="","",IF(COUNTIFS(Counters!$A$6:$A$105,E277)=1,INDEX(Counters!$B$6:$B$105,MATCH(E277,Counters!$A$6:$A$105,0)),""))</x:f>
      </x:c>
      <x:c r="G277" s="107"/>
      <x:c r="H277" s="98" t="str">
        <x:f>IF(C277="","",IF(COUNTIFS('Route List'!$F$6:$F$205,C277)=1,IF(COUNTIFS('Route List'!$F$6:$F$205,C277,'Route List'!$G$6:$G$205,"&lt;&gt;")=1,INDEX('Route List'!$G$6:$G$205,MATCH(C277,'Route List'!$F$6:$F$205,0)),"Enter route fare"),"Enter route fare"))</x:f>
      </x:c>
      <x:c r="I277" s="98" t="str">
        <x:f>IF(F277="","",IF(F277="Own",0,50))</x:f>
      </x:c>
      <x:c r="J277" s="98" t="str">
        <x:f>IF(OR(D277="",E277=""),"",IF(AND(ISNUMBER(G277),ISNUMBER(H277)),ROUND(G277*H277,2),""))</x:f>
      </x:c>
      <x:c r="K277" s="98" t="str">
        <x:f>IF(OR(D277="",E277=""),"",IF(AND(ISNUMBER(G277),ISNUMBER(I277)),ROUND(G277*I277,2),""))</x:f>
      </x:c>
      <x:c r="L277" s="98" t="str">
        <x:f>IF(OR(D277="",E277=""),"",IF(AND(ISNUMBER(J277),ISNUMBER(K277)),J277-K277,""))</x:f>
      </x:c>
      <x:c r="M277" s="114"/>
      <x:c r="N277" s="98" t="str">
        <x:f>IF(OR(D277="",E277=""),"",IF(COUNTIFS($D$6:D277,D277,$E$6:E277,E277)=1,MAX(SUMIFS($L$6:$L$505,$D$6:$D$505,D277,$E$6:$E$505,E277)-SUMIFS($M$6:$M$505,$D$6:$D$505,D277,$E$6:$E$505,E277),0),""))</x:f>
      </x:c>
    </x:row>
    <x:row r="278" ht="28" customHeight="1">
      <x:c r="A278" s="113" t="str">
        <x:f>IF(D278="","",IF(COUNTIFS(Trips!$A$6:$A$105,D278)=1,INDEX(Trips!$C$6:$C$105,MATCH(D278,Trips!$A$6:$A$105,0)),""))</x:f>
      </x:c>
      <x:c r="B278" s="90" t="str">
        <x:f>IF(D278="","",IF(COUNTIFS(Trips!$A$6:$A$105,D278)=1,INDEX(Trips!$B$6:$B$105,MATCH(D278,Trips!$A$6:$A$105,0)),""))</x:f>
      </x:c>
      <x:c r="C278" s="90" t="str">
        <x:f>IF(D278="","",IF(COUNTIFS(Trips!$A$6:$A$105,D278)=1,INDEX(Trips!$D$6:$D$105,MATCH(D278,Trips!$A$6:$A$105,0)),""))</x:f>
      </x:c>
      <x:c r="D278" s="107"/>
      <x:c r="E278" s="107"/>
      <x:c r="F278" s="90" t="str">
        <x:f>IF(E278="","",IF(COUNTIFS(Counters!$A$6:$A$105,E278)=1,INDEX(Counters!$B$6:$B$105,MATCH(E278,Counters!$A$6:$A$105,0)),""))</x:f>
      </x:c>
      <x:c r="G278" s="107"/>
      <x:c r="H278" s="98" t="str">
        <x:f>IF(C278="","",IF(COUNTIFS('Route List'!$F$6:$F$205,C278)=1,IF(COUNTIFS('Route List'!$F$6:$F$205,C278,'Route List'!$G$6:$G$205,"&lt;&gt;")=1,INDEX('Route List'!$G$6:$G$205,MATCH(C278,'Route List'!$F$6:$F$205,0)),"Enter route fare"),"Enter route fare"))</x:f>
      </x:c>
      <x:c r="I278" s="98" t="str">
        <x:f>IF(F278="","",IF(F278="Own",0,50))</x:f>
      </x:c>
      <x:c r="J278" s="98" t="str">
        <x:f>IF(OR(D278="",E278=""),"",IF(AND(ISNUMBER(G278),ISNUMBER(H278)),ROUND(G278*H278,2),""))</x:f>
      </x:c>
      <x:c r="K278" s="98" t="str">
        <x:f>IF(OR(D278="",E278=""),"",IF(AND(ISNUMBER(G278),ISNUMBER(I278)),ROUND(G278*I278,2),""))</x:f>
      </x:c>
      <x:c r="L278" s="98" t="str">
        <x:f>IF(OR(D278="",E278=""),"",IF(AND(ISNUMBER(J278),ISNUMBER(K278)),J278-K278,""))</x:f>
      </x:c>
      <x:c r="M278" s="114"/>
      <x:c r="N278" s="98" t="str">
        <x:f>IF(OR(D278="",E278=""),"",IF(COUNTIFS($D$6:D278,D278,$E$6:E278,E278)=1,MAX(SUMIFS($L$6:$L$505,$D$6:$D$505,D278,$E$6:$E$505,E278)-SUMIFS($M$6:$M$505,$D$6:$D$505,D278,$E$6:$E$505,E278),0),""))</x:f>
      </x:c>
    </x:row>
    <x:row r="279" ht="28" customHeight="1">
      <x:c r="A279" s="113" t="str">
        <x:f>IF(D279="","",IF(COUNTIFS(Trips!$A$6:$A$105,D279)=1,INDEX(Trips!$C$6:$C$105,MATCH(D279,Trips!$A$6:$A$105,0)),""))</x:f>
      </x:c>
      <x:c r="B279" s="90" t="str">
        <x:f>IF(D279="","",IF(COUNTIFS(Trips!$A$6:$A$105,D279)=1,INDEX(Trips!$B$6:$B$105,MATCH(D279,Trips!$A$6:$A$105,0)),""))</x:f>
      </x:c>
      <x:c r="C279" s="90" t="str">
        <x:f>IF(D279="","",IF(COUNTIFS(Trips!$A$6:$A$105,D279)=1,INDEX(Trips!$D$6:$D$105,MATCH(D279,Trips!$A$6:$A$105,0)),""))</x:f>
      </x:c>
      <x:c r="D279" s="107"/>
      <x:c r="E279" s="107"/>
      <x:c r="F279" s="90" t="str">
        <x:f>IF(E279="","",IF(COUNTIFS(Counters!$A$6:$A$105,E279)=1,INDEX(Counters!$B$6:$B$105,MATCH(E279,Counters!$A$6:$A$105,0)),""))</x:f>
      </x:c>
      <x:c r="G279" s="107"/>
      <x:c r="H279" s="98" t="str">
        <x:f>IF(C279="","",IF(COUNTIFS('Route List'!$F$6:$F$205,C279)=1,IF(COUNTIFS('Route List'!$F$6:$F$205,C279,'Route List'!$G$6:$G$205,"&lt;&gt;")=1,INDEX('Route List'!$G$6:$G$205,MATCH(C279,'Route List'!$F$6:$F$205,0)),"Enter route fare"),"Enter route fare"))</x:f>
      </x:c>
      <x:c r="I279" s="98" t="str">
        <x:f>IF(F279="","",IF(F279="Own",0,50))</x:f>
      </x:c>
      <x:c r="J279" s="98" t="str">
        <x:f>IF(OR(D279="",E279=""),"",IF(AND(ISNUMBER(G279),ISNUMBER(H279)),ROUND(G279*H279,2),""))</x:f>
      </x:c>
      <x:c r="K279" s="98" t="str">
        <x:f>IF(OR(D279="",E279=""),"",IF(AND(ISNUMBER(G279),ISNUMBER(I279)),ROUND(G279*I279,2),""))</x:f>
      </x:c>
      <x:c r="L279" s="98" t="str">
        <x:f>IF(OR(D279="",E279=""),"",IF(AND(ISNUMBER(J279),ISNUMBER(K279)),J279-K279,""))</x:f>
      </x:c>
      <x:c r="M279" s="114"/>
      <x:c r="N279" s="98" t="str">
        <x:f>IF(OR(D279="",E279=""),"",IF(COUNTIFS($D$6:D279,D279,$E$6:E279,E279)=1,MAX(SUMIFS($L$6:$L$505,$D$6:$D$505,D279,$E$6:$E$505,E279)-SUMIFS($M$6:$M$505,$D$6:$D$505,D279,$E$6:$E$505,E279),0),""))</x:f>
      </x:c>
    </x:row>
    <x:row r="280" ht="28" customHeight="1">
      <x:c r="A280" s="113" t="str">
        <x:f>IF(D280="","",IF(COUNTIFS(Trips!$A$6:$A$105,D280)=1,INDEX(Trips!$C$6:$C$105,MATCH(D280,Trips!$A$6:$A$105,0)),""))</x:f>
      </x:c>
      <x:c r="B280" s="90" t="str">
        <x:f>IF(D280="","",IF(COUNTIFS(Trips!$A$6:$A$105,D280)=1,INDEX(Trips!$B$6:$B$105,MATCH(D280,Trips!$A$6:$A$105,0)),""))</x:f>
      </x:c>
      <x:c r="C280" s="90" t="str">
        <x:f>IF(D280="","",IF(COUNTIFS(Trips!$A$6:$A$105,D280)=1,INDEX(Trips!$D$6:$D$105,MATCH(D280,Trips!$A$6:$A$105,0)),""))</x:f>
      </x:c>
      <x:c r="D280" s="107"/>
      <x:c r="E280" s="107"/>
      <x:c r="F280" s="90" t="str">
        <x:f>IF(E280="","",IF(COUNTIFS(Counters!$A$6:$A$105,E280)=1,INDEX(Counters!$B$6:$B$105,MATCH(E280,Counters!$A$6:$A$105,0)),""))</x:f>
      </x:c>
      <x:c r="G280" s="107"/>
      <x:c r="H280" s="98" t="str">
        <x:f>IF(C280="","",IF(COUNTIFS('Route List'!$F$6:$F$205,C280)=1,IF(COUNTIFS('Route List'!$F$6:$F$205,C280,'Route List'!$G$6:$G$205,"&lt;&gt;")=1,INDEX('Route List'!$G$6:$G$205,MATCH(C280,'Route List'!$F$6:$F$205,0)),"Enter route fare"),"Enter route fare"))</x:f>
      </x:c>
      <x:c r="I280" s="98" t="str">
        <x:f>IF(F280="","",IF(F280="Own",0,50))</x:f>
      </x:c>
      <x:c r="J280" s="98" t="str">
        <x:f>IF(OR(D280="",E280=""),"",IF(AND(ISNUMBER(G280),ISNUMBER(H280)),ROUND(G280*H280,2),""))</x:f>
      </x:c>
      <x:c r="K280" s="98" t="str">
        <x:f>IF(OR(D280="",E280=""),"",IF(AND(ISNUMBER(G280),ISNUMBER(I280)),ROUND(G280*I280,2),""))</x:f>
      </x:c>
      <x:c r="L280" s="98" t="str">
        <x:f>IF(OR(D280="",E280=""),"",IF(AND(ISNUMBER(J280),ISNUMBER(K280)),J280-K280,""))</x:f>
      </x:c>
      <x:c r="M280" s="114"/>
      <x:c r="N280" s="98" t="str">
        <x:f>IF(OR(D280="",E280=""),"",IF(COUNTIFS($D$6:D280,D280,$E$6:E280,E280)=1,MAX(SUMIFS($L$6:$L$505,$D$6:$D$505,D280,$E$6:$E$505,E280)-SUMIFS($M$6:$M$505,$D$6:$D$505,D280,$E$6:$E$505,E280),0),""))</x:f>
      </x:c>
    </x:row>
    <x:row r="281" ht="28" customHeight="1">
      <x:c r="A281" s="113" t="str">
        <x:f>IF(D281="","",IF(COUNTIFS(Trips!$A$6:$A$105,D281)=1,INDEX(Trips!$C$6:$C$105,MATCH(D281,Trips!$A$6:$A$105,0)),""))</x:f>
      </x:c>
      <x:c r="B281" s="90" t="str">
        <x:f>IF(D281="","",IF(COUNTIFS(Trips!$A$6:$A$105,D281)=1,INDEX(Trips!$B$6:$B$105,MATCH(D281,Trips!$A$6:$A$105,0)),""))</x:f>
      </x:c>
      <x:c r="C281" s="90" t="str">
        <x:f>IF(D281="","",IF(COUNTIFS(Trips!$A$6:$A$105,D281)=1,INDEX(Trips!$D$6:$D$105,MATCH(D281,Trips!$A$6:$A$105,0)),""))</x:f>
      </x:c>
      <x:c r="D281" s="107"/>
      <x:c r="E281" s="107"/>
      <x:c r="F281" s="90" t="str">
        <x:f>IF(E281="","",IF(COUNTIFS(Counters!$A$6:$A$105,E281)=1,INDEX(Counters!$B$6:$B$105,MATCH(E281,Counters!$A$6:$A$105,0)),""))</x:f>
      </x:c>
      <x:c r="G281" s="107"/>
      <x:c r="H281" s="98" t="str">
        <x:f>IF(C281="","",IF(COUNTIFS('Route List'!$F$6:$F$205,C281)=1,IF(COUNTIFS('Route List'!$F$6:$F$205,C281,'Route List'!$G$6:$G$205,"&lt;&gt;")=1,INDEX('Route List'!$G$6:$G$205,MATCH(C281,'Route List'!$F$6:$F$205,0)),"Enter route fare"),"Enter route fare"))</x:f>
      </x:c>
      <x:c r="I281" s="98" t="str">
        <x:f>IF(F281="","",IF(F281="Own",0,50))</x:f>
      </x:c>
      <x:c r="J281" s="98" t="str">
        <x:f>IF(OR(D281="",E281=""),"",IF(AND(ISNUMBER(G281),ISNUMBER(H281)),ROUND(G281*H281,2),""))</x:f>
      </x:c>
      <x:c r="K281" s="98" t="str">
        <x:f>IF(OR(D281="",E281=""),"",IF(AND(ISNUMBER(G281),ISNUMBER(I281)),ROUND(G281*I281,2),""))</x:f>
      </x:c>
      <x:c r="L281" s="98" t="str">
        <x:f>IF(OR(D281="",E281=""),"",IF(AND(ISNUMBER(J281),ISNUMBER(K281)),J281-K281,""))</x:f>
      </x:c>
      <x:c r="M281" s="114"/>
      <x:c r="N281" s="98" t="str">
        <x:f>IF(OR(D281="",E281=""),"",IF(COUNTIFS($D$6:D281,D281,$E$6:E281,E281)=1,MAX(SUMIFS($L$6:$L$505,$D$6:$D$505,D281,$E$6:$E$505,E281)-SUMIFS($M$6:$M$505,$D$6:$D$505,D281,$E$6:$E$505,E281),0),""))</x:f>
      </x:c>
    </x:row>
    <x:row r="282" ht="28" customHeight="1">
      <x:c r="A282" s="113" t="str">
        <x:f>IF(D282="","",IF(COUNTIFS(Trips!$A$6:$A$105,D282)=1,INDEX(Trips!$C$6:$C$105,MATCH(D282,Trips!$A$6:$A$105,0)),""))</x:f>
      </x:c>
      <x:c r="B282" s="90" t="str">
        <x:f>IF(D282="","",IF(COUNTIFS(Trips!$A$6:$A$105,D282)=1,INDEX(Trips!$B$6:$B$105,MATCH(D282,Trips!$A$6:$A$105,0)),""))</x:f>
      </x:c>
      <x:c r="C282" s="90" t="str">
        <x:f>IF(D282="","",IF(COUNTIFS(Trips!$A$6:$A$105,D282)=1,INDEX(Trips!$D$6:$D$105,MATCH(D282,Trips!$A$6:$A$105,0)),""))</x:f>
      </x:c>
      <x:c r="D282" s="107"/>
      <x:c r="E282" s="107"/>
      <x:c r="F282" s="90" t="str">
        <x:f>IF(E282="","",IF(COUNTIFS(Counters!$A$6:$A$105,E282)=1,INDEX(Counters!$B$6:$B$105,MATCH(E282,Counters!$A$6:$A$105,0)),""))</x:f>
      </x:c>
      <x:c r="G282" s="107"/>
      <x:c r="H282" s="98" t="str">
        <x:f>IF(C282="","",IF(COUNTIFS('Route List'!$F$6:$F$205,C282)=1,IF(COUNTIFS('Route List'!$F$6:$F$205,C282,'Route List'!$G$6:$G$205,"&lt;&gt;")=1,INDEX('Route List'!$G$6:$G$205,MATCH(C282,'Route List'!$F$6:$F$205,0)),"Enter route fare"),"Enter route fare"))</x:f>
      </x:c>
      <x:c r="I282" s="98" t="str">
        <x:f>IF(F282="","",IF(F282="Own",0,50))</x:f>
      </x:c>
      <x:c r="J282" s="98" t="str">
        <x:f>IF(OR(D282="",E282=""),"",IF(AND(ISNUMBER(G282),ISNUMBER(H282)),ROUND(G282*H282,2),""))</x:f>
      </x:c>
      <x:c r="K282" s="98" t="str">
        <x:f>IF(OR(D282="",E282=""),"",IF(AND(ISNUMBER(G282),ISNUMBER(I282)),ROUND(G282*I282,2),""))</x:f>
      </x:c>
      <x:c r="L282" s="98" t="str">
        <x:f>IF(OR(D282="",E282=""),"",IF(AND(ISNUMBER(J282),ISNUMBER(K282)),J282-K282,""))</x:f>
      </x:c>
      <x:c r="M282" s="114"/>
      <x:c r="N282" s="98" t="str">
        <x:f>IF(OR(D282="",E282=""),"",IF(COUNTIFS($D$6:D282,D282,$E$6:E282,E282)=1,MAX(SUMIFS($L$6:$L$505,$D$6:$D$505,D282,$E$6:$E$505,E282)-SUMIFS($M$6:$M$505,$D$6:$D$505,D282,$E$6:$E$505,E282),0),""))</x:f>
      </x:c>
    </x:row>
    <x:row r="283" ht="28" customHeight="1">
      <x:c r="A283" s="113" t="str">
        <x:f>IF(D283="","",IF(COUNTIFS(Trips!$A$6:$A$105,D283)=1,INDEX(Trips!$C$6:$C$105,MATCH(D283,Trips!$A$6:$A$105,0)),""))</x:f>
      </x:c>
      <x:c r="B283" s="90" t="str">
        <x:f>IF(D283="","",IF(COUNTIFS(Trips!$A$6:$A$105,D283)=1,INDEX(Trips!$B$6:$B$105,MATCH(D283,Trips!$A$6:$A$105,0)),""))</x:f>
      </x:c>
      <x:c r="C283" s="90" t="str">
        <x:f>IF(D283="","",IF(COUNTIFS(Trips!$A$6:$A$105,D283)=1,INDEX(Trips!$D$6:$D$105,MATCH(D283,Trips!$A$6:$A$105,0)),""))</x:f>
      </x:c>
      <x:c r="D283" s="107"/>
      <x:c r="E283" s="107"/>
      <x:c r="F283" s="90" t="str">
        <x:f>IF(E283="","",IF(COUNTIFS(Counters!$A$6:$A$105,E283)=1,INDEX(Counters!$B$6:$B$105,MATCH(E283,Counters!$A$6:$A$105,0)),""))</x:f>
      </x:c>
      <x:c r="G283" s="107"/>
      <x:c r="H283" s="98" t="str">
        <x:f>IF(C283="","",IF(COUNTIFS('Route List'!$F$6:$F$205,C283)=1,IF(COUNTIFS('Route List'!$F$6:$F$205,C283,'Route List'!$G$6:$G$205,"&lt;&gt;")=1,INDEX('Route List'!$G$6:$G$205,MATCH(C283,'Route List'!$F$6:$F$205,0)),"Enter route fare"),"Enter route fare"))</x:f>
      </x:c>
      <x:c r="I283" s="98" t="str">
        <x:f>IF(F283="","",IF(F283="Own",0,50))</x:f>
      </x:c>
      <x:c r="J283" s="98" t="str">
        <x:f>IF(OR(D283="",E283=""),"",IF(AND(ISNUMBER(G283),ISNUMBER(H283)),ROUND(G283*H283,2),""))</x:f>
      </x:c>
      <x:c r="K283" s="98" t="str">
        <x:f>IF(OR(D283="",E283=""),"",IF(AND(ISNUMBER(G283),ISNUMBER(I283)),ROUND(G283*I283,2),""))</x:f>
      </x:c>
      <x:c r="L283" s="98" t="str">
        <x:f>IF(OR(D283="",E283=""),"",IF(AND(ISNUMBER(J283),ISNUMBER(K283)),J283-K283,""))</x:f>
      </x:c>
      <x:c r="M283" s="114"/>
      <x:c r="N283" s="98" t="str">
        <x:f>IF(OR(D283="",E283=""),"",IF(COUNTIFS($D$6:D283,D283,$E$6:E283,E283)=1,MAX(SUMIFS($L$6:$L$505,$D$6:$D$505,D283,$E$6:$E$505,E283)-SUMIFS($M$6:$M$505,$D$6:$D$505,D283,$E$6:$E$505,E283),0),""))</x:f>
      </x:c>
    </x:row>
    <x:row r="284" ht="28" customHeight="1">
      <x:c r="A284" s="113" t="str">
        <x:f>IF(D284="","",IF(COUNTIFS(Trips!$A$6:$A$105,D284)=1,INDEX(Trips!$C$6:$C$105,MATCH(D284,Trips!$A$6:$A$105,0)),""))</x:f>
      </x:c>
      <x:c r="B284" s="90" t="str">
        <x:f>IF(D284="","",IF(COUNTIFS(Trips!$A$6:$A$105,D284)=1,INDEX(Trips!$B$6:$B$105,MATCH(D284,Trips!$A$6:$A$105,0)),""))</x:f>
      </x:c>
      <x:c r="C284" s="90" t="str">
        <x:f>IF(D284="","",IF(COUNTIFS(Trips!$A$6:$A$105,D284)=1,INDEX(Trips!$D$6:$D$105,MATCH(D284,Trips!$A$6:$A$105,0)),""))</x:f>
      </x:c>
      <x:c r="D284" s="107"/>
      <x:c r="E284" s="107"/>
      <x:c r="F284" s="90" t="str">
        <x:f>IF(E284="","",IF(COUNTIFS(Counters!$A$6:$A$105,E284)=1,INDEX(Counters!$B$6:$B$105,MATCH(E284,Counters!$A$6:$A$105,0)),""))</x:f>
      </x:c>
      <x:c r="G284" s="107"/>
      <x:c r="H284" s="98" t="str">
        <x:f>IF(C284="","",IF(COUNTIFS('Route List'!$F$6:$F$205,C284)=1,IF(COUNTIFS('Route List'!$F$6:$F$205,C284,'Route List'!$G$6:$G$205,"&lt;&gt;")=1,INDEX('Route List'!$G$6:$G$205,MATCH(C284,'Route List'!$F$6:$F$205,0)),"Enter route fare"),"Enter route fare"))</x:f>
      </x:c>
      <x:c r="I284" s="98" t="str">
        <x:f>IF(F284="","",IF(F284="Own",0,50))</x:f>
      </x:c>
      <x:c r="J284" s="98" t="str">
        <x:f>IF(OR(D284="",E284=""),"",IF(AND(ISNUMBER(G284),ISNUMBER(H284)),ROUND(G284*H284,2),""))</x:f>
      </x:c>
      <x:c r="K284" s="98" t="str">
        <x:f>IF(OR(D284="",E284=""),"",IF(AND(ISNUMBER(G284),ISNUMBER(I284)),ROUND(G284*I284,2),""))</x:f>
      </x:c>
      <x:c r="L284" s="98" t="str">
        <x:f>IF(OR(D284="",E284=""),"",IF(AND(ISNUMBER(J284),ISNUMBER(K284)),J284-K284,""))</x:f>
      </x:c>
      <x:c r="M284" s="114"/>
      <x:c r="N284" s="98" t="str">
        <x:f>IF(OR(D284="",E284=""),"",IF(COUNTIFS($D$6:D284,D284,$E$6:E284,E284)=1,MAX(SUMIFS($L$6:$L$505,$D$6:$D$505,D284,$E$6:$E$505,E284)-SUMIFS($M$6:$M$505,$D$6:$D$505,D284,$E$6:$E$505,E284),0),""))</x:f>
      </x:c>
    </x:row>
    <x:row r="285" ht="28" customHeight="1">
      <x:c r="A285" s="113" t="str">
        <x:f>IF(D285="","",IF(COUNTIFS(Trips!$A$6:$A$105,D285)=1,INDEX(Trips!$C$6:$C$105,MATCH(D285,Trips!$A$6:$A$105,0)),""))</x:f>
      </x:c>
      <x:c r="B285" s="90" t="str">
        <x:f>IF(D285="","",IF(COUNTIFS(Trips!$A$6:$A$105,D285)=1,INDEX(Trips!$B$6:$B$105,MATCH(D285,Trips!$A$6:$A$105,0)),""))</x:f>
      </x:c>
      <x:c r="C285" s="90" t="str">
        <x:f>IF(D285="","",IF(COUNTIFS(Trips!$A$6:$A$105,D285)=1,INDEX(Trips!$D$6:$D$105,MATCH(D285,Trips!$A$6:$A$105,0)),""))</x:f>
      </x:c>
      <x:c r="D285" s="107"/>
      <x:c r="E285" s="107"/>
      <x:c r="F285" s="90" t="str">
        <x:f>IF(E285="","",IF(COUNTIFS(Counters!$A$6:$A$105,E285)=1,INDEX(Counters!$B$6:$B$105,MATCH(E285,Counters!$A$6:$A$105,0)),""))</x:f>
      </x:c>
      <x:c r="G285" s="107"/>
      <x:c r="H285" s="98" t="str">
        <x:f>IF(C285="","",IF(COUNTIFS('Route List'!$F$6:$F$205,C285)=1,IF(COUNTIFS('Route List'!$F$6:$F$205,C285,'Route List'!$G$6:$G$205,"&lt;&gt;")=1,INDEX('Route List'!$G$6:$G$205,MATCH(C285,'Route List'!$F$6:$F$205,0)),"Enter route fare"),"Enter route fare"))</x:f>
      </x:c>
      <x:c r="I285" s="98" t="str">
        <x:f>IF(F285="","",IF(F285="Own",0,50))</x:f>
      </x:c>
      <x:c r="J285" s="98" t="str">
        <x:f>IF(OR(D285="",E285=""),"",IF(AND(ISNUMBER(G285),ISNUMBER(H285)),ROUND(G285*H285,2),""))</x:f>
      </x:c>
      <x:c r="K285" s="98" t="str">
        <x:f>IF(OR(D285="",E285=""),"",IF(AND(ISNUMBER(G285),ISNUMBER(I285)),ROUND(G285*I285,2),""))</x:f>
      </x:c>
      <x:c r="L285" s="98" t="str">
        <x:f>IF(OR(D285="",E285=""),"",IF(AND(ISNUMBER(J285),ISNUMBER(K285)),J285-K285,""))</x:f>
      </x:c>
      <x:c r="M285" s="114"/>
      <x:c r="N285" s="98" t="str">
        <x:f>IF(OR(D285="",E285=""),"",IF(COUNTIFS($D$6:D285,D285,$E$6:E285,E285)=1,MAX(SUMIFS($L$6:$L$505,$D$6:$D$505,D285,$E$6:$E$505,E285)-SUMIFS($M$6:$M$505,$D$6:$D$505,D285,$E$6:$E$505,E285),0),""))</x:f>
      </x:c>
    </x:row>
    <x:row r="286" ht="28" customHeight="1">
      <x:c r="A286" s="113" t="str">
        <x:f>IF(D286="","",IF(COUNTIFS(Trips!$A$6:$A$105,D286)=1,INDEX(Trips!$C$6:$C$105,MATCH(D286,Trips!$A$6:$A$105,0)),""))</x:f>
      </x:c>
      <x:c r="B286" s="90" t="str">
        <x:f>IF(D286="","",IF(COUNTIFS(Trips!$A$6:$A$105,D286)=1,INDEX(Trips!$B$6:$B$105,MATCH(D286,Trips!$A$6:$A$105,0)),""))</x:f>
      </x:c>
      <x:c r="C286" s="90" t="str">
        <x:f>IF(D286="","",IF(COUNTIFS(Trips!$A$6:$A$105,D286)=1,INDEX(Trips!$D$6:$D$105,MATCH(D286,Trips!$A$6:$A$105,0)),""))</x:f>
      </x:c>
      <x:c r="D286" s="107"/>
      <x:c r="E286" s="107"/>
      <x:c r="F286" s="90" t="str">
        <x:f>IF(E286="","",IF(COUNTIFS(Counters!$A$6:$A$105,E286)=1,INDEX(Counters!$B$6:$B$105,MATCH(E286,Counters!$A$6:$A$105,0)),""))</x:f>
      </x:c>
      <x:c r="G286" s="107"/>
      <x:c r="H286" s="98" t="str">
        <x:f>IF(C286="","",IF(COUNTIFS('Route List'!$F$6:$F$205,C286)=1,IF(COUNTIFS('Route List'!$F$6:$F$205,C286,'Route List'!$G$6:$G$205,"&lt;&gt;")=1,INDEX('Route List'!$G$6:$G$205,MATCH(C286,'Route List'!$F$6:$F$205,0)),"Enter route fare"),"Enter route fare"))</x:f>
      </x:c>
      <x:c r="I286" s="98" t="str">
        <x:f>IF(F286="","",IF(F286="Own",0,50))</x:f>
      </x:c>
      <x:c r="J286" s="98" t="str">
        <x:f>IF(OR(D286="",E286=""),"",IF(AND(ISNUMBER(G286),ISNUMBER(H286)),ROUND(G286*H286,2),""))</x:f>
      </x:c>
      <x:c r="K286" s="98" t="str">
        <x:f>IF(OR(D286="",E286=""),"",IF(AND(ISNUMBER(G286),ISNUMBER(I286)),ROUND(G286*I286,2),""))</x:f>
      </x:c>
      <x:c r="L286" s="98" t="str">
        <x:f>IF(OR(D286="",E286=""),"",IF(AND(ISNUMBER(J286),ISNUMBER(K286)),J286-K286,""))</x:f>
      </x:c>
      <x:c r="M286" s="114"/>
      <x:c r="N286" s="98" t="str">
        <x:f>IF(OR(D286="",E286=""),"",IF(COUNTIFS($D$6:D286,D286,$E$6:E286,E286)=1,MAX(SUMIFS($L$6:$L$505,$D$6:$D$505,D286,$E$6:$E$505,E286)-SUMIFS($M$6:$M$505,$D$6:$D$505,D286,$E$6:$E$505,E286),0),""))</x:f>
      </x:c>
    </x:row>
    <x:row r="287" ht="28" customHeight="1">
      <x:c r="A287" s="113" t="str">
        <x:f>IF(D287="","",IF(COUNTIFS(Trips!$A$6:$A$105,D287)=1,INDEX(Trips!$C$6:$C$105,MATCH(D287,Trips!$A$6:$A$105,0)),""))</x:f>
      </x:c>
      <x:c r="B287" s="90" t="str">
        <x:f>IF(D287="","",IF(COUNTIFS(Trips!$A$6:$A$105,D287)=1,INDEX(Trips!$B$6:$B$105,MATCH(D287,Trips!$A$6:$A$105,0)),""))</x:f>
      </x:c>
      <x:c r="C287" s="90" t="str">
        <x:f>IF(D287="","",IF(COUNTIFS(Trips!$A$6:$A$105,D287)=1,INDEX(Trips!$D$6:$D$105,MATCH(D287,Trips!$A$6:$A$105,0)),""))</x:f>
      </x:c>
      <x:c r="D287" s="107"/>
      <x:c r="E287" s="107"/>
      <x:c r="F287" s="90" t="str">
        <x:f>IF(E287="","",IF(COUNTIFS(Counters!$A$6:$A$105,E287)=1,INDEX(Counters!$B$6:$B$105,MATCH(E287,Counters!$A$6:$A$105,0)),""))</x:f>
      </x:c>
      <x:c r="G287" s="107"/>
      <x:c r="H287" s="98" t="str">
        <x:f>IF(C287="","",IF(COUNTIFS('Route List'!$F$6:$F$205,C287)=1,IF(COUNTIFS('Route List'!$F$6:$F$205,C287,'Route List'!$G$6:$G$205,"&lt;&gt;")=1,INDEX('Route List'!$G$6:$G$205,MATCH(C287,'Route List'!$F$6:$F$205,0)),"Enter route fare"),"Enter route fare"))</x:f>
      </x:c>
      <x:c r="I287" s="98" t="str">
        <x:f>IF(F287="","",IF(F287="Own",0,50))</x:f>
      </x:c>
      <x:c r="J287" s="98" t="str">
        <x:f>IF(OR(D287="",E287=""),"",IF(AND(ISNUMBER(G287),ISNUMBER(H287)),ROUND(G287*H287,2),""))</x:f>
      </x:c>
      <x:c r="K287" s="98" t="str">
        <x:f>IF(OR(D287="",E287=""),"",IF(AND(ISNUMBER(G287),ISNUMBER(I287)),ROUND(G287*I287,2),""))</x:f>
      </x:c>
      <x:c r="L287" s="98" t="str">
        <x:f>IF(OR(D287="",E287=""),"",IF(AND(ISNUMBER(J287),ISNUMBER(K287)),J287-K287,""))</x:f>
      </x:c>
      <x:c r="M287" s="114"/>
      <x:c r="N287" s="98" t="str">
        <x:f>IF(OR(D287="",E287=""),"",IF(COUNTIFS($D$6:D287,D287,$E$6:E287,E287)=1,MAX(SUMIFS($L$6:$L$505,$D$6:$D$505,D287,$E$6:$E$505,E287)-SUMIFS($M$6:$M$505,$D$6:$D$505,D287,$E$6:$E$505,E287),0),""))</x:f>
      </x:c>
    </x:row>
    <x:row r="288" ht="28" customHeight="1">
      <x:c r="A288" s="113" t="str">
        <x:f>IF(D288="","",IF(COUNTIFS(Trips!$A$6:$A$105,D288)=1,INDEX(Trips!$C$6:$C$105,MATCH(D288,Trips!$A$6:$A$105,0)),""))</x:f>
      </x:c>
      <x:c r="B288" s="90" t="str">
        <x:f>IF(D288="","",IF(COUNTIFS(Trips!$A$6:$A$105,D288)=1,INDEX(Trips!$B$6:$B$105,MATCH(D288,Trips!$A$6:$A$105,0)),""))</x:f>
      </x:c>
      <x:c r="C288" s="90" t="str">
        <x:f>IF(D288="","",IF(COUNTIFS(Trips!$A$6:$A$105,D288)=1,INDEX(Trips!$D$6:$D$105,MATCH(D288,Trips!$A$6:$A$105,0)),""))</x:f>
      </x:c>
      <x:c r="D288" s="107"/>
      <x:c r="E288" s="107"/>
      <x:c r="F288" s="90" t="str">
        <x:f>IF(E288="","",IF(COUNTIFS(Counters!$A$6:$A$105,E288)=1,INDEX(Counters!$B$6:$B$105,MATCH(E288,Counters!$A$6:$A$105,0)),""))</x:f>
      </x:c>
      <x:c r="G288" s="107"/>
      <x:c r="H288" s="98" t="str">
        <x:f>IF(C288="","",IF(COUNTIFS('Route List'!$F$6:$F$205,C288)=1,IF(COUNTIFS('Route List'!$F$6:$F$205,C288,'Route List'!$G$6:$G$205,"&lt;&gt;")=1,INDEX('Route List'!$G$6:$G$205,MATCH(C288,'Route List'!$F$6:$F$205,0)),"Enter route fare"),"Enter route fare"))</x:f>
      </x:c>
      <x:c r="I288" s="98" t="str">
        <x:f>IF(F288="","",IF(F288="Own",0,50))</x:f>
      </x:c>
      <x:c r="J288" s="98" t="str">
        <x:f>IF(OR(D288="",E288=""),"",IF(AND(ISNUMBER(G288),ISNUMBER(H288)),ROUND(G288*H288,2),""))</x:f>
      </x:c>
      <x:c r="K288" s="98" t="str">
        <x:f>IF(OR(D288="",E288=""),"",IF(AND(ISNUMBER(G288),ISNUMBER(I288)),ROUND(G288*I288,2),""))</x:f>
      </x:c>
      <x:c r="L288" s="98" t="str">
        <x:f>IF(OR(D288="",E288=""),"",IF(AND(ISNUMBER(J288),ISNUMBER(K288)),J288-K288,""))</x:f>
      </x:c>
      <x:c r="M288" s="114"/>
      <x:c r="N288" s="98" t="str">
        <x:f>IF(OR(D288="",E288=""),"",IF(COUNTIFS($D$6:D288,D288,$E$6:E288,E288)=1,MAX(SUMIFS($L$6:$L$505,$D$6:$D$505,D288,$E$6:$E$505,E288)-SUMIFS($M$6:$M$505,$D$6:$D$505,D288,$E$6:$E$505,E288),0),""))</x:f>
      </x:c>
    </x:row>
    <x:row r="289" ht="28" customHeight="1">
      <x:c r="A289" s="113" t="str">
        <x:f>IF(D289="","",IF(COUNTIFS(Trips!$A$6:$A$105,D289)=1,INDEX(Trips!$C$6:$C$105,MATCH(D289,Trips!$A$6:$A$105,0)),""))</x:f>
      </x:c>
      <x:c r="B289" s="90" t="str">
        <x:f>IF(D289="","",IF(COUNTIFS(Trips!$A$6:$A$105,D289)=1,INDEX(Trips!$B$6:$B$105,MATCH(D289,Trips!$A$6:$A$105,0)),""))</x:f>
      </x:c>
      <x:c r="C289" s="90" t="str">
        <x:f>IF(D289="","",IF(COUNTIFS(Trips!$A$6:$A$105,D289)=1,INDEX(Trips!$D$6:$D$105,MATCH(D289,Trips!$A$6:$A$105,0)),""))</x:f>
      </x:c>
      <x:c r="D289" s="107"/>
      <x:c r="E289" s="107"/>
      <x:c r="F289" s="90" t="str">
        <x:f>IF(E289="","",IF(COUNTIFS(Counters!$A$6:$A$105,E289)=1,INDEX(Counters!$B$6:$B$105,MATCH(E289,Counters!$A$6:$A$105,0)),""))</x:f>
      </x:c>
      <x:c r="G289" s="107"/>
      <x:c r="H289" s="98" t="str">
        <x:f>IF(C289="","",IF(COUNTIFS('Route List'!$F$6:$F$205,C289)=1,IF(COUNTIFS('Route List'!$F$6:$F$205,C289,'Route List'!$G$6:$G$205,"&lt;&gt;")=1,INDEX('Route List'!$G$6:$G$205,MATCH(C289,'Route List'!$F$6:$F$205,0)),"Enter route fare"),"Enter route fare"))</x:f>
      </x:c>
      <x:c r="I289" s="98" t="str">
        <x:f>IF(F289="","",IF(F289="Own",0,50))</x:f>
      </x:c>
      <x:c r="J289" s="98" t="str">
        <x:f>IF(OR(D289="",E289=""),"",IF(AND(ISNUMBER(G289),ISNUMBER(H289)),ROUND(G289*H289,2),""))</x:f>
      </x:c>
      <x:c r="K289" s="98" t="str">
        <x:f>IF(OR(D289="",E289=""),"",IF(AND(ISNUMBER(G289),ISNUMBER(I289)),ROUND(G289*I289,2),""))</x:f>
      </x:c>
      <x:c r="L289" s="98" t="str">
        <x:f>IF(OR(D289="",E289=""),"",IF(AND(ISNUMBER(J289),ISNUMBER(K289)),J289-K289,""))</x:f>
      </x:c>
      <x:c r="M289" s="114"/>
      <x:c r="N289" s="98" t="str">
        <x:f>IF(OR(D289="",E289=""),"",IF(COUNTIFS($D$6:D289,D289,$E$6:E289,E289)=1,MAX(SUMIFS($L$6:$L$505,$D$6:$D$505,D289,$E$6:$E$505,E289)-SUMIFS($M$6:$M$505,$D$6:$D$505,D289,$E$6:$E$505,E289),0),""))</x:f>
      </x:c>
    </x:row>
    <x:row r="290" ht="28" customHeight="1">
      <x:c r="A290" s="113" t="str">
        <x:f>IF(D290="","",IF(COUNTIFS(Trips!$A$6:$A$105,D290)=1,INDEX(Trips!$C$6:$C$105,MATCH(D290,Trips!$A$6:$A$105,0)),""))</x:f>
      </x:c>
      <x:c r="B290" s="90" t="str">
        <x:f>IF(D290="","",IF(COUNTIFS(Trips!$A$6:$A$105,D290)=1,INDEX(Trips!$B$6:$B$105,MATCH(D290,Trips!$A$6:$A$105,0)),""))</x:f>
      </x:c>
      <x:c r="C290" s="90" t="str">
        <x:f>IF(D290="","",IF(COUNTIFS(Trips!$A$6:$A$105,D290)=1,INDEX(Trips!$D$6:$D$105,MATCH(D290,Trips!$A$6:$A$105,0)),""))</x:f>
      </x:c>
      <x:c r="D290" s="107"/>
      <x:c r="E290" s="107"/>
      <x:c r="F290" s="90" t="str">
        <x:f>IF(E290="","",IF(COUNTIFS(Counters!$A$6:$A$105,E290)=1,INDEX(Counters!$B$6:$B$105,MATCH(E290,Counters!$A$6:$A$105,0)),""))</x:f>
      </x:c>
      <x:c r="G290" s="107"/>
      <x:c r="H290" s="98" t="str">
        <x:f>IF(C290="","",IF(COUNTIFS('Route List'!$F$6:$F$205,C290)=1,IF(COUNTIFS('Route List'!$F$6:$F$205,C290,'Route List'!$G$6:$G$205,"&lt;&gt;")=1,INDEX('Route List'!$G$6:$G$205,MATCH(C290,'Route List'!$F$6:$F$205,0)),"Enter route fare"),"Enter route fare"))</x:f>
      </x:c>
      <x:c r="I290" s="98" t="str">
        <x:f>IF(F290="","",IF(F290="Own",0,50))</x:f>
      </x:c>
      <x:c r="J290" s="98" t="str">
        <x:f>IF(OR(D290="",E290=""),"",IF(AND(ISNUMBER(G290),ISNUMBER(H290)),ROUND(G290*H290,2),""))</x:f>
      </x:c>
      <x:c r="K290" s="98" t="str">
        <x:f>IF(OR(D290="",E290=""),"",IF(AND(ISNUMBER(G290),ISNUMBER(I290)),ROUND(G290*I290,2),""))</x:f>
      </x:c>
      <x:c r="L290" s="98" t="str">
        <x:f>IF(OR(D290="",E290=""),"",IF(AND(ISNUMBER(J290),ISNUMBER(K290)),J290-K290,""))</x:f>
      </x:c>
      <x:c r="M290" s="114"/>
      <x:c r="N290" s="98" t="str">
        <x:f>IF(OR(D290="",E290=""),"",IF(COUNTIFS($D$6:D290,D290,$E$6:E290,E290)=1,MAX(SUMIFS($L$6:$L$505,$D$6:$D$505,D290,$E$6:$E$505,E290)-SUMIFS($M$6:$M$505,$D$6:$D$505,D290,$E$6:$E$505,E290),0),""))</x:f>
      </x:c>
    </x:row>
    <x:row r="291" ht="28" customHeight="1">
      <x:c r="A291" s="113" t="str">
        <x:f>IF(D291="","",IF(COUNTIFS(Trips!$A$6:$A$105,D291)=1,INDEX(Trips!$C$6:$C$105,MATCH(D291,Trips!$A$6:$A$105,0)),""))</x:f>
      </x:c>
      <x:c r="B291" s="90" t="str">
        <x:f>IF(D291="","",IF(COUNTIFS(Trips!$A$6:$A$105,D291)=1,INDEX(Trips!$B$6:$B$105,MATCH(D291,Trips!$A$6:$A$105,0)),""))</x:f>
      </x:c>
      <x:c r="C291" s="90" t="str">
        <x:f>IF(D291="","",IF(COUNTIFS(Trips!$A$6:$A$105,D291)=1,INDEX(Trips!$D$6:$D$105,MATCH(D291,Trips!$A$6:$A$105,0)),""))</x:f>
      </x:c>
      <x:c r="D291" s="107"/>
      <x:c r="E291" s="107"/>
      <x:c r="F291" s="90" t="str">
        <x:f>IF(E291="","",IF(COUNTIFS(Counters!$A$6:$A$105,E291)=1,INDEX(Counters!$B$6:$B$105,MATCH(E291,Counters!$A$6:$A$105,0)),""))</x:f>
      </x:c>
      <x:c r="G291" s="107"/>
      <x:c r="H291" s="98" t="str">
        <x:f>IF(C291="","",IF(COUNTIFS('Route List'!$F$6:$F$205,C291)=1,IF(COUNTIFS('Route List'!$F$6:$F$205,C291,'Route List'!$G$6:$G$205,"&lt;&gt;")=1,INDEX('Route List'!$G$6:$G$205,MATCH(C291,'Route List'!$F$6:$F$205,0)),"Enter route fare"),"Enter route fare"))</x:f>
      </x:c>
      <x:c r="I291" s="98" t="str">
        <x:f>IF(F291="","",IF(F291="Own",0,50))</x:f>
      </x:c>
      <x:c r="J291" s="98" t="str">
        <x:f>IF(OR(D291="",E291=""),"",IF(AND(ISNUMBER(G291),ISNUMBER(H291)),ROUND(G291*H291,2),""))</x:f>
      </x:c>
      <x:c r="K291" s="98" t="str">
        <x:f>IF(OR(D291="",E291=""),"",IF(AND(ISNUMBER(G291),ISNUMBER(I291)),ROUND(G291*I291,2),""))</x:f>
      </x:c>
      <x:c r="L291" s="98" t="str">
        <x:f>IF(OR(D291="",E291=""),"",IF(AND(ISNUMBER(J291),ISNUMBER(K291)),J291-K291,""))</x:f>
      </x:c>
      <x:c r="M291" s="114"/>
      <x:c r="N291" s="98" t="str">
        <x:f>IF(OR(D291="",E291=""),"",IF(COUNTIFS($D$6:D291,D291,$E$6:E291,E291)=1,MAX(SUMIFS($L$6:$L$505,$D$6:$D$505,D291,$E$6:$E$505,E291)-SUMIFS($M$6:$M$505,$D$6:$D$505,D291,$E$6:$E$505,E291),0),""))</x:f>
      </x:c>
    </x:row>
    <x:row r="292" ht="28" customHeight="1">
      <x:c r="A292" s="113" t="str">
        <x:f>IF(D292="","",IF(COUNTIFS(Trips!$A$6:$A$105,D292)=1,INDEX(Trips!$C$6:$C$105,MATCH(D292,Trips!$A$6:$A$105,0)),""))</x:f>
      </x:c>
      <x:c r="B292" s="90" t="str">
        <x:f>IF(D292="","",IF(COUNTIFS(Trips!$A$6:$A$105,D292)=1,INDEX(Trips!$B$6:$B$105,MATCH(D292,Trips!$A$6:$A$105,0)),""))</x:f>
      </x:c>
      <x:c r="C292" s="90" t="str">
        <x:f>IF(D292="","",IF(COUNTIFS(Trips!$A$6:$A$105,D292)=1,INDEX(Trips!$D$6:$D$105,MATCH(D292,Trips!$A$6:$A$105,0)),""))</x:f>
      </x:c>
      <x:c r="D292" s="107"/>
      <x:c r="E292" s="107"/>
      <x:c r="F292" s="90" t="str">
        <x:f>IF(E292="","",IF(COUNTIFS(Counters!$A$6:$A$105,E292)=1,INDEX(Counters!$B$6:$B$105,MATCH(E292,Counters!$A$6:$A$105,0)),""))</x:f>
      </x:c>
      <x:c r="G292" s="107"/>
      <x:c r="H292" s="98" t="str">
        <x:f>IF(C292="","",IF(COUNTIFS('Route List'!$F$6:$F$205,C292)=1,IF(COUNTIFS('Route List'!$F$6:$F$205,C292,'Route List'!$G$6:$G$205,"&lt;&gt;")=1,INDEX('Route List'!$G$6:$G$205,MATCH(C292,'Route List'!$F$6:$F$205,0)),"Enter route fare"),"Enter route fare"))</x:f>
      </x:c>
      <x:c r="I292" s="98" t="str">
        <x:f>IF(F292="","",IF(F292="Own",0,50))</x:f>
      </x:c>
      <x:c r="J292" s="98" t="str">
        <x:f>IF(OR(D292="",E292=""),"",IF(AND(ISNUMBER(G292),ISNUMBER(H292)),ROUND(G292*H292,2),""))</x:f>
      </x:c>
      <x:c r="K292" s="98" t="str">
        <x:f>IF(OR(D292="",E292=""),"",IF(AND(ISNUMBER(G292),ISNUMBER(I292)),ROUND(G292*I292,2),""))</x:f>
      </x:c>
      <x:c r="L292" s="98" t="str">
        <x:f>IF(OR(D292="",E292=""),"",IF(AND(ISNUMBER(J292),ISNUMBER(K292)),J292-K292,""))</x:f>
      </x:c>
      <x:c r="M292" s="114"/>
      <x:c r="N292" s="98" t="str">
        <x:f>IF(OR(D292="",E292=""),"",IF(COUNTIFS($D$6:D292,D292,$E$6:E292,E292)=1,MAX(SUMIFS($L$6:$L$505,$D$6:$D$505,D292,$E$6:$E$505,E292)-SUMIFS($M$6:$M$505,$D$6:$D$505,D292,$E$6:$E$505,E292),0),""))</x:f>
      </x:c>
    </x:row>
    <x:row r="293" ht="28" customHeight="1">
      <x:c r="A293" s="113" t="str">
        <x:f>IF(D293="","",IF(COUNTIFS(Trips!$A$6:$A$105,D293)=1,INDEX(Trips!$C$6:$C$105,MATCH(D293,Trips!$A$6:$A$105,0)),""))</x:f>
      </x:c>
      <x:c r="B293" s="90" t="str">
        <x:f>IF(D293="","",IF(COUNTIFS(Trips!$A$6:$A$105,D293)=1,INDEX(Trips!$B$6:$B$105,MATCH(D293,Trips!$A$6:$A$105,0)),""))</x:f>
      </x:c>
      <x:c r="C293" s="90" t="str">
        <x:f>IF(D293="","",IF(COUNTIFS(Trips!$A$6:$A$105,D293)=1,INDEX(Trips!$D$6:$D$105,MATCH(D293,Trips!$A$6:$A$105,0)),""))</x:f>
      </x:c>
      <x:c r="D293" s="107"/>
      <x:c r="E293" s="107"/>
      <x:c r="F293" s="90" t="str">
        <x:f>IF(E293="","",IF(COUNTIFS(Counters!$A$6:$A$105,E293)=1,INDEX(Counters!$B$6:$B$105,MATCH(E293,Counters!$A$6:$A$105,0)),""))</x:f>
      </x:c>
      <x:c r="G293" s="107"/>
      <x:c r="H293" s="98" t="str">
        <x:f>IF(C293="","",IF(COUNTIFS('Route List'!$F$6:$F$205,C293)=1,IF(COUNTIFS('Route List'!$F$6:$F$205,C293,'Route List'!$G$6:$G$205,"&lt;&gt;")=1,INDEX('Route List'!$G$6:$G$205,MATCH(C293,'Route List'!$F$6:$F$205,0)),"Enter route fare"),"Enter route fare"))</x:f>
      </x:c>
      <x:c r="I293" s="98" t="str">
        <x:f>IF(F293="","",IF(F293="Own",0,50))</x:f>
      </x:c>
      <x:c r="J293" s="98" t="str">
        <x:f>IF(OR(D293="",E293=""),"",IF(AND(ISNUMBER(G293),ISNUMBER(H293)),ROUND(G293*H293,2),""))</x:f>
      </x:c>
      <x:c r="K293" s="98" t="str">
        <x:f>IF(OR(D293="",E293=""),"",IF(AND(ISNUMBER(G293),ISNUMBER(I293)),ROUND(G293*I293,2),""))</x:f>
      </x:c>
      <x:c r="L293" s="98" t="str">
        <x:f>IF(OR(D293="",E293=""),"",IF(AND(ISNUMBER(J293),ISNUMBER(K293)),J293-K293,""))</x:f>
      </x:c>
      <x:c r="M293" s="114"/>
      <x:c r="N293" s="98" t="str">
        <x:f>IF(OR(D293="",E293=""),"",IF(COUNTIFS($D$6:D293,D293,$E$6:E293,E293)=1,MAX(SUMIFS($L$6:$L$505,$D$6:$D$505,D293,$E$6:$E$505,E293)-SUMIFS($M$6:$M$505,$D$6:$D$505,D293,$E$6:$E$505,E293),0),""))</x:f>
      </x:c>
    </x:row>
    <x:row r="294" ht="28" customHeight="1">
      <x:c r="A294" s="113" t="str">
        <x:f>IF(D294="","",IF(COUNTIFS(Trips!$A$6:$A$105,D294)=1,INDEX(Trips!$C$6:$C$105,MATCH(D294,Trips!$A$6:$A$105,0)),""))</x:f>
      </x:c>
      <x:c r="B294" s="90" t="str">
        <x:f>IF(D294="","",IF(COUNTIFS(Trips!$A$6:$A$105,D294)=1,INDEX(Trips!$B$6:$B$105,MATCH(D294,Trips!$A$6:$A$105,0)),""))</x:f>
      </x:c>
      <x:c r="C294" s="90" t="str">
        <x:f>IF(D294="","",IF(COUNTIFS(Trips!$A$6:$A$105,D294)=1,INDEX(Trips!$D$6:$D$105,MATCH(D294,Trips!$A$6:$A$105,0)),""))</x:f>
      </x:c>
      <x:c r="D294" s="107"/>
      <x:c r="E294" s="107"/>
      <x:c r="F294" s="90" t="str">
        <x:f>IF(E294="","",IF(COUNTIFS(Counters!$A$6:$A$105,E294)=1,INDEX(Counters!$B$6:$B$105,MATCH(E294,Counters!$A$6:$A$105,0)),""))</x:f>
      </x:c>
      <x:c r="G294" s="107"/>
      <x:c r="H294" s="98" t="str">
        <x:f>IF(C294="","",IF(COUNTIFS('Route List'!$F$6:$F$205,C294)=1,IF(COUNTIFS('Route List'!$F$6:$F$205,C294,'Route List'!$G$6:$G$205,"&lt;&gt;")=1,INDEX('Route List'!$G$6:$G$205,MATCH(C294,'Route List'!$F$6:$F$205,0)),"Enter route fare"),"Enter route fare"))</x:f>
      </x:c>
      <x:c r="I294" s="98" t="str">
        <x:f>IF(F294="","",IF(F294="Own",0,50))</x:f>
      </x:c>
      <x:c r="J294" s="98" t="str">
        <x:f>IF(OR(D294="",E294=""),"",IF(AND(ISNUMBER(G294),ISNUMBER(H294)),ROUND(G294*H294,2),""))</x:f>
      </x:c>
      <x:c r="K294" s="98" t="str">
        <x:f>IF(OR(D294="",E294=""),"",IF(AND(ISNUMBER(G294),ISNUMBER(I294)),ROUND(G294*I294,2),""))</x:f>
      </x:c>
      <x:c r="L294" s="98" t="str">
        <x:f>IF(OR(D294="",E294=""),"",IF(AND(ISNUMBER(J294),ISNUMBER(K294)),J294-K294,""))</x:f>
      </x:c>
      <x:c r="M294" s="114"/>
      <x:c r="N294" s="98" t="str">
        <x:f>IF(OR(D294="",E294=""),"",IF(COUNTIFS($D$6:D294,D294,$E$6:E294,E294)=1,MAX(SUMIFS($L$6:$L$505,$D$6:$D$505,D294,$E$6:$E$505,E294)-SUMIFS($M$6:$M$505,$D$6:$D$505,D294,$E$6:$E$505,E294),0),""))</x:f>
      </x:c>
    </x:row>
    <x:row r="295" ht="28" customHeight="1">
      <x:c r="A295" s="113" t="str">
        <x:f>IF(D295="","",IF(COUNTIFS(Trips!$A$6:$A$105,D295)=1,INDEX(Trips!$C$6:$C$105,MATCH(D295,Trips!$A$6:$A$105,0)),""))</x:f>
      </x:c>
      <x:c r="B295" s="90" t="str">
        <x:f>IF(D295="","",IF(COUNTIFS(Trips!$A$6:$A$105,D295)=1,INDEX(Trips!$B$6:$B$105,MATCH(D295,Trips!$A$6:$A$105,0)),""))</x:f>
      </x:c>
      <x:c r="C295" s="90" t="str">
        <x:f>IF(D295="","",IF(COUNTIFS(Trips!$A$6:$A$105,D295)=1,INDEX(Trips!$D$6:$D$105,MATCH(D295,Trips!$A$6:$A$105,0)),""))</x:f>
      </x:c>
      <x:c r="D295" s="107"/>
      <x:c r="E295" s="107"/>
      <x:c r="F295" s="90" t="str">
        <x:f>IF(E295="","",IF(COUNTIFS(Counters!$A$6:$A$105,E295)=1,INDEX(Counters!$B$6:$B$105,MATCH(E295,Counters!$A$6:$A$105,0)),""))</x:f>
      </x:c>
      <x:c r="G295" s="107"/>
      <x:c r="H295" s="98" t="str">
        <x:f>IF(C295="","",IF(COUNTIFS('Route List'!$F$6:$F$205,C295)=1,IF(COUNTIFS('Route List'!$F$6:$F$205,C295,'Route List'!$G$6:$G$205,"&lt;&gt;")=1,INDEX('Route List'!$G$6:$G$205,MATCH(C295,'Route List'!$F$6:$F$205,0)),"Enter route fare"),"Enter route fare"))</x:f>
      </x:c>
      <x:c r="I295" s="98" t="str">
        <x:f>IF(F295="","",IF(F295="Own",0,50))</x:f>
      </x:c>
      <x:c r="J295" s="98" t="str">
        <x:f>IF(OR(D295="",E295=""),"",IF(AND(ISNUMBER(G295),ISNUMBER(H295)),ROUND(G295*H295,2),""))</x:f>
      </x:c>
      <x:c r="K295" s="98" t="str">
        <x:f>IF(OR(D295="",E295=""),"",IF(AND(ISNUMBER(G295),ISNUMBER(I295)),ROUND(G295*I295,2),""))</x:f>
      </x:c>
      <x:c r="L295" s="98" t="str">
        <x:f>IF(OR(D295="",E295=""),"",IF(AND(ISNUMBER(J295),ISNUMBER(K295)),J295-K295,""))</x:f>
      </x:c>
      <x:c r="M295" s="114"/>
      <x:c r="N295" s="98" t="str">
        <x:f>IF(OR(D295="",E295=""),"",IF(COUNTIFS($D$6:D295,D295,$E$6:E295,E295)=1,MAX(SUMIFS($L$6:$L$505,$D$6:$D$505,D295,$E$6:$E$505,E295)-SUMIFS($M$6:$M$505,$D$6:$D$505,D295,$E$6:$E$505,E295),0),""))</x:f>
      </x:c>
    </x:row>
    <x:row r="296" ht="28" customHeight="1">
      <x:c r="A296" s="113" t="str">
        <x:f>IF(D296="","",IF(COUNTIFS(Trips!$A$6:$A$105,D296)=1,INDEX(Trips!$C$6:$C$105,MATCH(D296,Trips!$A$6:$A$105,0)),""))</x:f>
      </x:c>
      <x:c r="B296" s="90" t="str">
        <x:f>IF(D296="","",IF(COUNTIFS(Trips!$A$6:$A$105,D296)=1,INDEX(Trips!$B$6:$B$105,MATCH(D296,Trips!$A$6:$A$105,0)),""))</x:f>
      </x:c>
      <x:c r="C296" s="90" t="str">
        <x:f>IF(D296="","",IF(COUNTIFS(Trips!$A$6:$A$105,D296)=1,INDEX(Trips!$D$6:$D$105,MATCH(D296,Trips!$A$6:$A$105,0)),""))</x:f>
      </x:c>
      <x:c r="D296" s="107"/>
      <x:c r="E296" s="107"/>
      <x:c r="F296" s="90" t="str">
        <x:f>IF(E296="","",IF(COUNTIFS(Counters!$A$6:$A$105,E296)=1,INDEX(Counters!$B$6:$B$105,MATCH(E296,Counters!$A$6:$A$105,0)),""))</x:f>
      </x:c>
      <x:c r="G296" s="107"/>
      <x:c r="H296" s="98" t="str">
        <x:f>IF(C296="","",IF(COUNTIFS('Route List'!$F$6:$F$205,C296)=1,IF(COUNTIFS('Route List'!$F$6:$F$205,C296,'Route List'!$G$6:$G$205,"&lt;&gt;")=1,INDEX('Route List'!$G$6:$G$205,MATCH(C296,'Route List'!$F$6:$F$205,0)),"Enter route fare"),"Enter route fare"))</x:f>
      </x:c>
      <x:c r="I296" s="98" t="str">
        <x:f>IF(F296="","",IF(F296="Own",0,50))</x:f>
      </x:c>
      <x:c r="J296" s="98" t="str">
        <x:f>IF(OR(D296="",E296=""),"",IF(AND(ISNUMBER(G296),ISNUMBER(H296)),ROUND(G296*H296,2),""))</x:f>
      </x:c>
      <x:c r="K296" s="98" t="str">
        <x:f>IF(OR(D296="",E296=""),"",IF(AND(ISNUMBER(G296),ISNUMBER(I296)),ROUND(G296*I296,2),""))</x:f>
      </x:c>
      <x:c r="L296" s="98" t="str">
        <x:f>IF(OR(D296="",E296=""),"",IF(AND(ISNUMBER(J296),ISNUMBER(K296)),J296-K296,""))</x:f>
      </x:c>
      <x:c r="M296" s="114"/>
      <x:c r="N296" s="98" t="str">
        <x:f>IF(OR(D296="",E296=""),"",IF(COUNTIFS($D$6:D296,D296,$E$6:E296,E296)=1,MAX(SUMIFS($L$6:$L$505,$D$6:$D$505,D296,$E$6:$E$505,E296)-SUMIFS($M$6:$M$505,$D$6:$D$505,D296,$E$6:$E$505,E296),0),""))</x:f>
      </x:c>
    </x:row>
    <x:row r="297" ht="28" customHeight="1">
      <x:c r="A297" s="113" t="str">
        <x:f>IF(D297="","",IF(COUNTIFS(Trips!$A$6:$A$105,D297)=1,INDEX(Trips!$C$6:$C$105,MATCH(D297,Trips!$A$6:$A$105,0)),""))</x:f>
      </x:c>
      <x:c r="B297" s="90" t="str">
        <x:f>IF(D297="","",IF(COUNTIFS(Trips!$A$6:$A$105,D297)=1,INDEX(Trips!$B$6:$B$105,MATCH(D297,Trips!$A$6:$A$105,0)),""))</x:f>
      </x:c>
      <x:c r="C297" s="90" t="str">
        <x:f>IF(D297="","",IF(COUNTIFS(Trips!$A$6:$A$105,D297)=1,INDEX(Trips!$D$6:$D$105,MATCH(D297,Trips!$A$6:$A$105,0)),""))</x:f>
      </x:c>
      <x:c r="D297" s="107"/>
      <x:c r="E297" s="107"/>
      <x:c r="F297" s="90" t="str">
        <x:f>IF(E297="","",IF(COUNTIFS(Counters!$A$6:$A$105,E297)=1,INDEX(Counters!$B$6:$B$105,MATCH(E297,Counters!$A$6:$A$105,0)),""))</x:f>
      </x:c>
      <x:c r="G297" s="107"/>
      <x:c r="H297" s="98" t="str">
        <x:f>IF(C297="","",IF(COUNTIFS('Route List'!$F$6:$F$205,C297)=1,IF(COUNTIFS('Route List'!$F$6:$F$205,C297,'Route List'!$G$6:$G$205,"&lt;&gt;")=1,INDEX('Route List'!$G$6:$G$205,MATCH(C297,'Route List'!$F$6:$F$205,0)),"Enter route fare"),"Enter route fare"))</x:f>
      </x:c>
      <x:c r="I297" s="98" t="str">
        <x:f>IF(F297="","",IF(F297="Own",0,50))</x:f>
      </x:c>
      <x:c r="J297" s="98" t="str">
        <x:f>IF(OR(D297="",E297=""),"",IF(AND(ISNUMBER(G297),ISNUMBER(H297)),ROUND(G297*H297,2),""))</x:f>
      </x:c>
      <x:c r="K297" s="98" t="str">
        <x:f>IF(OR(D297="",E297=""),"",IF(AND(ISNUMBER(G297),ISNUMBER(I297)),ROUND(G297*I297,2),""))</x:f>
      </x:c>
      <x:c r="L297" s="98" t="str">
        <x:f>IF(OR(D297="",E297=""),"",IF(AND(ISNUMBER(J297),ISNUMBER(K297)),J297-K297,""))</x:f>
      </x:c>
      <x:c r="M297" s="114"/>
      <x:c r="N297" s="98" t="str">
        <x:f>IF(OR(D297="",E297=""),"",IF(COUNTIFS($D$6:D297,D297,$E$6:E297,E297)=1,MAX(SUMIFS($L$6:$L$505,$D$6:$D$505,D297,$E$6:$E$505,E297)-SUMIFS($M$6:$M$505,$D$6:$D$505,D297,$E$6:$E$505,E297),0),""))</x:f>
      </x:c>
    </x:row>
    <x:row r="298" ht="28" customHeight="1">
      <x:c r="A298" s="113" t="str">
        <x:f>IF(D298="","",IF(COUNTIFS(Trips!$A$6:$A$105,D298)=1,INDEX(Trips!$C$6:$C$105,MATCH(D298,Trips!$A$6:$A$105,0)),""))</x:f>
      </x:c>
      <x:c r="B298" s="90" t="str">
        <x:f>IF(D298="","",IF(COUNTIFS(Trips!$A$6:$A$105,D298)=1,INDEX(Trips!$B$6:$B$105,MATCH(D298,Trips!$A$6:$A$105,0)),""))</x:f>
      </x:c>
      <x:c r="C298" s="90" t="str">
        <x:f>IF(D298="","",IF(COUNTIFS(Trips!$A$6:$A$105,D298)=1,INDEX(Trips!$D$6:$D$105,MATCH(D298,Trips!$A$6:$A$105,0)),""))</x:f>
      </x:c>
      <x:c r="D298" s="107"/>
      <x:c r="E298" s="107"/>
      <x:c r="F298" s="90" t="str">
        <x:f>IF(E298="","",IF(COUNTIFS(Counters!$A$6:$A$105,E298)=1,INDEX(Counters!$B$6:$B$105,MATCH(E298,Counters!$A$6:$A$105,0)),""))</x:f>
      </x:c>
      <x:c r="G298" s="107"/>
      <x:c r="H298" s="98" t="str">
        <x:f>IF(C298="","",IF(COUNTIFS('Route List'!$F$6:$F$205,C298)=1,IF(COUNTIFS('Route List'!$F$6:$F$205,C298,'Route List'!$G$6:$G$205,"&lt;&gt;")=1,INDEX('Route List'!$G$6:$G$205,MATCH(C298,'Route List'!$F$6:$F$205,0)),"Enter route fare"),"Enter route fare"))</x:f>
      </x:c>
      <x:c r="I298" s="98" t="str">
        <x:f>IF(F298="","",IF(F298="Own",0,50))</x:f>
      </x:c>
      <x:c r="J298" s="98" t="str">
        <x:f>IF(OR(D298="",E298=""),"",IF(AND(ISNUMBER(G298),ISNUMBER(H298)),ROUND(G298*H298,2),""))</x:f>
      </x:c>
      <x:c r="K298" s="98" t="str">
        <x:f>IF(OR(D298="",E298=""),"",IF(AND(ISNUMBER(G298),ISNUMBER(I298)),ROUND(G298*I298,2),""))</x:f>
      </x:c>
      <x:c r="L298" s="98" t="str">
        <x:f>IF(OR(D298="",E298=""),"",IF(AND(ISNUMBER(J298),ISNUMBER(K298)),J298-K298,""))</x:f>
      </x:c>
      <x:c r="M298" s="114"/>
      <x:c r="N298" s="98" t="str">
        <x:f>IF(OR(D298="",E298=""),"",IF(COUNTIFS($D$6:D298,D298,$E$6:E298,E298)=1,MAX(SUMIFS($L$6:$L$505,$D$6:$D$505,D298,$E$6:$E$505,E298)-SUMIFS($M$6:$M$505,$D$6:$D$505,D298,$E$6:$E$505,E298),0),""))</x:f>
      </x:c>
    </x:row>
    <x:row r="299" ht="28" customHeight="1">
      <x:c r="A299" s="113" t="str">
        <x:f>IF(D299="","",IF(COUNTIFS(Trips!$A$6:$A$105,D299)=1,INDEX(Trips!$C$6:$C$105,MATCH(D299,Trips!$A$6:$A$105,0)),""))</x:f>
      </x:c>
      <x:c r="B299" s="90" t="str">
        <x:f>IF(D299="","",IF(COUNTIFS(Trips!$A$6:$A$105,D299)=1,INDEX(Trips!$B$6:$B$105,MATCH(D299,Trips!$A$6:$A$105,0)),""))</x:f>
      </x:c>
      <x:c r="C299" s="90" t="str">
        <x:f>IF(D299="","",IF(COUNTIFS(Trips!$A$6:$A$105,D299)=1,INDEX(Trips!$D$6:$D$105,MATCH(D299,Trips!$A$6:$A$105,0)),""))</x:f>
      </x:c>
      <x:c r="D299" s="107"/>
      <x:c r="E299" s="107"/>
      <x:c r="F299" s="90" t="str">
        <x:f>IF(E299="","",IF(COUNTIFS(Counters!$A$6:$A$105,E299)=1,INDEX(Counters!$B$6:$B$105,MATCH(E299,Counters!$A$6:$A$105,0)),""))</x:f>
      </x:c>
      <x:c r="G299" s="107"/>
      <x:c r="H299" s="98" t="str">
        <x:f>IF(C299="","",IF(COUNTIFS('Route List'!$F$6:$F$205,C299)=1,IF(COUNTIFS('Route List'!$F$6:$F$205,C299,'Route List'!$G$6:$G$205,"&lt;&gt;")=1,INDEX('Route List'!$G$6:$G$205,MATCH(C299,'Route List'!$F$6:$F$205,0)),"Enter route fare"),"Enter route fare"))</x:f>
      </x:c>
      <x:c r="I299" s="98" t="str">
        <x:f>IF(F299="","",IF(F299="Own",0,50))</x:f>
      </x:c>
      <x:c r="J299" s="98" t="str">
        <x:f>IF(OR(D299="",E299=""),"",IF(AND(ISNUMBER(G299),ISNUMBER(H299)),ROUND(G299*H299,2),""))</x:f>
      </x:c>
      <x:c r="K299" s="98" t="str">
        <x:f>IF(OR(D299="",E299=""),"",IF(AND(ISNUMBER(G299),ISNUMBER(I299)),ROUND(G299*I299,2),""))</x:f>
      </x:c>
      <x:c r="L299" s="98" t="str">
        <x:f>IF(OR(D299="",E299=""),"",IF(AND(ISNUMBER(J299),ISNUMBER(K299)),J299-K299,""))</x:f>
      </x:c>
      <x:c r="M299" s="114"/>
      <x:c r="N299" s="98" t="str">
        <x:f>IF(OR(D299="",E299=""),"",IF(COUNTIFS($D$6:D299,D299,$E$6:E299,E299)=1,MAX(SUMIFS($L$6:$L$505,$D$6:$D$505,D299,$E$6:$E$505,E299)-SUMIFS($M$6:$M$505,$D$6:$D$505,D299,$E$6:$E$505,E299),0),""))</x:f>
      </x:c>
    </x:row>
    <x:row r="300" ht="28" customHeight="1">
      <x:c r="A300" s="113" t="str">
        <x:f>IF(D300="","",IF(COUNTIFS(Trips!$A$6:$A$105,D300)=1,INDEX(Trips!$C$6:$C$105,MATCH(D300,Trips!$A$6:$A$105,0)),""))</x:f>
      </x:c>
      <x:c r="B300" s="90" t="str">
        <x:f>IF(D300="","",IF(COUNTIFS(Trips!$A$6:$A$105,D300)=1,INDEX(Trips!$B$6:$B$105,MATCH(D300,Trips!$A$6:$A$105,0)),""))</x:f>
      </x:c>
      <x:c r="C300" s="90" t="str">
        <x:f>IF(D300="","",IF(COUNTIFS(Trips!$A$6:$A$105,D300)=1,INDEX(Trips!$D$6:$D$105,MATCH(D300,Trips!$A$6:$A$105,0)),""))</x:f>
      </x:c>
      <x:c r="D300" s="107"/>
      <x:c r="E300" s="107"/>
      <x:c r="F300" s="90" t="str">
        <x:f>IF(E300="","",IF(COUNTIFS(Counters!$A$6:$A$105,E300)=1,INDEX(Counters!$B$6:$B$105,MATCH(E300,Counters!$A$6:$A$105,0)),""))</x:f>
      </x:c>
      <x:c r="G300" s="107"/>
      <x:c r="H300" s="98" t="str">
        <x:f>IF(C300="","",IF(COUNTIFS('Route List'!$F$6:$F$205,C300)=1,IF(COUNTIFS('Route List'!$F$6:$F$205,C300,'Route List'!$G$6:$G$205,"&lt;&gt;")=1,INDEX('Route List'!$G$6:$G$205,MATCH(C300,'Route List'!$F$6:$F$205,0)),"Enter route fare"),"Enter route fare"))</x:f>
      </x:c>
      <x:c r="I300" s="98" t="str">
        <x:f>IF(F300="","",IF(F300="Own",0,50))</x:f>
      </x:c>
      <x:c r="J300" s="98" t="str">
        <x:f>IF(OR(D300="",E300=""),"",IF(AND(ISNUMBER(G300),ISNUMBER(H300)),ROUND(G300*H300,2),""))</x:f>
      </x:c>
      <x:c r="K300" s="98" t="str">
        <x:f>IF(OR(D300="",E300=""),"",IF(AND(ISNUMBER(G300),ISNUMBER(I300)),ROUND(G300*I300,2),""))</x:f>
      </x:c>
      <x:c r="L300" s="98" t="str">
        <x:f>IF(OR(D300="",E300=""),"",IF(AND(ISNUMBER(J300),ISNUMBER(K300)),J300-K300,""))</x:f>
      </x:c>
      <x:c r="M300" s="114"/>
      <x:c r="N300" s="98" t="str">
        <x:f>IF(OR(D300="",E300=""),"",IF(COUNTIFS($D$6:D300,D300,$E$6:E300,E300)=1,MAX(SUMIFS($L$6:$L$505,$D$6:$D$505,D300,$E$6:$E$505,E300)-SUMIFS($M$6:$M$505,$D$6:$D$505,D300,$E$6:$E$505,E300),0),""))</x:f>
      </x:c>
    </x:row>
    <x:row r="301" ht="28" customHeight="1">
      <x:c r="A301" s="113" t="str">
        <x:f>IF(D301="","",IF(COUNTIFS(Trips!$A$6:$A$105,D301)=1,INDEX(Trips!$C$6:$C$105,MATCH(D301,Trips!$A$6:$A$105,0)),""))</x:f>
      </x:c>
      <x:c r="B301" s="90" t="str">
        <x:f>IF(D301="","",IF(COUNTIFS(Trips!$A$6:$A$105,D301)=1,INDEX(Trips!$B$6:$B$105,MATCH(D301,Trips!$A$6:$A$105,0)),""))</x:f>
      </x:c>
      <x:c r="C301" s="90" t="str">
        <x:f>IF(D301="","",IF(COUNTIFS(Trips!$A$6:$A$105,D301)=1,INDEX(Trips!$D$6:$D$105,MATCH(D301,Trips!$A$6:$A$105,0)),""))</x:f>
      </x:c>
      <x:c r="D301" s="107"/>
      <x:c r="E301" s="107"/>
      <x:c r="F301" s="90" t="str">
        <x:f>IF(E301="","",IF(COUNTIFS(Counters!$A$6:$A$105,E301)=1,INDEX(Counters!$B$6:$B$105,MATCH(E301,Counters!$A$6:$A$105,0)),""))</x:f>
      </x:c>
      <x:c r="G301" s="107"/>
      <x:c r="H301" s="98" t="str">
        <x:f>IF(C301="","",IF(COUNTIFS('Route List'!$F$6:$F$205,C301)=1,IF(COUNTIFS('Route List'!$F$6:$F$205,C301,'Route List'!$G$6:$G$205,"&lt;&gt;")=1,INDEX('Route List'!$G$6:$G$205,MATCH(C301,'Route List'!$F$6:$F$205,0)),"Enter route fare"),"Enter route fare"))</x:f>
      </x:c>
      <x:c r="I301" s="98" t="str">
        <x:f>IF(F301="","",IF(F301="Own",0,50))</x:f>
      </x:c>
      <x:c r="J301" s="98" t="str">
        <x:f>IF(OR(D301="",E301=""),"",IF(AND(ISNUMBER(G301),ISNUMBER(H301)),ROUND(G301*H301,2),""))</x:f>
      </x:c>
      <x:c r="K301" s="98" t="str">
        <x:f>IF(OR(D301="",E301=""),"",IF(AND(ISNUMBER(G301),ISNUMBER(I301)),ROUND(G301*I301,2),""))</x:f>
      </x:c>
      <x:c r="L301" s="98" t="str">
        <x:f>IF(OR(D301="",E301=""),"",IF(AND(ISNUMBER(J301),ISNUMBER(K301)),J301-K301,""))</x:f>
      </x:c>
      <x:c r="M301" s="114"/>
      <x:c r="N301" s="98" t="str">
        <x:f>IF(OR(D301="",E301=""),"",IF(COUNTIFS($D$6:D301,D301,$E$6:E301,E301)=1,MAX(SUMIFS($L$6:$L$505,$D$6:$D$505,D301,$E$6:$E$505,E301)-SUMIFS($M$6:$M$505,$D$6:$D$505,D301,$E$6:$E$505,E301),0),""))</x:f>
      </x:c>
    </x:row>
    <x:row r="302" ht="28" customHeight="1">
      <x:c r="A302" s="113" t="str">
        <x:f>IF(D302="","",IF(COUNTIFS(Trips!$A$6:$A$105,D302)=1,INDEX(Trips!$C$6:$C$105,MATCH(D302,Trips!$A$6:$A$105,0)),""))</x:f>
      </x:c>
      <x:c r="B302" s="90" t="str">
        <x:f>IF(D302="","",IF(COUNTIFS(Trips!$A$6:$A$105,D302)=1,INDEX(Trips!$B$6:$B$105,MATCH(D302,Trips!$A$6:$A$105,0)),""))</x:f>
      </x:c>
      <x:c r="C302" s="90" t="str">
        <x:f>IF(D302="","",IF(COUNTIFS(Trips!$A$6:$A$105,D302)=1,INDEX(Trips!$D$6:$D$105,MATCH(D302,Trips!$A$6:$A$105,0)),""))</x:f>
      </x:c>
      <x:c r="D302" s="107"/>
      <x:c r="E302" s="107"/>
      <x:c r="F302" s="90" t="str">
        <x:f>IF(E302="","",IF(COUNTIFS(Counters!$A$6:$A$105,E302)=1,INDEX(Counters!$B$6:$B$105,MATCH(E302,Counters!$A$6:$A$105,0)),""))</x:f>
      </x:c>
      <x:c r="G302" s="107"/>
      <x:c r="H302" s="98" t="str">
        <x:f>IF(C302="","",IF(COUNTIFS('Route List'!$F$6:$F$205,C302)=1,IF(COUNTIFS('Route List'!$F$6:$F$205,C302,'Route List'!$G$6:$G$205,"&lt;&gt;")=1,INDEX('Route List'!$G$6:$G$205,MATCH(C302,'Route List'!$F$6:$F$205,0)),"Enter route fare"),"Enter route fare"))</x:f>
      </x:c>
      <x:c r="I302" s="98" t="str">
        <x:f>IF(F302="","",IF(F302="Own",0,50))</x:f>
      </x:c>
      <x:c r="J302" s="98" t="str">
        <x:f>IF(OR(D302="",E302=""),"",IF(AND(ISNUMBER(G302),ISNUMBER(H302)),ROUND(G302*H302,2),""))</x:f>
      </x:c>
      <x:c r="K302" s="98" t="str">
        <x:f>IF(OR(D302="",E302=""),"",IF(AND(ISNUMBER(G302),ISNUMBER(I302)),ROUND(G302*I302,2),""))</x:f>
      </x:c>
      <x:c r="L302" s="98" t="str">
        <x:f>IF(OR(D302="",E302=""),"",IF(AND(ISNUMBER(J302),ISNUMBER(K302)),J302-K302,""))</x:f>
      </x:c>
      <x:c r="M302" s="114"/>
      <x:c r="N302" s="98" t="str">
        <x:f>IF(OR(D302="",E302=""),"",IF(COUNTIFS($D$6:D302,D302,$E$6:E302,E302)=1,MAX(SUMIFS($L$6:$L$505,$D$6:$D$505,D302,$E$6:$E$505,E302)-SUMIFS($M$6:$M$505,$D$6:$D$505,D302,$E$6:$E$505,E302),0),""))</x:f>
      </x:c>
    </x:row>
    <x:row r="303" ht="28" customHeight="1">
      <x:c r="A303" s="113" t="str">
        <x:f>IF(D303="","",IF(COUNTIFS(Trips!$A$6:$A$105,D303)=1,INDEX(Trips!$C$6:$C$105,MATCH(D303,Trips!$A$6:$A$105,0)),""))</x:f>
      </x:c>
      <x:c r="B303" s="90" t="str">
        <x:f>IF(D303="","",IF(COUNTIFS(Trips!$A$6:$A$105,D303)=1,INDEX(Trips!$B$6:$B$105,MATCH(D303,Trips!$A$6:$A$105,0)),""))</x:f>
      </x:c>
      <x:c r="C303" s="90" t="str">
        <x:f>IF(D303="","",IF(COUNTIFS(Trips!$A$6:$A$105,D303)=1,INDEX(Trips!$D$6:$D$105,MATCH(D303,Trips!$A$6:$A$105,0)),""))</x:f>
      </x:c>
      <x:c r="D303" s="107"/>
      <x:c r="E303" s="107"/>
      <x:c r="F303" s="90" t="str">
        <x:f>IF(E303="","",IF(COUNTIFS(Counters!$A$6:$A$105,E303)=1,INDEX(Counters!$B$6:$B$105,MATCH(E303,Counters!$A$6:$A$105,0)),""))</x:f>
      </x:c>
      <x:c r="G303" s="107"/>
      <x:c r="H303" s="98" t="str">
        <x:f>IF(C303="","",IF(COUNTIFS('Route List'!$F$6:$F$205,C303)=1,IF(COUNTIFS('Route List'!$F$6:$F$205,C303,'Route List'!$G$6:$G$205,"&lt;&gt;")=1,INDEX('Route List'!$G$6:$G$205,MATCH(C303,'Route List'!$F$6:$F$205,0)),"Enter route fare"),"Enter route fare"))</x:f>
      </x:c>
      <x:c r="I303" s="98" t="str">
        <x:f>IF(F303="","",IF(F303="Own",0,50))</x:f>
      </x:c>
      <x:c r="J303" s="98" t="str">
        <x:f>IF(OR(D303="",E303=""),"",IF(AND(ISNUMBER(G303),ISNUMBER(H303)),ROUND(G303*H303,2),""))</x:f>
      </x:c>
      <x:c r="K303" s="98" t="str">
        <x:f>IF(OR(D303="",E303=""),"",IF(AND(ISNUMBER(G303),ISNUMBER(I303)),ROUND(G303*I303,2),""))</x:f>
      </x:c>
      <x:c r="L303" s="98" t="str">
        <x:f>IF(OR(D303="",E303=""),"",IF(AND(ISNUMBER(J303),ISNUMBER(K303)),J303-K303,""))</x:f>
      </x:c>
      <x:c r="M303" s="114"/>
      <x:c r="N303" s="98" t="str">
        <x:f>IF(OR(D303="",E303=""),"",IF(COUNTIFS($D$6:D303,D303,$E$6:E303,E303)=1,MAX(SUMIFS($L$6:$L$505,$D$6:$D$505,D303,$E$6:$E$505,E303)-SUMIFS($M$6:$M$505,$D$6:$D$505,D303,$E$6:$E$505,E303),0),""))</x:f>
      </x:c>
    </x:row>
    <x:row r="304" ht="28" customHeight="1">
      <x:c r="A304" s="113" t="str">
        <x:f>IF(D304="","",IF(COUNTIFS(Trips!$A$6:$A$105,D304)=1,INDEX(Trips!$C$6:$C$105,MATCH(D304,Trips!$A$6:$A$105,0)),""))</x:f>
      </x:c>
      <x:c r="B304" s="90" t="str">
        <x:f>IF(D304="","",IF(COUNTIFS(Trips!$A$6:$A$105,D304)=1,INDEX(Trips!$B$6:$B$105,MATCH(D304,Trips!$A$6:$A$105,0)),""))</x:f>
      </x:c>
      <x:c r="C304" s="90" t="str">
        <x:f>IF(D304="","",IF(COUNTIFS(Trips!$A$6:$A$105,D304)=1,INDEX(Trips!$D$6:$D$105,MATCH(D304,Trips!$A$6:$A$105,0)),""))</x:f>
      </x:c>
      <x:c r="D304" s="107"/>
      <x:c r="E304" s="107"/>
      <x:c r="F304" s="90" t="str">
        <x:f>IF(E304="","",IF(COUNTIFS(Counters!$A$6:$A$105,E304)=1,INDEX(Counters!$B$6:$B$105,MATCH(E304,Counters!$A$6:$A$105,0)),""))</x:f>
      </x:c>
      <x:c r="G304" s="107"/>
      <x:c r="H304" s="98" t="str">
        <x:f>IF(C304="","",IF(COUNTIFS('Route List'!$F$6:$F$205,C304)=1,IF(COUNTIFS('Route List'!$F$6:$F$205,C304,'Route List'!$G$6:$G$205,"&lt;&gt;")=1,INDEX('Route List'!$G$6:$G$205,MATCH(C304,'Route List'!$F$6:$F$205,0)),"Enter route fare"),"Enter route fare"))</x:f>
      </x:c>
      <x:c r="I304" s="98" t="str">
        <x:f>IF(F304="","",IF(F304="Own",0,50))</x:f>
      </x:c>
      <x:c r="J304" s="98" t="str">
        <x:f>IF(OR(D304="",E304=""),"",IF(AND(ISNUMBER(G304),ISNUMBER(H304)),ROUND(G304*H304,2),""))</x:f>
      </x:c>
      <x:c r="K304" s="98" t="str">
        <x:f>IF(OR(D304="",E304=""),"",IF(AND(ISNUMBER(G304),ISNUMBER(I304)),ROUND(G304*I304,2),""))</x:f>
      </x:c>
      <x:c r="L304" s="98" t="str">
        <x:f>IF(OR(D304="",E304=""),"",IF(AND(ISNUMBER(J304),ISNUMBER(K304)),J304-K304,""))</x:f>
      </x:c>
      <x:c r="M304" s="114"/>
      <x:c r="N304" s="98" t="str">
        <x:f>IF(OR(D304="",E304=""),"",IF(COUNTIFS($D$6:D304,D304,$E$6:E304,E304)=1,MAX(SUMIFS($L$6:$L$505,$D$6:$D$505,D304,$E$6:$E$505,E304)-SUMIFS($M$6:$M$505,$D$6:$D$505,D304,$E$6:$E$505,E304),0),""))</x:f>
      </x:c>
    </x:row>
    <x:row r="305" ht="28" customHeight="1">
      <x:c r="A305" s="113" t="str">
        <x:f>IF(D305="","",IF(COUNTIFS(Trips!$A$6:$A$105,D305)=1,INDEX(Trips!$C$6:$C$105,MATCH(D305,Trips!$A$6:$A$105,0)),""))</x:f>
      </x:c>
      <x:c r="B305" s="90" t="str">
        <x:f>IF(D305="","",IF(COUNTIFS(Trips!$A$6:$A$105,D305)=1,INDEX(Trips!$B$6:$B$105,MATCH(D305,Trips!$A$6:$A$105,0)),""))</x:f>
      </x:c>
      <x:c r="C305" s="90" t="str">
        <x:f>IF(D305="","",IF(COUNTIFS(Trips!$A$6:$A$105,D305)=1,INDEX(Trips!$D$6:$D$105,MATCH(D305,Trips!$A$6:$A$105,0)),""))</x:f>
      </x:c>
      <x:c r="D305" s="107"/>
      <x:c r="E305" s="107"/>
      <x:c r="F305" s="90" t="str">
        <x:f>IF(E305="","",IF(COUNTIFS(Counters!$A$6:$A$105,E305)=1,INDEX(Counters!$B$6:$B$105,MATCH(E305,Counters!$A$6:$A$105,0)),""))</x:f>
      </x:c>
      <x:c r="G305" s="107"/>
      <x:c r="H305" s="98" t="str">
        <x:f>IF(C305="","",IF(COUNTIFS('Route List'!$F$6:$F$205,C305)=1,IF(COUNTIFS('Route List'!$F$6:$F$205,C305,'Route List'!$G$6:$G$205,"&lt;&gt;")=1,INDEX('Route List'!$G$6:$G$205,MATCH(C305,'Route List'!$F$6:$F$205,0)),"Enter route fare"),"Enter route fare"))</x:f>
      </x:c>
      <x:c r="I305" s="98" t="str">
        <x:f>IF(F305="","",IF(F305="Own",0,50))</x:f>
      </x:c>
      <x:c r="J305" s="98" t="str">
        <x:f>IF(OR(D305="",E305=""),"",IF(AND(ISNUMBER(G305),ISNUMBER(H305)),ROUND(G305*H305,2),""))</x:f>
      </x:c>
      <x:c r="K305" s="98" t="str">
        <x:f>IF(OR(D305="",E305=""),"",IF(AND(ISNUMBER(G305),ISNUMBER(I305)),ROUND(G305*I305,2),""))</x:f>
      </x:c>
      <x:c r="L305" s="98" t="str">
        <x:f>IF(OR(D305="",E305=""),"",IF(AND(ISNUMBER(J305),ISNUMBER(K305)),J305-K305,""))</x:f>
      </x:c>
      <x:c r="M305" s="114"/>
      <x:c r="N305" s="98" t="str">
        <x:f>IF(OR(D305="",E305=""),"",IF(COUNTIFS($D$6:D305,D305,$E$6:E305,E305)=1,MAX(SUMIFS($L$6:$L$505,$D$6:$D$505,D305,$E$6:$E$505,E305)-SUMIFS($M$6:$M$505,$D$6:$D$505,D305,$E$6:$E$505,E305),0),""))</x:f>
      </x:c>
    </x:row>
    <x:row r="306" ht="28" customHeight="1">
      <x:c r="A306" s="113" t="str">
        <x:f>IF(D306="","",IF(COUNTIFS(Trips!$A$6:$A$105,D306)=1,INDEX(Trips!$C$6:$C$105,MATCH(D306,Trips!$A$6:$A$105,0)),""))</x:f>
      </x:c>
      <x:c r="B306" s="90" t="str">
        <x:f>IF(D306="","",IF(COUNTIFS(Trips!$A$6:$A$105,D306)=1,INDEX(Trips!$B$6:$B$105,MATCH(D306,Trips!$A$6:$A$105,0)),""))</x:f>
      </x:c>
      <x:c r="C306" s="90" t="str">
        <x:f>IF(D306="","",IF(COUNTIFS(Trips!$A$6:$A$105,D306)=1,INDEX(Trips!$D$6:$D$105,MATCH(D306,Trips!$A$6:$A$105,0)),""))</x:f>
      </x:c>
      <x:c r="D306" s="107"/>
      <x:c r="E306" s="107"/>
      <x:c r="F306" s="90" t="str">
        <x:f>IF(E306="","",IF(COUNTIFS(Counters!$A$6:$A$105,E306)=1,INDEX(Counters!$B$6:$B$105,MATCH(E306,Counters!$A$6:$A$105,0)),""))</x:f>
      </x:c>
      <x:c r="G306" s="107"/>
      <x:c r="H306" s="98" t="str">
        <x:f>IF(C306="","",IF(COUNTIFS('Route List'!$F$6:$F$205,C306)=1,IF(COUNTIFS('Route List'!$F$6:$F$205,C306,'Route List'!$G$6:$G$205,"&lt;&gt;")=1,INDEX('Route List'!$G$6:$G$205,MATCH(C306,'Route List'!$F$6:$F$205,0)),"Enter route fare"),"Enter route fare"))</x:f>
      </x:c>
      <x:c r="I306" s="98" t="str">
        <x:f>IF(F306="","",IF(F306="Own",0,50))</x:f>
      </x:c>
      <x:c r="J306" s="98" t="str">
        <x:f>IF(OR(D306="",E306=""),"",IF(AND(ISNUMBER(G306),ISNUMBER(H306)),ROUND(G306*H306,2),""))</x:f>
      </x:c>
      <x:c r="K306" s="98" t="str">
        <x:f>IF(OR(D306="",E306=""),"",IF(AND(ISNUMBER(G306),ISNUMBER(I306)),ROUND(G306*I306,2),""))</x:f>
      </x:c>
      <x:c r="L306" s="98" t="str">
        <x:f>IF(OR(D306="",E306=""),"",IF(AND(ISNUMBER(J306),ISNUMBER(K306)),J306-K306,""))</x:f>
      </x:c>
      <x:c r="M306" s="114"/>
      <x:c r="N306" s="98" t="str">
        <x:f>IF(OR(D306="",E306=""),"",IF(COUNTIFS($D$6:D306,D306,$E$6:E306,E306)=1,MAX(SUMIFS($L$6:$L$505,$D$6:$D$505,D306,$E$6:$E$505,E306)-SUMIFS($M$6:$M$505,$D$6:$D$505,D306,$E$6:$E$505,E306),0),""))</x:f>
      </x:c>
    </x:row>
    <x:row r="307" ht="28" customHeight="1">
      <x:c r="A307" s="113" t="str">
        <x:f>IF(D307="","",IF(COUNTIFS(Trips!$A$6:$A$105,D307)=1,INDEX(Trips!$C$6:$C$105,MATCH(D307,Trips!$A$6:$A$105,0)),""))</x:f>
      </x:c>
      <x:c r="B307" s="90" t="str">
        <x:f>IF(D307="","",IF(COUNTIFS(Trips!$A$6:$A$105,D307)=1,INDEX(Trips!$B$6:$B$105,MATCH(D307,Trips!$A$6:$A$105,0)),""))</x:f>
      </x:c>
      <x:c r="C307" s="90" t="str">
        <x:f>IF(D307="","",IF(COUNTIFS(Trips!$A$6:$A$105,D307)=1,INDEX(Trips!$D$6:$D$105,MATCH(D307,Trips!$A$6:$A$105,0)),""))</x:f>
      </x:c>
      <x:c r="D307" s="107"/>
      <x:c r="E307" s="107"/>
      <x:c r="F307" s="90" t="str">
        <x:f>IF(E307="","",IF(COUNTIFS(Counters!$A$6:$A$105,E307)=1,INDEX(Counters!$B$6:$B$105,MATCH(E307,Counters!$A$6:$A$105,0)),""))</x:f>
      </x:c>
      <x:c r="G307" s="107"/>
      <x:c r="H307" s="98" t="str">
        <x:f>IF(C307="","",IF(COUNTIFS('Route List'!$F$6:$F$205,C307)=1,IF(COUNTIFS('Route List'!$F$6:$F$205,C307,'Route List'!$G$6:$G$205,"&lt;&gt;")=1,INDEX('Route List'!$G$6:$G$205,MATCH(C307,'Route List'!$F$6:$F$205,0)),"Enter route fare"),"Enter route fare"))</x:f>
      </x:c>
      <x:c r="I307" s="98" t="str">
        <x:f>IF(F307="","",IF(F307="Own",0,50))</x:f>
      </x:c>
      <x:c r="J307" s="98" t="str">
        <x:f>IF(OR(D307="",E307=""),"",IF(AND(ISNUMBER(G307),ISNUMBER(H307)),ROUND(G307*H307,2),""))</x:f>
      </x:c>
      <x:c r="K307" s="98" t="str">
        <x:f>IF(OR(D307="",E307=""),"",IF(AND(ISNUMBER(G307),ISNUMBER(I307)),ROUND(G307*I307,2),""))</x:f>
      </x:c>
      <x:c r="L307" s="98" t="str">
        <x:f>IF(OR(D307="",E307=""),"",IF(AND(ISNUMBER(J307),ISNUMBER(K307)),J307-K307,""))</x:f>
      </x:c>
      <x:c r="M307" s="114"/>
      <x:c r="N307" s="98" t="str">
        <x:f>IF(OR(D307="",E307=""),"",IF(COUNTIFS($D$6:D307,D307,$E$6:E307,E307)=1,MAX(SUMIFS($L$6:$L$505,$D$6:$D$505,D307,$E$6:$E$505,E307)-SUMIFS($M$6:$M$505,$D$6:$D$505,D307,$E$6:$E$505,E307),0),""))</x:f>
      </x:c>
    </x:row>
    <x:row r="308" ht="28" customHeight="1">
      <x:c r="A308" s="113" t="str">
        <x:f>IF(D308="","",IF(COUNTIFS(Trips!$A$6:$A$105,D308)=1,INDEX(Trips!$C$6:$C$105,MATCH(D308,Trips!$A$6:$A$105,0)),""))</x:f>
      </x:c>
      <x:c r="B308" s="90" t="str">
        <x:f>IF(D308="","",IF(COUNTIFS(Trips!$A$6:$A$105,D308)=1,INDEX(Trips!$B$6:$B$105,MATCH(D308,Trips!$A$6:$A$105,0)),""))</x:f>
      </x:c>
      <x:c r="C308" s="90" t="str">
        <x:f>IF(D308="","",IF(COUNTIFS(Trips!$A$6:$A$105,D308)=1,INDEX(Trips!$D$6:$D$105,MATCH(D308,Trips!$A$6:$A$105,0)),""))</x:f>
      </x:c>
      <x:c r="D308" s="107"/>
      <x:c r="E308" s="107"/>
      <x:c r="F308" s="90" t="str">
        <x:f>IF(E308="","",IF(COUNTIFS(Counters!$A$6:$A$105,E308)=1,INDEX(Counters!$B$6:$B$105,MATCH(E308,Counters!$A$6:$A$105,0)),""))</x:f>
      </x:c>
      <x:c r="G308" s="107"/>
      <x:c r="H308" s="98" t="str">
        <x:f>IF(C308="","",IF(COUNTIFS('Route List'!$F$6:$F$205,C308)=1,IF(COUNTIFS('Route List'!$F$6:$F$205,C308,'Route List'!$G$6:$G$205,"&lt;&gt;")=1,INDEX('Route List'!$G$6:$G$205,MATCH(C308,'Route List'!$F$6:$F$205,0)),"Enter route fare"),"Enter route fare"))</x:f>
      </x:c>
      <x:c r="I308" s="98" t="str">
        <x:f>IF(F308="","",IF(F308="Own",0,50))</x:f>
      </x:c>
      <x:c r="J308" s="98" t="str">
        <x:f>IF(OR(D308="",E308=""),"",IF(AND(ISNUMBER(G308),ISNUMBER(H308)),ROUND(G308*H308,2),""))</x:f>
      </x:c>
      <x:c r="K308" s="98" t="str">
        <x:f>IF(OR(D308="",E308=""),"",IF(AND(ISNUMBER(G308),ISNUMBER(I308)),ROUND(G308*I308,2),""))</x:f>
      </x:c>
      <x:c r="L308" s="98" t="str">
        <x:f>IF(OR(D308="",E308=""),"",IF(AND(ISNUMBER(J308),ISNUMBER(K308)),J308-K308,""))</x:f>
      </x:c>
      <x:c r="M308" s="114"/>
      <x:c r="N308" s="98" t="str">
        <x:f>IF(OR(D308="",E308=""),"",IF(COUNTIFS($D$6:D308,D308,$E$6:E308,E308)=1,MAX(SUMIFS($L$6:$L$505,$D$6:$D$505,D308,$E$6:$E$505,E308)-SUMIFS($M$6:$M$505,$D$6:$D$505,D308,$E$6:$E$505,E308),0),""))</x:f>
      </x:c>
    </x:row>
    <x:row r="309" ht="28" customHeight="1">
      <x:c r="A309" s="113" t="str">
        <x:f>IF(D309="","",IF(COUNTIFS(Trips!$A$6:$A$105,D309)=1,INDEX(Trips!$C$6:$C$105,MATCH(D309,Trips!$A$6:$A$105,0)),""))</x:f>
      </x:c>
      <x:c r="B309" s="90" t="str">
        <x:f>IF(D309="","",IF(COUNTIFS(Trips!$A$6:$A$105,D309)=1,INDEX(Trips!$B$6:$B$105,MATCH(D309,Trips!$A$6:$A$105,0)),""))</x:f>
      </x:c>
      <x:c r="C309" s="90" t="str">
        <x:f>IF(D309="","",IF(COUNTIFS(Trips!$A$6:$A$105,D309)=1,INDEX(Trips!$D$6:$D$105,MATCH(D309,Trips!$A$6:$A$105,0)),""))</x:f>
      </x:c>
      <x:c r="D309" s="107"/>
      <x:c r="E309" s="107"/>
      <x:c r="F309" s="90" t="str">
        <x:f>IF(E309="","",IF(COUNTIFS(Counters!$A$6:$A$105,E309)=1,INDEX(Counters!$B$6:$B$105,MATCH(E309,Counters!$A$6:$A$105,0)),""))</x:f>
      </x:c>
      <x:c r="G309" s="107"/>
      <x:c r="H309" s="98" t="str">
        <x:f>IF(C309="","",IF(COUNTIFS('Route List'!$F$6:$F$205,C309)=1,IF(COUNTIFS('Route List'!$F$6:$F$205,C309,'Route List'!$G$6:$G$205,"&lt;&gt;")=1,INDEX('Route List'!$G$6:$G$205,MATCH(C309,'Route List'!$F$6:$F$205,0)),"Enter route fare"),"Enter route fare"))</x:f>
      </x:c>
      <x:c r="I309" s="98" t="str">
        <x:f>IF(F309="","",IF(F309="Own",0,50))</x:f>
      </x:c>
      <x:c r="J309" s="98" t="str">
        <x:f>IF(OR(D309="",E309=""),"",IF(AND(ISNUMBER(G309),ISNUMBER(H309)),ROUND(G309*H309,2),""))</x:f>
      </x:c>
      <x:c r="K309" s="98" t="str">
        <x:f>IF(OR(D309="",E309=""),"",IF(AND(ISNUMBER(G309),ISNUMBER(I309)),ROUND(G309*I309,2),""))</x:f>
      </x:c>
      <x:c r="L309" s="98" t="str">
        <x:f>IF(OR(D309="",E309=""),"",IF(AND(ISNUMBER(J309),ISNUMBER(K309)),J309-K309,""))</x:f>
      </x:c>
      <x:c r="M309" s="114"/>
      <x:c r="N309" s="98" t="str">
        <x:f>IF(OR(D309="",E309=""),"",IF(COUNTIFS($D$6:D309,D309,$E$6:E309,E309)=1,MAX(SUMIFS($L$6:$L$505,$D$6:$D$505,D309,$E$6:$E$505,E309)-SUMIFS($M$6:$M$505,$D$6:$D$505,D309,$E$6:$E$505,E309),0),""))</x:f>
      </x:c>
    </x:row>
    <x:row r="310" ht="28" customHeight="1">
      <x:c r="A310" s="113" t="str">
        <x:f>IF(D310="","",IF(COUNTIFS(Trips!$A$6:$A$105,D310)=1,INDEX(Trips!$C$6:$C$105,MATCH(D310,Trips!$A$6:$A$105,0)),""))</x:f>
      </x:c>
      <x:c r="B310" s="90" t="str">
        <x:f>IF(D310="","",IF(COUNTIFS(Trips!$A$6:$A$105,D310)=1,INDEX(Trips!$B$6:$B$105,MATCH(D310,Trips!$A$6:$A$105,0)),""))</x:f>
      </x:c>
      <x:c r="C310" s="90" t="str">
        <x:f>IF(D310="","",IF(COUNTIFS(Trips!$A$6:$A$105,D310)=1,INDEX(Trips!$D$6:$D$105,MATCH(D310,Trips!$A$6:$A$105,0)),""))</x:f>
      </x:c>
      <x:c r="D310" s="107"/>
      <x:c r="E310" s="107"/>
      <x:c r="F310" s="90" t="str">
        <x:f>IF(E310="","",IF(COUNTIFS(Counters!$A$6:$A$105,E310)=1,INDEX(Counters!$B$6:$B$105,MATCH(E310,Counters!$A$6:$A$105,0)),""))</x:f>
      </x:c>
      <x:c r="G310" s="107"/>
      <x:c r="H310" s="98" t="str">
        <x:f>IF(C310="","",IF(COUNTIFS('Route List'!$F$6:$F$205,C310)=1,IF(COUNTIFS('Route List'!$F$6:$F$205,C310,'Route List'!$G$6:$G$205,"&lt;&gt;")=1,INDEX('Route List'!$G$6:$G$205,MATCH(C310,'Route List'!$F$6:$F$205,0)),"Enter route fare"),"Enter route fare"))</x:f>
      </x:c>
      <x:c r="I310" s="98" t="str">
        <x:f>IF(F310="","",IF(F310="Own",0,50))</x:f>
      </x:c>
      <x:c r="J310" s="98" t="str">
        <x:f>IF(OR(D310="",E310=""),"",IF(AND(ISNUMBER(G310),ISNUMBER(H310)),ROUND(G310*H310,2),""))</x:f>
      </x:c>
      <x:c r="K310" s="98" t="str">
        <x:f>IF(OR(D310="",E310=""),"",IF(AND(ISNUMBER(G310),ISNUMBER(I310)),ROUND(G310*I310,2),""))</x:f>
      </x:c>
      <x:c r="L310" s="98" t="str">
        <x:f>IF(OR(D310="",E310=""),"",IF(AND(ISNUMBER(J310),ISNUMBER(K310)),J310-K310,""))</x:f>
      </x:c>
      <x:c r="M310" s="114"/>
      <x:c r="N310" s="98" t="str">
        <x:f>IF(OR(D310="",E310=""),"",IF(COUNTIFS($D$6:D310,D310,$E$6:E310,E310)=1,MAX(SUMIFS($L$6:$L$505,$D$6:$D$505,D310,$E$6:$E$505,E310)-SUMIFS($M$6:$M$505,$D$6:$D$505,D310,$E$6:$E$505,E310),0),""))</x:f>
      </x:c>
    </x:row>
    <x:row r="311" ht="28" customHeight="1">
      <x:c r="A311" s="113" t="str">
        <x:f>IF(D311="","",IF(COUNTIFS(Trips!$A$6:$A$105,D311)=1,INDEX(Trips!$C$6:$C$105,MATCH(D311,Trips!$A$6:$A$105,0)),""))</x:f>
      </x:c>
      <x:c r="B311" s="90" t="str">
        <x:f>IF(D311="","",IF(COUNTIFS(Trips!$A$6:$A$105,D311)=1,INDEX(Trips!$B$6:$B$105,MATCH(D311,Trips!$A$6:$A$105,0)),""))</x:f>
      </x:c>
      <x:c r="C311" s="90" t="str">
        <x:f>IF(D311="","",IF(COUNTIFS(Trips!$A$6:$A$105,D311)=1,INDEX(Trips!$D$6:$D$105,MATCH(D311,Trips!$A$6:$A$105,0)),""))</x:f>
      </x:c>
      <x:c r="D311" s="107"/>
      <x:c r="E311" s="107"/>
      <x:c r="F311" s="90" t="str">
        <x:f>IF(E311="","",IF(COUNTIFS(Counters!$A$6:$A$105,E311)=1,INDEX(Counters!$B$6:$B$105,MATCH(E311,Counters!$A$6:$A$105,0)),""))</x:f>
      </x:c>
      <x:c r="G311" s="107"/>
      <x:c r="H311" s="98" t="str">
        <x:f>IF(C311="","",IF(COUNTIFS('Route List'!$F$6:$F$205,C311)=1,IF(COUNTIFS('Route List'!$F$6:$F$205,C311,'Route List'!$G$6:$G$205,"&lt;&gt;")=1,INDEX('Route List'!$G$6:$G$205,MATCH(C311,'Route List'!$F$6:$F$205,0)),"Enter route fare"),"Enter route fare"))</x:f>
      </x:c>
      <x:c r="I311" s="98" t="str">
        <x:f>IF(F311="","",IF(F311="Own",0,50))</x:f>
      </x:c>
      <x:c r="J311" s="98" t="str">
        <x:f>IF(OR(D311="",E311=""),"",IF(AND(ISNUMBER(G311),ISNUMBER(H311)),ROUND(G311*H311,2),""))</x:f>
      </x:c>
      <x:c r="K311" s="98" t="str">
        <x:f>IF(OR(D311="",E311=""),"",IF(AND(ISNUMBER(G311),ISNUMBER(I311)),ROUND(G311*I311,2),""))</x:f>
      </x:c>
      <x:c r="L311" s="98" t="str">
        <x:f>IF(OR(D311="",E311=""),"",IF(AND(ISNUMBER(J311),ISNUMBER(K311)),J311-K311,""))</x:f>
      </x:c>
      <x:c r="M311" s="114"/>
      <x:c r="N311" s="98" t="str">
        <x:f>IF(OR(D311="",E311=""),"",IF(COUNTIFS($D$6:D311,D311,$E$6:E311,E311)=1,MAX(SUMIFS($L$6:$L$505,$D$6:$D$505,D311,$E$6:$E$505,E311)-SUMIFS($M$6:$M$505,$D$6:$D$505,D311,$E$6:$E$505,E311),0),""))</x:f>
      </x:c>
    </x:row>
    <x:row r="312" ht="28" customHeight="1">
      <x:c r="A312" s="113" t="str">
        <x:f>IF(D312="","",IF(COUNTIFS(Trips!$A$6:$A$105,D312)=1,INDEX(Trips!$C$6:$C$105,MATCH(D312,Trips!$A$6:$A$105,0)),""))</x:f>
      </x:c>
      <x:c r="B312" s="90" t="str">
        <x:f>IF(D312="","",IF(COUNTIFS(Trips!$A$6:$A$105,D312)=1,INDEX(Trips!$B$6:$B$105,MATCH(D312,Trips!$A$6:$A$105,0)),""))</x:f>
      </x:c>
      <x:c r="C312" s="90" t="str">
        <x:f>IF(D312="","",IF(COUNTIFS(Trips!$A$6:$A$105,D312)=1,INDEX(Trips!$D$6:$D$105,MATCH(D312,Trips!$A$6:$A$105,0)),""))</x:f>
      </x:c>
      <x:c r="D312" s="107"/>
      <x:c r="E312" s="107"/>
      <x:c r="F312" s="90" t="str">
        <x:f>IF(E312="","",IF(COUNTIFS(Counters!$A$6:$A$105,E312)=1,INDEX(Counters!$B$6:$B$105,MATCH(E312,Counters!$A$6:$A$105,0)),""))</x:f>
      </x:c>
      <x:c r="G312" s="107"/>
      <x:c r="H312" s="98" t="str">
        <x:f>IF(C312="","",IF(COUNTIFS('Route List'!$F$6:$F$205,C312)=1,IF(COUNTIFS('Route List'!$F$6:$F$205,C312,'Route List'!$G$6:$G$205,"&lt;&gt;")=1,INDEX('Route List'!$G$6:$G$205,MATCH(C312,'Route List'!$F$6:$F$205,0)),"Enter route fare"),"Enter route fare"))</x:f>
      </x:c>
      <x:c r="I312" s="98" t="str">
        <x:f>IF(F312="","",IF(F312="Own",0,50))</x:f>
      </x:c>
      <x:c r="J312" s="98" t="str">
        <x:f>IF(OR(D312="",E312=""),"",IF(AND(ISNUMBER(G312),ISNUMBER(H312)),ROUND(G312*H312,2),""))</x:f>
      </x:c>
      <x:c r="K312" s="98" t="str">
        <x:f>IF(OR(D312="",E312=""),"",IF(AND(ISNUMBER(G312),ISNUMBER(I312)),ROUND(G312*I312,2),""))</x:f>
      </x:c>
      <x:c r="L312" s="98" t="str">
        <x:f>IF(OR(D312="",E312=""),"",IF(AND(ISNUMBER(J312),ISNUMBER(K312)),J312-K312,""))</x:f>
      </x:c>
      <x:c r="M312" s="114"/>
      <x:c r="N312" s="98" t="str">
        <x:f>IF(OR(D312="",E312=""),"",IF(COUNTIFS($D$6:D312,D312,$E$6:E312,E312)=1,MAX(SUMIFS($L$6:$L$505,$D$6:$D$505,D312,$E$6:$E$505,E312)-SUMIFS($M$6:$M$505,$D$6:$D$505,D312,$E$6:$E$505,E312),0),""))</x:f>
      </x:c>
    </x:row>
    <x:row r="313" ht="28" customHeight="1">
      <x:c r="A313" s="113" t="str">
        <x:f>IF(D313="","",IF(COUNTIFS(Trips!$A$6:$A$105,D313)=1,INDEX(Trips!$C$6:$C$105,MATCH(D313,Trips!$A$6:$A$105,0)),""))</x:f>
      </x:c>
      <x:c r="B313" s="90" t="str">
        <x:f>IF(D313="","",IF(COUNTIFS(Trips!$A$6:$A$105,D313)=1,INDEX(Trips!$B$6:$B$105,MATCH(D313,Trips!$A$6:$A$105,0)),""))</x:f>
      </x:c>
      <x:c r="C313" s="90" t="str">
        <x:f>IF(D313="","",IF(COUNTIFS(Trips!$A$6:$A$105,D313)=1,INDEX(Trips!$D$6:$D$105,MATCH(D313,Trips!$A$6:$A$105,0)),""))</x:f>
      </x:c>
      <x:c r="D313" s="107"/>
      <x:c r="E313" s="107"/>
      <x:c r="F313" s="90" t="str">
        <x:f>IF(E313="","",IF(COUNTIFS(Counters!$A$6:$A$105,E313)=1,INDEX(Counters!$B$6:$B$105,MATCH(E313,Counters!$A$6:$A$105,0)),""))</x:f>
      </x:c>
      <x:c r="G313" s="107"/>
      <x:c r="H313" s="98" t="str">
        <x:f>IF(C313="","",IF(COUNTIFS('Route List'!$F$6:$F$205,C313)=1,IF(COUNTIFS('Route List'!$F$6:$F$205,C313,'Route List'!$G$6:$G$205,"&lt;&gt;")=1,INDEX('Route List'!$G$6:$G$205,MATCH(C313,'Route List'!$F$6:$F$205,0)),"Enter route fare"),"Enter route fare"))</x:f>
      </x:c>
      <x:c r="I313" s="98" t="str">
        <x:f>IF(F313="","",IF(F313="Own",0,50))</x:f>
      </x:c>
      <x:c r="J313" s="98" t="str">
        <x:f>IF(OR(D313="",E313=""),"",IF(AND(ISNUMBER(G313),ISNUMBER(H313)),ROUND(G313*H313,2),""))</x:f>
      </x:c>
      <x:c r="K313" s="98" t="str">
        <x:f>IF(OR(D313="",E313=""),"",IF(AND(ISNUMBER(G313),ISNUMBER(I313)),ROUND(G313*I313,2),""))</x:f>
      </x:c>
      <x:c r="L313" s="98" t="str">
        <x:f>IF(OR(D313="",E313=""),"",IF(AND(ISNUMBER(J313),ISNUMBER(K313)),J313-K313,""))</x:f>
      </x:c>
      <x:c r="M313" s="114"/>
      <x:c r="N313" s="98" t="str">
        <x:f>IF(OR(D313="",E313=""),"",IF(COUNTIFS($D$6:D313,D313,$E$6:E313,E313)=1,MAX(SUMIFS($L$6:$L$505,$D$6:$D$505,D313,$E$6:$E$505,E313)-SUMIFS($M$6:$M$505,$D$6:$D$505,D313,$E$6:$E$505,E313),0),""))</x:f>
      </x:c>
    </x:row>
    <x:row r="314" ht="28" customHeight="1">
      <x:c r="A314" s="113" t="str">
        <x:f>IF(D314="","",IF(COUNTIFS(Trips!$A$6:$A$105,D314)=1,INDEX(Trips!$C$6:$C$105,MATCH(D314,Trips!$A$6:$A$105,0)),""))</x:f>
      </x:c>
      <x:c r="B314" s="90" t="str">
        <x:f>IF(D314="","",IF(COUNTIFS(Trips!$A$6:$A$105,D314)=1,INDEX(Trips!$B$6:$B$105,MATCH(D314,Trips!$A$6:$A$105,0)),""))</x:f>
      </x:c>
      <x:c r="C314" s="90" t="str">
        <x:f>IF(D314="","",IF(COUNTIFS(Trips!$A$6:$A$105,D314)=1,INDEX(Trips!$D$6:$D$105,MATCH(D314,Trips!$A$6:$A$105,0)),""))</x:f>
      </x:c>
      <x:c r="D314" s="107"/>
      <x:c r="E314" s="107"/>
      <x:c r="F314" s="90" t="str">
        <x:f>IF(E314="","",IF(COUNTIFS(Counters!$A$6:$A$105,E314)=1,INDEX(Counters!$B$6:$B$105,MATCH(E314,Counters!$A$6:$A$105,0)),""))</x:f>
      </x:c>
      <x:c r="G314" s="107"/>
      <x:c r="H314" s="98" t="str">
        <x:f>IF(C314="","",IF(COUNTIFS('Route List'!$F$6:$F$205,C314)=1,IF(COUNTIFS('Route List'!$F$6:$F$205,C314,'Route List'!$G$6:$G$205,"&lt;&gt;")=1,INDEX('Route List'!$G$6:$G$205,MATCH(C314,'Route List'!$F$6:$F$205,0)),"Enter route fare"),"Enter route fare"))</x:f>
      </x:c>
      <x:c r="I314" s="98" t="str">
        <x:f>IF(F314="","",IF(F314="Own",0,50))</x:f>
      </x:c>
      <x:c r="J314" s="98" t="str">
        <x:f>IF(OR(D314="",E314=""),"",IF(AND(ISNUMBER(G314),ISNUMBER(H314)),ROUND(G314*H314,2),""))</x:f>
      </x:c>
      <x:c r="K314" s="98" t="str">
        <x:f>IF(OR(D314="",E314=""),"",IF(AND(ISNUMBER(G314),ISNUMBER(I314)),ROUND(G314*I314,2),""))</x:f>
      </x:c>
      <x:c r="L314" s="98" t="str">
        <x:f>IF(OR(D314="",E314=""),"",IF(AND(ISNUMBER(J314),ISNUMBER(K314)),J314-K314,""))</x:f>
      </x:c>
      <x:c r="M314" s="114"/>
      <x:c r="N314" s="98" t="str">
        <x:f>IF(OR(D314="",E314=""),"",IF(COUNTIFS($D$6:D314,D314,$E$6:E314,E314)=1,MAX(SUMIFS($L$6:$L$505,$D$6:$D$505,D314,$E$6:$E$505,E314)-SUMIFS($M$6:$M$505,$D$6:$D$505,D314,$E$6:$E$505,E314),0),""))</x:f>
      </x:c>
    </x:row>
    <x:row r="315" ht="28" customHeight="1">
      <x:c r="A315" s="113" t="str">
        <x:f>IF(D315="","",IF(COUNTIFS(Trips!$A$6:$A$105,D315)=1,INDEX(Trips!$C$6:$C$105,MATCH(D315,Trips!$A$6:$A$105,0)),""))</x:f>
      </x:c>
      <x:c r="B315" s="90" t="str">
        <x:f>IF(D315="","",IF(COUNTIFS(Trips!$A$6:$A$105,D315)=1,INDEX(Trips!$B$6:$B$105,MATCH(D315,Trips!$A$6:$A$105,0)),""))</x:f>
      </x:c>
      <x:c r="C315" s="90" t="str">
        <x:f>IF(D315="","",IF(COUNTIFS(Trips!$A$6:$A$105,D315)=1,INDEX(Trips!$D$6:$D$105,MATCH(D315,Trips!$A$6:$A$105,0)),""))</x:f>
      </x:c>
      <x:c r="D315" s="107"/>
      <x:c r="E315" s="107"/>
      <x:c r="F315" s="90" t="str">
        <x:f>IF(E315="","",IF(COUNTIFS(Counters!$A$6:$A$105,E315)=1,INDEX(Counters!$B$6:$B$105,MATCH(E315,Counters!$A$6:$A$105,0)),""))</x:f>
      </x:c>
      <x:c r="G315" s="107"/>
      <x:c r="H315" s="98" t="str">
        <x:f>IF(C315="","",IF(COUNTIFS('Route List'!$F$6:$F$205,C315)=1,IF(COUNTIFS('Route List'!$F$6:$F$205,C315,'Route List'!$G$6:$G$205,"&lt;&gt;")=1,INDEX('Route List'!$G$6:$G$205,MATCH(C315,'Route List'!$F$6:$F$205,0)),"Enter route fare"),"Enter route fare"))</x:f>
      </x:c>
      <x:c r="I315" s="98" t="str">
        <x:f>IF(F315="","",IF(F315="Own",0,50))</x:f>
      </x:c>
      <x:c r="J315" s="98" t="str">
        <x:f>IF(OR(D315="",E315=""),"",IF(AND(ISNUMBER(G315),ISNUMBER(H315)),ROUND(G315*H315,2),""))</x:f>
      </x:c>
      <x:c r="K315" s="98" t="str">
        <x:f>IF(OR(D315="",E315=""),"",IF(AND(ISNUMBER(G315),ISNUMBER(I315)),ROUND(G315*I315,2),""))</x:f>
      </x:c>
      <x:c r="L315" s="98" t="str">
        <x:f>IF(OR(D315="",E315=""),"",IF(AND(ISNUMBER(J315),ISNUMBER(K315)),J315-K315,""))</x:f>
      </x:c>
      <x:c r="M315" s="114"/>
      <x:c r="N315" s="98" t="str">
        <x:f>IF(OR(D315="",E315=""),"",IF(COUNTIFS($D$6:D315,D315,$E$6:E315,E315)=1,MAX(SUMIFS($L$6:$L$505,$D$6:$D$505,D315,$E$6:$E$505,E315)-SUMIFS($M$6:$M$505,$D$6:$D$505,D315,$E$6:$E$505,E315),0),""))</x:f>
      </x:c>
    </x:row>
    <x:row r="316" ht="28" customHeight="1">
      <x:c r="A316" s="113" t="str">
        <x:f>IF(D316="","",IF(COUNTIFS(Trips!$A$6:$A$105,D316)=1,INDEX(Trips!$C$6:$C$105,MATCH(D316,Trips!$A$6:$A$105,0)),""))</x:f>
      </x:c>
      <x:c r="B316" s="90" t="str">
        <x:f>IF(D316="","",IF(COUNTIFS(Trips!$A$6:$A$105,D316)=1,INDEX(Trips!$B$6:$B$105,MATCH(D316,Trips!$A$6:$A$105,0)),""))</x:f>
      </x:c>
      <x:c r="C316" s="90" t="str">
        <x:f>IF(D316="","",IF(COUNTIFS(Trips!$A$6:$A$105,D316)=1,INDEX(Trips!$D$6:$D$105,MATCH(D316,Trips!$A$6:$A$105,0)),""))</x:f>
      </x:c>
      <x:c r="D316" s="107"/>
      <x:c r="E316" s="107"/>
      <x:c r="F316" s="90" t="str">
        <x:f>IF(E316="","",IF(COUNTIFS(Counters!$A$6:$A$105,E316)=1,INDEX(Counters!$B$6:$B$105,MATCH(E316,Counters!$A$6:$A$105,0)),""))</x:f>
      </x:c>
      <x:c r="G316" s="107"/>
      <x:c r="H316" s="98" t="str">
        <x:f>IF(C316="","",IF(COUNTIFS('Route List'!$F$6:$F$205,C316)=1,IF(COUNTIFS('Route List'!$F$6:$F$205,C316,'Route List'!$G$6:$G$205,"&lt;&gt;")=1,INDEX('Route List'!$G$6:$G$205,MATCH(C316,'Route List'!$F$6:$F$205,0)),"Enter route fare"),"Enter route fare"))</x:f>
      </x:c>
      <x:c r="I316" s="98" t="str">
        <x:f>IF(F316="","",IF(F316="Own",0,50))</x:f>
      </x:c>
      <x:c r="J316" s="98" t="str">
        <x:f>IF(OR(D316="",E316=""),"",IF(AND(ISNUMBER(G316),ISNUMBER(H316)),ROUND(G316*H316,2),""))</x:f>
      </x:c>
      <x:c r="K316" s="98" t="str">
        <x:f>IF(OR(D316="",E316=""),"",IF(AND(ISNUMBER(G316),ISNUMBER(I316)),ROUND(G316*I316,2),""))</x:f>
      </x:c>
      <x:c r="L316" s="98" t="str">
        <x:f>IF(OR(D316="",E316=""),"",IF(AND(ISNUMBER(J316),ISNUMBER(K316)),J316-K316,""))</x:f>
      </x:c>
      <x:c r="M316" s="114"/>
      <x:c r="N316" s="98" t="str">
        <x:f>IF(OR(D316="",E316=""),"",IF(COUNTIFS($D$6:D316,D316,$E$6:E316,E316)=1,MAX(SUMIFS($L$6:$L$505,$D$6:$D$505,D316,$E$6:$E$505,E316)-SUMIFS($M$6:$M$505,$D$6:$D$505,D316,$E$6:$E$505,E316),0),""))</x:f>
      </x:c>
    </x:row>
    <x:row r="317" ht="28" customHeight="1">
      <x:c r="A317" s="113" t="str">
        <x:f>IF(D317="","",IF(COUNTIFS(Trips!$A$6:$A$105,D317)=1,INDEX(Trips!$C$6:$C$105,MATCH(D317,Trips!$A$6:$A$105,0)),""))</x:f>
      </x:c>
      <x:c r="B317" s="90" t="str">
        <x:f>IF(D317="","",IF(COUNTIFS(Trips!$A$6:$A$105,D317)=1,INDEX(Trips!$B$6:$B$105,MATCH(D317,Trips!$A$6:$A$105,0)),""))</x:f>
      </x:c>
      <x:c r="C317" s="90" t="str">
        <x:f>IF(D317="","",IF(COUNTIFS(Trips!$A$6:$A$105,D317)=1,INDEX(Trips!$D$6:$D$105,MATCH(D317,Trips!$A$6:$A$105,0)),""))</x:f>
      </x:c>
      <x:c r="D317" s="107"/>
      <x:c r="E317" s="107"/>
      <x:c r="F317" s="90" t="str">
        <x:f>IF(E317="","",IF(COUNTIFS(Counters!$A$6:$A$105,E317)=1,INDEX(Counters!$B$6:$B$105,MATCH(E317,Counters!$A$6:$A$105,0)),""))</x:f>
      </x:c>
      <x:c r="G317" s="107"/>
      <x:c r="H317" s="98" t="str">
        <x:f>IF(C317="","",IF(COUNTIFS('Route List'!$F$6:$F$205,C317)=1,IF(COUNTIFS('Route List'!$F$6:$F$205,C317,'Route List'!$G$6:$G$205,"&lt;&gt;")=1,INDEX('Route List'!$G$6:$G$205,MATCH(C317,'Route List'!$F$6:$F$205,0)),"Enter route fare"),"Enter route fare"))</x:f>
      </x:c>
      <x:c r="I317" s="98" t="str">
        <x:f>IF(F317="","",IF(F317="Own",0,50))</x:f>
      </x:c>
      <x:c r="J317" s="98" t="str">
        <x:f>IF(OR(D317="",E317=""),"",IF(AND(ISNUMBER(G317),ISNUMBER(H317)),ROUND(G317*H317,2),""))</x:f>
      </x:c>
      <x:c r="K317" s="98" t="str">
        <x:f>IF(OR(D317="",E317=""),"",IF(AND(ISNUMBER(G317),ISNUMBER(I317)),ROUND(G317*I317,2),""))</x:f>
      </x:c>
      <x:c r="L317" s="98" t="str">
        <x:f>IF(OR(D317="",E317=""),"",IF(AND(ISNUMBER(J317),ISNUMBER(K317)),J317-K317,""))</x:f>
      </x:c>
      <x:c r="M317" s="114"/>
      <x:c r="N317" s="98" t="str">
        <x:f>IF(OR(D317="",E317=""),"",IF(COUNTIFS($D$6:D317,D317,$E$6:E317,E317)=1,MAX(SUMIFS($L$6:$L$505,$D$6:$D$505,D317,$E$6:$E$505,E317)-SUMIFS($M$6:$M$505,$D$6:$D$505,D317,$E$6:$E$505,E317),0),""))</x:f>
      </x:c>
    </x:row>
    <x:row r="318" ht="28" customHeight="1">
      <x:c r="A318" s="113" t="str">
        <x:f>IF(D318="","",IF(COUNTIFS(Trips!$A$6:$A$105,D318)=1,INDEX(Trips!$C$6:$C$105,MATCH(D318,Trips!$A$6:$A$105,0)),""))</x:f>
      </x:c>
      <x:c r="B318" s="90" t="str">
        <x:f>IF(D318="","",IF(COUNTIFS(Trips!$A$6:$A$105,D318)=1,INDEX(Trips!$B$6:$B$105,MATCH(D318,Trips!$A$6:$A$105,0)),""))</x:f>
      </x:c>
      <x:c r="C318" s="90" t="str">
        <x:f>IF(D318="","",IF(COUNTIFS(Trips!$A$6:$A$105,D318)=1,INDEX(Trips!$D$6:$D$105,MATCH(D318,Trips!$A$6:$A$105,0)),""))</x:f>
      </x:c>
      <x:c r="D318" s="107"/>
      <x:c r="E318" s="107"/>
      <x:c r="F318" s="90" t="str">
        <x:f>IF(E318="","",IF(COUNTIFS(Counters!$A$6:$A$105,E318)=1,INDEX(Counters!$B$6:$B$105,MATCH(E318,Counters!$A$6:$A$105,0)),""))</x:f>
      </x:c>
      <x:c r="G318" s="107"/>
      <x:c r="H318" s="98" t="str">
        <x:f>IF(C318="","",IF(COUNTIFS('Route List'!$F$6:$F$205,C318)=1,IF(COUNTIFS('Route List'!$F$6:$F$205,C318,'Route List'!$G$6:$G$205,"&lt;&gt;")=1,INDEX('Route List'!$G$6:$G$205,MATCH(C318,'Route List'!$F$6:$F$205,0)),"Enter route fare"),"Enter route fare"))</x:f>
      </x:c>
      <x:c r="I318" s="98" t="str">
        <x:f>IF(F318="","",IF(F318="Own",0,50))</x:f>
      </x:c>
      <x:c r="J318" s="98" t="str">
        <x:f>IF(OR(D318="",E318=""),"",IF(AND(ISNUMBER(G318),ISNUMBER(H318)),ROUND(G318*H318,2),""))</x:f>
      </x:c>
      <x:c r="K318" s="98" t="str">
        <x:f>IF(OR(D318="",E318=""),"",IF(AND(ISNUMBER(G318),ISNUMBER(I318)),ROUND(G318*I318,2),""))</x:f>
      </x:c>
      <x:c r="L318" s="98" t="str">
        <x:f>IF(OR(D318="",E318=""),"",IF(AND(ISNUMBER(J318),ISNUMBER(K318)),J318-K318,""))</x:f>
      </x:c>
      <x:c r="M318" s="114"/>
      <x:c r="N318" s="98" t="str">
        <x:f>IF(OR(D318="",E318=""),"",IF(COUNTIFS($D$6:D318,D318,$E$6:E318,E318)=1,MAX(SUMIFS($L$6:$L$505,$D$6:$D$505,D318,$E$6:$E$505,E318)-SUMIFS($M$6:$M$505,$D$6:$D$505,D318,$E$6:$E$505,E318),0),""))</x:f>
      </x:c>
    </x:row>
    <x:row r="319" ht="28" customHeight="1">
      <x:c r="A319" s="113" t="str">
        <x:f>IF(D319="","",IF(COUNTIFS(Trips!$A$6:$A$105,D319)=1,INDEX(Trips!$C$6:$C$105,MATCH(D319,Trips!$A$6:$A$105,0)),""))</x:f>
      </x:c>
      <x:c r="B319" s="90" t="str">
        <x:f>IF(D319="","",IF(COUNTIFS(Trips!$A$6:$A$105,D319)=1,INDEX(Trips!$B$6:$B$105,MATCH(D319,Trips!$A$6:$A$105,0)),""))</x:f>
      </x:c>
      <x:c r="C319" s="90" t="str">
        <x:f>IF(D319="","",IF(COUNTIFS(Trips!$A$6:$A$105,D319)=1,INDEX(Trips!$D$6:$D$105,MATCH(D319,Trips!$A$6:$A$105,0)),""))</x:f>
      </x:c>
      <x:c r="D319" s="107"/>
      <x:c r="E319" s="107"/>
      <x:c r="F319" s="90" t="str">
        <x:f>IF(E319="","",IF(COUNTIFS(Counters!$A$6:$A$105,E319)=1,INDEX(Counters!$B$6:$B$105,MATCH(E319,Counters!$A$6:$A$105,0)),""))</x:f>
      </x:c>
      <x:c r="G319" s="107"/>
      <x:c r="H319" s="98" t="str">
        <x:f>IF(C319="","",IF(COUNTIFS('Route List'!$F$6:$F$205,C319)=1,IF(COUNTIFS('Route List'!$F$6:$F$205,C319,'Route List'!$G$6:$G$205,"&lt;&gt;")=1,INDEX('Route List'!$G$6:$G$205,MATCH(C319,'Route List'!$F$6:$F$205,0)),"Enter route fare"),"Enter route fare"))</x:f>
      </x:c>
      <x:c r="I319" s="98" t="str">
        <x:f>IF(F319="","",IF(F319="Own",0,50))</x:f>
      </x:c>
      <x:c r="J319" s="98" t="str">
        <x:f>IF(OR(D319="",E319=""),"",IF(AND(ISNUMBER(G319),ISNUMBER(H319)),ROUND(G319*H319,2),""))</x:f>
      </x:c>
      <x:c r="K319" s="98" t="str">
        <x:f>IF(OR(D319="",E319=""),"",IF(AND(ISNUMBER(G319),ISNUMBER(I319)),ROUND(G319*I319,2),""))</x:f>
      </x:c>
      <x:c r="L319" s="98" t="str">
        <x:f>IF(OR(D319="",E319=""),"",IF(AND(ISNUMBER(J319),ISNUMBER(K319)),J319-K319,""))</x:f>
      </x:c>
      <x:c r="M319" s="114"/>
      <x:c r="N319" s="98" t="str">
        <x:f>IF(OR(D319="",E319=""),"",IF(COUNTIFS($D$6:D319,D319,$E$6:E319,E319)=1,MAX(SUMIFS($L$6:$L$505,$D$6:$D$505,D319,$E$6:$E$505,E319)-SUMIFS($M$6:$M$505,$D$6:$D$505,D319,$E$6:$E$505,E319),0),""))</x:f>
      </x:c>
    </x:row>
    <x:row r="320" ht="28" customHeight="1">
      <x:c r="A320" s="113" t="str">
        <x:f>IF(D320="","",IF(COUNTIFS(Trips!$A$6:$A$105,D320)=1,INDEX(Trips!$C$6:$C$105,MATCH(D320,Trips!$A$6:$A$105,0)),""))</x:f>
      </x:c>
      <x:c r="B320" s="90" t="str">
        <x:f>IF(D320="","",IF(COUNTIFS(Trips!$A$6:$A$105,D320)=1,INDEX(Trips!$B$6:$B$105,MATCH(D320,Trips!$A$6:$A$105,0)),""))</x:f>
      </x:c>
      <x:c r="C320" s="90" t="str">
        <x:f>IF(D320="","",IF(COUNTIFS(Trips!$A$6:$A$105,D320)=1,INDEX(Trips!$D$6:$D$105,MATCH(D320,Trips!$A$6:$A$105,0)),""))</x:f>
      </x:c>
      <x:c r="D320" s="107"/>
      <x:c r="E320" s="107"/>
      <x:c r="F320" s="90" t="str">
        <x:f>IF(E320="","",IF(COUNTIFS(Counters!$A$6:$A$105,E320)=1,INDEX(Counters!$B$6:$B$105,MATCH(E320,Counters!$A$6:$A$105,0)),""))</x:f>
      </x:c>
      <x:c r="G320" s="107"/>
      <x:c r="H320" s="98" t="str">
        <x:f>IF(C320="","",IF(COUNTIFS('Route List'!$F$6:$F$205,C320)=1,IF(COUNTIFS('Route List'!$F$6:$F$205,C320,'Route List'!$G$6:$G$205,"&lt;&gt;")=1,INDEX('Route List'!$G$6:$G$205,MATCH(C320,'Route List'!$F$6:$F$205,0)),"Enter route fare"),"Enter route fare"))</x:f>
      </x:c>
      <x:c r="I320" s="98" t="str">
        <x:f>IF(F320="","",IF(F320="Own",0,50))</x:f>
      </x:c>
      <x:c r="J320" s="98" t="str">
        <x:f>IF(OR(D320="",E320=""),"",IF(AND(ISNUMBER(G320),ISNUMBER(H320)),ROUND(G320*H320,2),""))</x:f>
      </x:c>
      <x:c r="K320" s="98" t="str">
        <x:f>IF(OR(D320="",E320=""),"",IF(AND(ISNUMBER(G320),ISNUMBER(I320)),ROUND(G320*I320,2),""))</x:f>
      </x:c>
      <x:c r="L320" s="98" t="str">
        <x:f>IF(OR(D320="",E320=""),"",IF(AND(ISNUMBER(J320),ISNUMBER(K320)),J320-K320,""))</x:f>
      </x:c>
      <x:c r="M320" s="114"/>
      <x:c r="N320" s="98" t="str">
        <x:f>IF(OR(D320="",E320=""),"",IF(COUNTIFS($D$6:D320,D320,$E$6:E320,E320)=1,MAX(SUMIFS($L$6:$L$505,$D$6:$D$505,D320,$E$6:$E$505,E320)-SUMIFS($M$6:$M$505,$D$6:$D$505,D320,$E$6:$E$505,E320),0),""))</x:f>
      </x:c>
    </x:row>
    <x:row r="321" ht="28" customHeight="1">
      <x:c r="A321" s="113" t="str">
        <x:f>IF(D321="","",IF(COUNTIFS(Trips!$A$6:$A$105,D321)=1,INDEX(Trips!$C$6:$C$105,MATCH(D321,Trips!$A$6:$A$105,0)),""))</x:f>
      </x:c>
      <x:c r="B321" s="90" t="str">
        <x:f>IF(D321="","",IF(COUNTIFS(Trips!$A$6:$A$105,D321)=1,INDEX(Trips!$B$6:$B$105,MATCH(D321,Trips!$A$6:$A$105,0)),""))</x:f>
      </x:c>
      <x:c r="C321" s="90" t="str">
        <x:f>IF(D321="","",IF(COUNTIFS(Trips!$A$6:$A$105,D321)=1,INDEX(Trips!$D$6:$D$105,MATCH(D321,Trips!$A$6:$A$105,0)),""))</x:f>
      </x:c>
      <x:c r="D321" s="107"/>
      <x:c r="E321" s="107"/>
      <x:c r="F321" s="90" t="str">
        <x:f>IF(E321="","",IF(COUNTIFS(Counters!$A$6:$A$105,E321)=1,INDEX(Counters!$B$6:$B$105,MATCH(E321,Counters!$A$6:$A$105,0)),""))</x:f>
      </x:c>
      <x:c r="G321" s="107"/>
      <x:c r="H321" s="98" t="str">
        <x:f>IF(C321="","",IF(COUNTIFS('Route List'!$F$6:$F$205,C321)=1,IF(COUNTIFS('Route List'!$F$6:$F$205,C321,'Route List'!$G$6:$G$205,"&lt;&gt;")=1,INDEX('Route List'!$G$6:$G$205,MATCH(C321,'Route List'!$F$6:$F$205,0)),"Enter route fare"),"Enter route fare"))</x:f>
      </x:c>
      <x:c r="I321" s="98" t="str">
        <x:f>IF(F321="","",IF(F321="Own",0,50))</x:f>
      </x:c>
      <x:c r="J321" s="98" t="str">
        <x:f>IF(OR(D321="",E321=""),"",IF(AND(ISNUMBER(G321),ISNUMBER(H321)),ROUND(G321*H321,2),""))</x:f>
      </x:c>
      <x:c r="K321" s="98" t="str">
        <x:f>IF(OR(D321="",E321=""),"",IF(AND(ISNUMBER(G321),ISNUMBER(I321)),ROUND(G321*I321,2),""))</x:f>
      </x:c>
      <x:c r="L321" s="98" t="str">
        <x:f>IF(OR(D321="",E321=""),"",IF(AND(ISNUMBER(J321),ISNUMBER(K321)),J321-K321,""))</x:f>
      </x:c>
      <x:c r="M321" s="114"/>
      <x:c r="N321" s="98" t="str">
        <x:f>IF(OR(D321="",E321=""),"",IF(COUNTIFS($D$6:D321,D321,$E$6:E321,E321)=1,MAX(SUMIFS($L$6:$L$505,$D$6:$D$505,D321,$E$6:$E$505,E321)-SUMIFS($M$6:$M$505,$D$6:$D$505,D321,$E$6:$E$505,E321),0),""))</x:f>
      </x:c>
    </x:row>
    <x:row r="322" ht="28" customHeight="1">
      <x:c r="A322" s="113" t="str">
        <x:f>IF(D322="","",IF(COUNTIFS(Trips!$A$6:$A$105,D322)=1,INDEX(Trips!$C$6:$C$105,MATCH(D322,Trips!$A$6:$A$105,0)),""))</x:f>
      </x:c>
      <x:c r="B322" s="90" t="str">
        <x:f>IF(D322="","",IF(COUNTIFS(Trips!$A$6:$A$105,D322)=1,INDEX(Trips!$B$6:$B$105,MATCH(D322,Trips!$A$6:$A$105,0)),""))</x:f>
      </x:c>
      <x:c r="C322" s="90" t="str">
        <x:f>IF(D322="","",IF(COUNTIFS(Trips!$A$6:$A$105,D322)=1,INDEX(Trips!$D$6:$D$105,MATCH(D322,Trips!$A$6:$A$105,0)),""))</x:f>
      </x:c>
      <x:c r="D322" s="107"/>
      <x:c r="E322" s="107"/>
      <x:c r="F322" s="90" t="str">
        <x:f>IF(E322="","",IF(COUNTIFS(Counters!$A$6:$A$105,E322)=1,INDEX(Counters!$B$6:$B$105,MATCH(E322,Counters!$A$6:$A$105,0)),""))</x:f>
      </x:c>
      <x:c r="G322" s="107"/>
      <x:c r="H322" s="98" t="str">
        <x:f>IF(C322="","",IF(COUNTIFS('Route List'!$F$6:$F$205,C322)=1,IF(COUNTIFS('Route List'!$F$6:$F$205,C322,'Route List'!$G$6:$G$205,"&lt;&gt;")=1,INDEX('Route List'!$G$6:$G$205,MATCH(C322,'Route List'!$F$6:$F$205,0)),"Enter route fare"),"Enter route fare"))</x:f>
      </x:c>
      <x:c r="I322" s="98" t="str">
        <x:f>IF(F322="","",IF(F322="Own",0,50))</x:f>
      </x:c>
      <x:c r="J322" s="98" t="str">
        <x:f>IF(OR(D322="",E322=""),"",IF(AND(ISNUMBER(G322),ISNUMBER(H322)),ROUND(G322*H322,2),""))</x:f>
      </x:c>
      <x:c r="K322" s="98" t="str">
        <x:f>IF(OR(D322="",E322=""),"",IF(AND(ISNUMBER(G322),ISNUMBER(I322)),ROUND(G322*I322,2),""))</x:f>
      </x:c>
      <x:c r="L322" s="98" t="str">
        <x:f>IF(OR(D322="",E322=""),"",IF(AND(ISNUMBER(J322),ISNUMBER(K322)),J322-K322,""))</x:f>
      </x:c>
      <x:c r="M322" s="114"/>
      <x:c r="N322" s="98" t="str">
        <x:f>IF(OR(D322="",E322=""),"",IF(COUNTIFS($D$6:D322,D322,$E$6:E322,E322)=1,MAX(SUMIFS($L$6:$L$505,$D$6:$D$505,D322,$E$6:$E$505,E322)-SUMIFS($M$6:$M$505,$D$6:$D$505,D322,$E$6:$E$505,E322),0),""))</x:f>
      </x:c>
    </x:row>
    <x:row r="323" ht="28" customHeight="1">
      <x:c r="A323" s="113" t="str">
        <x:f>IF(D323="","",IF(COUNTIFS(Trips!$A$6:$A$105,D323)=1,INDEX(Trips!$C$6:$C$105,MATCH(D323,Trips!$A$6:$A$105,0)),""))</x:f>
      </x:c>
      <x:c r="B323" s="90" t="str">
        <x:f>IF(D323="","",IF(COUNTIFS(Trips!$A$6:$A$105,D323)=1,INDEX(Trips!$B$6:$B$105,MATCH(D323,Trips!$A$6:$A$105,0)),""))</x:f>
      </x:c>
      <x:c r="C323" s="90" t="str">
        <x:f>IF(D323="","",IF(COUNTIFS(Trips!$A$6:$A$105,D323)=1,INDEX(Trips!$D$6:$D$105,MATCH(D323,Trips!$A$6:$A$105,0)),""))</x:f>
      </x:c>
      <x:c r="D323" s="107"/>
      <x:c r="E323" s="107"/>
      <x:c r="F323" s="90" t="str">
        <x:f>IF(E323="","",IF(COUNTIFS(Counters!$A$6:$A$105,E323)=1,INDEX(Counters!$B$6:$B$105,MATCH(E323,Counters!$A$6:$A$105,0)),""))</x:f>
      </x:c>
      <x:c r="G323" s="107"/>
      <x:c r="H323" s="98" t="str">
        <x:f>IF(C323="","",IF(COUNTIFS('Route List'!$F$6:$F$205,C323)=1,IF(COUNTIFS('Route List'!$F$6:$F$205,C323,'Route List'!$G$6:$G$205,"&lt;&gt;")=1,INDEX('Route List'!$G$6:$G$205,MATCH(C323,'Route List'!$F$6:$F$205,0)),"Enter route fare"),"Enter route fare"))</x:f>
      </x:c>
      <x:c r="I323" s="98" t="str">
        <x:f>IF(F323="","",IF(F323="Own",0,50))</x:f>
      </x:c>
      <x:c r="J323" s="98" t="str">
        <x:f>IF(OR(D323="",E323=""),"",IF(AND(ISNUMBER(G323),ISNUMBER(H323)),ROUND(G323*H323,2),""))</x:f>
      </x:c>
      <x:c r="K323" s="98" t="str">
        <x:f>IF(OR(D323="",E323=""),"",IF(AND(ISNUMBER(G323),ISNUMBER(I323)),ROUND(G323*I323,2),""))</x:f>
      </x:c>
      <x:c r="L323" s="98" t="str">
        <x:f>IF(OR(D323="",E323=""),"",IF(AND(ISNUMBER(J323),ISNUMBER(K323)),J323-K323,""))</x:f>
      </x:c>
      <x:c r="M323" s="114"/>
      <x:c r="N323" s="98" t="str">
        <x:f>IF(OR(D323="",E323=""),"",IF(COUNTIFS($D$6:D323,D323,$E$6:E323,E323)=1,MAX(SUMIFS($L$6:$L$505,$D$6:$D$505,D323,$E$6:$E$505,E323)-SUMIFS($M$6:$M$505,$D$6:$D$505,D323,$E$6:$E$505,E323),0),""))</x:f>
      </x:c>
    </x:row>
    <x:row r="324" ht="28" customHeight="1">
      <x:c r="A324" s="113" t="str">
        <x:f>IF(D324="","",IF(COUNTIFS(Trips!$A$6:$A$105,D324)=1,INDEX(Trips!$C$6:$C$105,MATCH(D324,Trips!$A$6:$A$105,0)),""))</x:f>
      </x:c>
      <x:c r="B324" s="90" t="str">
        <x:f>IF(D324="","",IF(COUNTIFS(Trips!$A$6:$A$105,D324)=1,INDEX(Trips!$B$6:$B$105,MATCH(D324,Trips!$A$6:$A$105,0)),""))</x:f>
      </x:c>
      <x:c r="C324" s="90" t="str">
        <x:f>IF(D324="","",IF(COUNTIFS(Trips!$A$6:$A$105,D324)=1,INDEX(Trips!$D$6:$D$105,MATCH(D324,Trips!$A$6:$A$105,0)),""))</x:f>
      </x:c>
      <x:c r="D324" s="107"/>
      <x:c r="E324" s="107"/>
      <x:c r="F324" s="90" t="str">
        <x:f>IF(E324="","",IF(COUNTIFS(Counters!$A$6:$A$105,E324)=1,INDEX(Counters!$B$6:$B$105,MATCH(E324,Counters!$A$6:$A$105,0)),""))</x:f>
      </x:c>
      <x:c r="G324" s="107"/>
      <x:c r="H324" s="98" t="str">
        <x:f>IF(C324="","",IF(COUNTIFS('Route List'!$F$6:$F$205,C324)=1,IF(COUNTIFS('Route List'!$F$6:$F$205,C324,'Route List'!$G$6:$G$205,"&lt;&gt;")=1,INDEX('Route List'!$G$6:$G$205,MATCH(C324,'Route List'!$F$6:$F$205,0)),"Enter route fare"),"Enter route fare"))</x:f>
      </x:c>
      <x:c r="I324" s="98" t="str">
        <x:f>IF(F324="","",IF(F324="Own",0,50))</x:f>
      </x:c>
      <x:c r="J324" s="98" t="str">
        <x:f>IF(OR(D324="",E324=""),"",IF(AND(ISNUMBER(G324),ISNUMBER(H324)),ROUND(G324*H324,2),""))</x:f>
      </x:c>
      <x:c r="K324" s="98" t="str">
        <x:f>IF(OR(D324="",E324=""),"",IF(AND(ISNUMBER(G324),ISNUMBER(I324)),ROUND(G324*I324,2),""))</x:f>
      </x:c>
      <x:c r="L324" s="98" t="str">
        <x:f>IF(OR(D324="",E324=""),"",IF(AND(ISNUMBER(J324),ISNUMBER(K324)),J324-K324,""))</x:f>
      </x:c>
      <x:c r="M324" s="114"/>
      <x:c r="N324" s="98" t="str">
        <x:f>IF(OR(D324="",E324=""),"",IF(COUNTIFS($D$6:D324,D324,$E$6:E324,E324)=1,MAX(SUMIFS($L$6:$L$505,$D$6:$D$505,D324,$E$6:$E$505,E324)-SUMIFS($M$6:$M$505,$D$6:$D$505,D324,$E$6:$E$505,E324),0),""))</x:f>
      </x:c>
    </x:row>
    <x:row r="325" ht="28" customHeight="1">
      <x:c r="A325" s="113" t="str">
        <x:f>IF(D325="","",IF(COUNTIFS(Trips!$A$6:$A$105,D325)=1,INDEX(Trips!$C$6:$C$105,MATCH(D325,Trips!$A$6:$A$105,0)),""))</x:f>
      </x:c>
      <x:c r="B325" s="90" t="str">
        <x:f>IF(D325="","",IF(COUNTIFS(Trips!$A$6:$A$105,D325)=1,INDEX(Trips!$B$6:$B$105,MATCH(D325,Trips!$A$6:$A$105,0)),""))</x:f>
      </x:c>
      <x:c r="C325" s="90" t="str">
        <x:f>IF(D325="","",IF(COUNTIFS(Trips!$A$6:$A$105,D325)=1,INDEX(Trips!$D$6:$D$105,MATCH(D325,Trips!$A$6:$A$105,0)),""))</x:f>
      </x:c>
      <x:c r="D325" s="107"/>
      <x:c r="E325" s="107"/>
      <x:c r="F325" s="90" t="str">
        <x:f>IF(E325="","",IF(COUNTIFS(Counters!$A$6:$A$105,E325)=1,INDEX(Counters!$B$6:$B$105,MATCH(E325,Counters!$A$6:$A$105,0)),""))</x:f>
      </x:c>
      <x:c r="G325" s="107"/>
      <x:c r="H325" s="98" t="str">
        <x:f>IF(C325="","",IF(COUNTIFS('Route List'!$F$6:$F$205,C325)=1,IF(COUNTIFS('Route List'!$F$6:$F$205,C325,'Route List'!$G$6:$G$205,"&lt;&gt;")=1,INDEX('Route List'!$G$6:$G$205,MATCH(C325,'Route List'!$F$6:$F$205,0)),"Enter route fare"),"Enter route fare"))</x:f>
      </x:c>
      <x:c r="I325" s="98" t="str">
        <x:f>IF(F325="","",IF(F325="Own",0,50))</x:f>
      </x:c>
      <x:c r="J325" s="98" t="str">
        <x:f>IF(OR(D325="",E325=""),"",IF(AND(ISNUMBER(G325),ISNUMBER(H325)),ROUND(G325*H325,2),""))</x:f>
      </x:c>
      <x:c r="K325" s="98" t="str">
        <x:f>IF(OR(D325="",E325=""),"",IF(AND(ISNUMBER(G325),ISNUMBER(I325)),ROUND(G325*I325,2),""))</x:f>
      </x:c>
      <x:c r="L325" s="98" t="str">
        <x:f>IF(OR(D325="",E325=""),"",IF(AND(ISNUMBER(J325),ISNUMBER(K325)),J325-K325,""))</x:f>
      </x:c>
      <x:c r="M325" s="114"/>
      <x:c r="N325" s="98" t="str">
        <x:f>IF(OR(D325="",E325=""),"",IF(COUNTIFS($D$6:D325,D325,$E$6:E325,E325)=1,MAX(SUMIFS($L$6:$L$505,$D$6:$D$505,D325,$E$6:$E$505,E325)-SUMIFS($M$6:$M$505,$D$6:$D$505,D325,$E$6:$E$505,E325),0),""))</x:f>
      </x:c>
    </x:row>
    <x:row r="326" ht="28" customHeight="1">
      <x:c r="A326" s="113" t="str">
        <x:f>IF(D326="","",IF(COUNTIFS(Trips!$A$6:$A$105,D326)=1,INDEX(Trips!$C$6:$C$105,MATCH(D326,Trips!$A$6:$A$105,0)),""))</x:f>
      </x:c>
      <x:c r="B326" s="90" t="str">
        <x:f>IF(D326="","",IF(COUNTIFS(Trips!$A$6:$A$105,D326)=1,INDEX(Trips!$B$6:$B$105,MATCH(D326,Trips!$A$6:$A$105,0)),""))</x:f>
      </x:c>
      <x:c r="C326" s="90" t="str">
        <x:f>IF(D326="","",IF(COUNTIFS(Trips!$A$6:$A$105,D326)=1,INDEX(Trips!$D$6:$D$105,MATCH(D326,Trips!$A$6:$A$105,0)),""))</x:f>
      </x:c>
      <x:c r="D326" s="107"/>
      <x:c r="E326" s="107"/>
      <x:c r="F326" s="90" t="str">
        <x:f>IF(E326="","",IF(COUNTIFS(Counters!$A$6:$A$105,E326)=1,INDEX(Counters!$B$6:$B$105,MATCH(E326,Counters!$A$6:$A$105,0)),""))</x:f>
      </x:c>
      <x:c r="G326" s="107"/>
      <x:c r="H326" s="98" t="str">
        <x:f>IF(C326="","",IF(COUNTIFS('Route List'!$F$6:$F$205,C326)=1,IF(COUNTIFS('Route List'!$F$6:$F$205,C326,'Route List'!$G$6:$G$205,"&lt;&gt;")=1,INDEX('Route List'!$G$6:$G$205,MATCH(C326,'Route List'!$F$6:$F$205,0)),"Enter route fare"),"Enter route fare"))</x:f>
      </x:c>
      <x:c r="I326" s="98" t="str">
        <x:f>IF(F326="","",IF(F326="Own",0,50))</x:f>
      </x:c>
      <x:c r="J326" s="98" t="str">
        <x:f>IF(OR(D326="",E326=""),"",IF(AND(ISNUMBER(G326),ISNUMBER(H326)),ROUND(G326*H326,2),""))</x:f>
      </x:c>
      <x:c r="K326" s="98" t="str">
        <x:f>IF(OR(D326="",E326=""),"",IF(AND(ISNUMBER(G326),ISNUMBER(I326)),ROUND(G326*I326,2),""))</x:f>
      </x:c>
      <x:c r="L326" s="98" t="str">
        <x:f>IF(OR(D326="",E326=""),"",IF(AND(ISNUMBER(J326),ISNUMBER(K326)),J326-K326,""))</x:f>
      </x:c>
      <x:c r="M326" s="114"/>
      <x:c r="N326" s="98" t="str">
        <x:f>IF(OR(D326="",E326=""),"",IF(COUNTIFS($D$6:D326,D326,$E$6:E326,E326)=1,MAX(SUMIFS($L$6:$L$505,$D$6:$D$505,D326,$E$6:$E$505,E326)-SUMIFS($M$6:$M$505,$D$6:$D$505,D326,$E$6:$E$505,E326),0),""))</x:f>
      </x:c>
    </x:row>
    <x:row r="327" ht="28" customHeight="1">
      <x:c r="A327" s="113" t="str">
        <x:f>IF(D327="","",IF(COUNTIFS(Trips!$A$6:$A$105,D327)=1,INDEX(Trips!$C$6:$C$105,MATCH(D327,Trips!$A$6:$A$105,0)),""))</x:f>
      </x:c>
      <x:c r="B327" s="90" t="str">
        <x:f>IF(D327="","",IF(COUNTIFS(Trips!$A$6:$A$105,D327)=1,INDEX(Trips!$B$6:$B$105,MATCH(D327,Trips!$A$6:$A$105,0)),""))</x:f>
      </x:c>
      <x:c r="C327" s="90" t="str">
        <x:f>IF(D327="","",IF(COUNTIFS(Trips!$A$6:$A$105,D327)=1,INDEX(Trips!$D$6:$D$105,MATCH(D327,Trips!$A$6:$A$105,0)),""))</x:f>
      </x:c>
      <x:c r="D327" s="107"/>
      <x:c r="E327" s="107"/>
      <x:c r="F327" s="90" t="str">
        <x:f>IF(E327="","",IF(COUNTIFS(Counters!$A$6:$A$105,E327)=1,INDEX(Counters!$B$6:$B$105,MATCH(E327,Counters!$A$6:$A$105,0)),""))</x:f>
      </x:c>
      <x:c r="G327" s="107"/>
      <x:c r="H327" s="98" t="str">
        <x:f>IF(C327="","",IF(COUNTIFS('Route List'!$F$6:$F$205,C327)=1,IF(COUNTIFS('Route List'!$F$6:$F$205,C327,'Route List'!$G$6:$G$205,"&lt;&gt;")=1,INDEX('Route List'!$G$6:$G$205,MATCH(C327,'Route List'!$F$6:$F$205,0)),"Enter route fare"),"Enter route fare"))</x:f>
      </x:c>
      <x:c r="I327" s="98" t="str">
        <x:f>IF(F327="","",IF(F327="Own",0,50))</x:f>
      </x:c>
      <x:c r="J327" s="98" t="str">
        <x:f>IF(OR(D327="",E327=""),"",IF(AND(ISNUMBER(G327),ISNUMBER(H327)),ROUND(G327*H327,2),""))</x:f>
      </x:c>
      <x:c r="K327" s="98" t="str">
        <x:f>IF(OR(D327="",E327=""),"",IF(AND(ISNUMBER(G327),ISNUMBER(I327)),ROUND(G327*I327,2),""))</x:f>
      </x:c>
      <x:c r="L327" s="98" t="str">
        <x:f>IF(OR(D327="",E327=""),"",IF(AND(ISNUMBER(J327),ISNUMBER(K327)),J327-K327,""))</x:f>
      </x:c>
      <x:c r="M327" s="114"/>
      <x:c r="N327" s="98" t="str">
        <x:f>IF(OR(D327="",E327=""),"",IF(COUNTIFS($D$6:D327,D327,$E$6:E327,E327)=1,MAX(SUMIFS($L$6:$L$505,$D$6:$D$505,D327,$E$6:$E$505,E327)-SUMIFS($M$6:$M$505,$D$6:$D$505,D327,$E$6:$E$505,E327),0),""))</x:f>
      </x:c>
    </x:row>
    <x:row r="328" ht="28" customHeight="1">
      <x:c r="A328" s="113" t="str">
        <x:f>IF(D328="","",IF(COUNTIFS(Trips!$A$6:$A$105,D328)=1,INDEX(Trips!$C$6:$C$105,MATCH(D328,Trips!$A$6:$A$105,0)),""))</x:f>
      </x:c>
      <x:c r="B328" s="90" t="str">
        <x:f>IF(D328="","",IF(COUNTIFS(Trips!$A$6:$A$105,D328)=1,INDEX(Trips!$B$6:$B$105,MATCH(D328,Trips!$A$6:$A$105,0)),""))</x:f>
      </x:c>
      <x:c r="C328" s="90" t="str">
        <x:f>IF(D328="","",IF(COUNTIFS(Trips!$A$6:$A$105,D328)=1,INDEX(Trips!$D$6:$D$105,MATCH(D328,Trips!$A$6:$A$105,0)),""))</x:f>
      </x:c>
      <x:c r="D328" s="107"/>
      <x:c r="E328" s="107"/>
      <x:c r="F328" s="90" t="str">
        <x:f>IF(E328="","",IF(COUNTIFS(Counters!$A$6:$A$105,E328)=1,INDEX(Counters!$B$6:$B$105,MATCH(E328,Counters!$A$6:$A$105,0)),""))</x:f>
      </x:c>
      <x:c r="G328" s="107"/>
      <x:c r="H328" s="98" t="str">
        <x:f>IF(C328="","",IF(COUNTIFS('Route List'!$F$6:$F$205,C328)=1,IF(COUNTIFS('Route List'!$F$6:$F$205,C328,'Route List'!$G$6:$G$205,"&lt;&gt;")=1,INDEX('Route List'!$G$6:$G$205,MATCH(C328,'Route List'!$F$6:$F$205,0)),"Enter route fare"),"Enter route fare"))</x:f>
      </x:c>
      <x:c r="I328" s="98" t="str">
        <x:f>IF(F328="","",IF(F328="Own",0,50))</x:f>
      </x:c>
      <x:c r="J328" s="98" t="str">
        <x:f>IF(OR(D328="",E328=""),"",IF(AND(ISNUMBER(G328),ISNUMBER(H328)),ROUND(G328*H328,2),""))</x:f>
      </x:c>
      <x:c r="K328" s="98" t="str">
        <x:f>IF(OR(D328="",E328=""),"",IF(AND(ISNUMBER(G328),ISNUMBER(I328)),ROUND(G328*I328,2),""))</x:f>
      </x:c>
      <x:c r="L328" s="98" t="str">
        <x:f>IF(OR(D328="",E328=""),"",IF(AND(ISNUMBER(J328),ISNUMBER(K328)),J328-K328,""))</x:f>
      </x:c>
      <x:c r="M328" s="114"/>
      <x:c r="N328" s="98" t="str">
        <x:f>IF(OR(D328="",E328=""),"",IF(COUNTIFS($D$6:D328,D328,$E$6:E328,E328)=1,MAX(SUMIFS($L$6:$L$505,$D$6:$D$505,D328,$E$6:$E$505,E328)-SUMIFS($M$6:$M$505,$D$6:$D$505,D328,$E$6:$E$505,E328),0),""))</x:f>
      </x:c>
    </x:row>
    <x:row r="329" ht="28" customHeight="1">
      <x:c r="A329" s="113" t="str">
        <x:f>IF(D329="","",IF(COUNTIFS(Trips!$A$6:$A$105,D329)=1,INDEX(Trips!$C$6:$C$105,MATCH(D329,Trips!$A$6:$A$105,0)),""))</x:f>
      </x:c>
      <x:c r="B329" s="90" t="str">
        <x:f>IF(D329="","",IF(COUNTIFS(Trips!$A$6:$A$105,D329)=1,INDEX(Trips!$B$6:$B$105,MATCH(D329,Trips!$A$6:$A$105,0)),""))</x:f>
      </x:c>
      <x:c r="C329" s="90" t="str">
        <x:f>IF(D329="","",IF(COUNTIFS(Trips!$A$6:$A$105,D329)=1,INDEX(Trips!$D$6:$D$105,MATCH(D329,Trips!$A$6:$A$105,0)),""))</x:f>
      </x:c>
      <x:c r="D329" s="107"/>
      <x:c r="E329" s="107"/>
      <x:c r="F329" s="90" t="str">
        <x:f>IF(E329="","",IF(COUNTIFS(Counters!$A$6:$A$105,E329)=1,INDEX(Counters!$B$6:$B$105,MATCH(E329,Counters!$A$6:$A$105,0)),""))</x:f>
      </x:c>
      <x:c r="G329" s="107"/>
      <x:c r="H329" s="98" t="str">
        <x:f>IF(C329="","",IF(COUNTIFS('Route List'!$F$6:$F$205,C329)=1,IF(COUNTIFS('Route List'!$F$6:$F$205,C329,'Route List'!$G$6:$G$205,"&lt;&gt;")=1,INDEX('Route List'!$G$6:$G$205,MATCH(C329,'Route List'!$F$6:$F$205,0)),"Enter route fare"),"Enter route fare"))</x:f>
      </x:c>
      <x:c r="I329" s="98" t="str">
        <x:f>IF(F329="","",IF(F329="Own",0,50))</x:f>
      </x:c>
      <x:c r="J329" s="98" t="str">
        <x:f>IF(OR(D329="",E329=""),"",IF(AND(ISNUMBER(G329),ISNUMBER(H329)),ROUND(G329*H329,2),""))</x:f>
      </x:c>
      <x:c r="K329" s="98" t="str">
        <x:f>IF(OR(D329="",E329=""),"",IF(AND(ISNUMBER(G329),ISNUMBER(I329)),ROUND(G329*I329,2),""))</x:f>
      </x:c>
      <x:c r="L329" s="98" t="str">
        <x:f>IF(OR(D329="",E329=""),"",IF(AND(ISNUMBER(J329),ISNUMBER(K329)),J329-K329,""))</x:f>
      </x:c>
      <x:c r="M329" s="114"/>
      <x:c r="N329" s="98" t="str">
        <x:f>IF(OR(D329="",E329=""),"",IF(COUNTIFS($D$6:D329,D329,$E$6:E329,E329)=1,MAX(SUMIFS($L$6:$L$505,$D$6:$D$505,D329,$E$6:$E$505,E329)-SUMIFS($M$6:$M$505,$D$6:$D$505,D329,$E$6:$E$505,E329),0),""))</x:f>
      </x:c>
    </x:row>
    <x:row r="330" ht="28" customHeight="1">
      <x:c r="A330" s="113" t="str">
        <x:f>IF(D330="","",IF(COUNTIFS(Trips!$A$6:$A$105,D330)=1,INDEX(Trips!$C$6:$C$105,MATCH(D330,Trips!$A$6:$A$105,0)),""))</x:f>
      </x:c>
      <x:c r="B330" s="90" t="str">
        <x:f>IF(D330="","",IF(COUNTIFS(Trips!$A$6:$A$105,D330)=1,INDEX(Trips!$B$6:$B$105,MATCH(D330,Trips!$A$6:$A$105,0)),""))</x:f>
      </x:c>
      <x:c r="C330" s="90" t="str">
        <x:f>IF(D330="","",IF(COUNTIFS(Trips!$A$6:$A$105,D330)=1,INDEX(Trips!$D$6:$D$105,MATCH(D330,Trips!$A$6:$A$105,0)),""))</x:f>
      </x:c>
      <x:c r="D330" s="107"/>
      <x:c r="E330" s="107"/>
      <x:c r="F330" s="90" t="str">
        <x:f>IF(E330="","",IF(COUNTIFS(Counters!$A$6:$A$105,E330)=1,INDEX(Counters!$B$6:$B$105,MATCH(E330,Counters!$A$6:$A$105,0)),""))</x:f>
      </x:c>
      <x:c r="G330" s="107"/>
      <x:c r="H330" s="98" t="str">
        <x:f>IF(C330="","",IF(COUNTIFS('Route List'!$F$6:$F$205,C330)=1,IF(COUNTIFS('Route List'!$F$6:$F$205,C330,'Route List'!$G$6:$G$205,"&lt;&gt;")=1,INDEX('Route List'!$G$6:$G$205,MATCH(C330,'Route List'!$F$6:$F$205,0)),"Enter route fare"),"Enter route fare"))</x:f>
      </x:c>
      <x:c r="I330" s="98" t="str">
        <x:f>IF(F330="","",IF(F330="Own",0,50))</x:f>
      </x:c>
      <x:c r="J330" s="98" t="str">
        <x:f>IF(OR(D330="",E330=""),"",IF(AND(ISNUMBER(G330),ISNUMBER(H330)),ROUND(G330*H330,2),""))</x:f>
      </x:c>
      <x:c r="K330" s="98" t="str">
        <x:f>IF(OR(D330="",E330=""),"",IF(AND(ISNUMBER(G330),ISNUMBER(I330)),ROUND(G330*I330,2),""))</x:f>
      </x:c>
      <x:c r="L330" s="98" t="str">
        <x:f>IF(OR(D330="",E330=""),"",IF(AND(ISNUMBER(J330),ISNUMBER(K330)),J330-K330,""))</x:f>
      </x:c>
      <x:c r="M330" s="114"/>
      <x:c r="N330" s="98" t="str">
        <x:f>IF(OR(D330="",E330=""),"",IF(COUNTIFS($D$6:D330,D330,$E$6:E330,E330)=1,MAX(SUMIFS($L$6:$L$505,$D$6:$D$505,D330,$E$6:$E$505,E330)-SUMIFS($M$6:$M$505,$D$6:$D$505,D330,$E$6:$E$505,E330),0),""))</x:f>
      </x:c>
    </x:row>
    <x:row r="331" ht="28" customHeight="1">
      <x:c r="A331" s="113" t="str">
        <x:f>IF(D331="","",IF(COUNTIFS(Trips!$A$6:$A$105,D331)=1,INDEX(Trips!$C$6:$C$105,MATCH(D331,Trips!$A$6:$A$105,0)),""))</x:f>
      </x:c>
      <x:c r="B331" s="90" t="str">
        <x:f>IF(D331="","",IF(COUNTIFS(Trips!$A$6:$A$105,D331)=1,INDEX(Trips!$B$6:$B$105,MATCH(D331,Trips!$A$6:$A$105,0)),""))</x:f>
      </x:c>
      <x:c r="C331" s="90" t="str">
        <x:f>IF(D331="","",IF(COUNTIFS(Trips!$A$6:$A$105,D331)=1,INDEX(Trips!$D$6:$D$105,MATCH(D331,Trips!$A$6:$A$105,0)),""))</x:f>
      </x:c>
      <x:c r="D331" s="107"/>
      <x:c r="E331" s="107"/>
      <x:c r="F331" s="90" t="str">
        <x:f>IF(E331="","",IF(COUNTIFS(Counters!$A$6:$A$105,E331)=1,INDEX(Counters!$B$6:$B$105,MATCH(E331,Counters!$A$6:$A$105,0)),""))</x:f>
      </x:c>
      <x:c r="G331" s="107"/>
      <x:c r="H331" s="98" t="str">
        <x:f>IF(C331="","",IF(COUNTIFS('Route List'!$F$6:$F$205,C331)=1,IF(COUNTIFS('Route List'!$F$6:$F$205,C331,'Route List'!$G$6:$G$205,"&lt;&gt;")=1,INDEX('Route List'!$G$6:$G$205,MATCH(C331,'Route List'!$F$6:$F$205,0)),"Enter route fare"),"Enter route fare"))</x:f>
      </x:c>
      <x:c r="I331" s="98" t="str">
        <x:f>IF(F331="","",IF(F331="Own",0,50))</x:f>
      </x:c>
      <x:c r="J331" s="98" t="str">
        <x:f>IF(OR(D331="",E331=""),"",IF(AND(ISNUMBER(G331),ISNUMBER(H331)),ROUND(G331*H331,2),""))</x:f>
      </x:c>
      <x:c r="K331" s="98" t="str">
        <x:f>IF(OR(D331="",E331=""),"",IF(AND(ISNUMBER(G331),ISNUMBER(I331)),ROUND(G331*I331,2),""))</x:f>
      </x:c>
      <x:c r="L331" s="98" t="str">
        <x:f>IF(OR(D331="",E331=""),"",IF(AND(ISNUMBER(J331),ISNUMBER(K331)),J331-K331,""))</x:f>
      </x:c>
      <x:c r="M331" s="114"/>
      <x:c r="N331" s="98" t="str">
        <x:f>IF(OR(D331="",E331=""),"",IF(COUNTIFS($D$6:D331,D331,$E$6:E331,E331)=1,MAX(SUMIFS($L$6:$L$505,$D$6:$D$505,D331,$E$6:$E$505,E331)-SUMIFS($M$6:$M$505,$D$6:$D$505,D331,$E$6:$E$505,E331),0),""))</x:f>
      </x:c>
    </x:row>
    <x:row r="332" ht="28" customHeight="1">
      <x:c r="A332" s="113" t="str">
        <x:f>IF(D332="","",IF(COUNTIFS(Trips!$A$6:$A$105,D332)=1,INDEX(Trips!$C$6:$C$105,MATCH(D332,Trips!$A$6:$A$105,0)),""))</x:f>
      </x:c>
      <x:c r="B332" s="90" t="str">
        <x:f>IF(D332="","",IF(COUNTIFS(Trips!$A$6:$A$105,D332)=1,INDEX(Trips!$B$6:$B$105,MATCH(D332,Trips!$A$6:$A$105,0)),""))</x:f>
      </x:c>
      <x:c r="C332" s="90" t="str">
        <x:f>IF(D332="","",IF(COUNTIFS(Trips!$A$6:$A$105,D332)=1,INDEX(Trips!$D$6:$D$105,MATCH(D332,Trips!$A$6:$A$105,0)),""))</x:f>
      </x:c>
      <x:c r="D332" s="107"/>
      <x:c r="E332" s="107"/>
      <x:c r="F332" s="90" t="str">
        <x:f>IF(E332="","",IF(COUNTIFS(Counters!$A$6:$A$105,E332)=1,INDEX(Counters!$B$6:$B$105,MATCH(E332,Counters!$A$6:$A$105,0)),""))</x:f>
      </x:c>
      <x:c r="G332" s="107"/>
      <x:c r="H332" s="98" t="str">
        <x:f>IF(C332="","",IF(COUNTIFS('Route List'!$F$6:$F$205,C332)=1,IF(COUNTIFS('Route List'!$F$6:$F$205,C332,'Route List'!$G$6:$G$205,"&lt;&gt;")=1,INDEX('Route List'!$G$6:$G$205,MATCH(C332,'Route List'!$F$6:$F$205,0)),"Enter route fare"),"Enter route fare"))</x:f>
      </x:c>
      <x:c r="I332" s="98" t="str">
        <x:f>IF(F332="","",IF(F332="Own",0,50))</x:f>
      </x:c>
      <x:c r="J332" s="98" t="str">
        <x:f>IF(OR(D332="",E332=""),"",IF(AND(ISNUMBER(G332),ISNUMBER(H332)),ROUND(G332*H332,2),""))</x:f>
      </x:c>
      <x:c r="K332" s="98" t="str">
        <x:f>IF(OR(D332="",E332=""),"",IF(AND(ISNUMBER(G332),ISNUMBER(I332)),ROUND(G332*I332,2),""))</x:f>
      </x:c>
      <x:c r="L332" s="98" t="str">
        <x:f>IF(OR(D332="",E332=""),"",IF(AND(ISNUMBER(J332),ISNUMBER(K332)),J332-K332,""))</x:f>
      </x:c>
      <x:c r="M332" s="114"/>
      <x:c r="N332" s="98" t="str">
        <x:f>IF(OR(D332="",E332=""),"",IF(COUNTIFS($D$6:D332,D332,$E$6:E332,E332)=1,MAX(SUMIFS($L$6:$L$505,$D$6:$D$505,D332,$E$6:$E$505,E332)-SUMIFS($M$6:$M$505,$D$6:$D$505,D332,$E$6:$E$505,E332),0),""))</x:f>
      </x:c>
    </x:row>
    <x:row r="333" ht="28" customHeight="1">
      <x:c r="A333" s="113" t="str">
        <x:f>IF(D333="","",IF(COUNTIFS(Trips!$A$6:$A$105,D333)=1,INDEX(Trips!$C$6:$C$105,MATCH(D333,Trips!$A$6:$A$105,0)),""))</x:f>
      </x:c>
      <x:c r="B333" s="90" t="str">
        <x:f>IF(D333="","",IF(COUNTIFS(Trips!$A$6:$A$105,D333)=1,INDEX(Trips!$B$6:$B$105,MATCH(D333,Trips!$A$6:$A$105,0)),""))</x:f>
      </x:c>
      <x:c r="C333" s="90" t="str">
        <x:f>IF(D333="","",IF(COUNTIFS(Trips!$A$6:$A$105,D333)=1,INDEX(Trips!$D$6:$D$105,MATCH(D333,Trips!$A$6:$A$105,0)),""))</x:f>
      </x:c>
      <x:c r="D333" s="107"/>
      <x:c r="E333" s="107"/>
      <x:c r="F333" s="90" t="str">
        <x:f>IF(E333="","",IF(COUNTIFS(Counters!$A$6:$A$105,E333)=1,INDEX(Counters!$B$6:$B$105,MATCH(E333,Counters!$A$6:$A$105,0)),""))</x:f>
      </x:c>
      <x:c r="G333" s="107"/>
      <x:c r="H333" s="98" t="str">
        <x:f>IF(C333="","",IF(COUNTIFS('Route List'!$F$6:$F$205,C333)=1,IF(COUNTIFS('Route List'!$F$6:$F$205,C333,'Route List'!$G$6:$G$205,"&lt;&gt;")=1,INDEX('Route List'!$G$6:$G$205,MATCH(C333,'Route List'!$F$6:$F$205,0)),"Enter route fare"),"Enter route fare"))</x:f>
      </x:c>
      <x:c r="I333" s="98" t="str">
        <x:f>IF(F333="","",IF(F333="Own",0,50))</x:f>
      </x:c>
      <x:c r="J333" s="98" t="str">
        <x:f>IF(OR(D333="",E333=""),"",IF(AND(ISNUMBER(G333),ISNUMBER(H333)),ROUND(G333*H333,2),""))</x:f>
      </x:c>
      <x:c r="K333" s="98" t="str">
        <x:f>IF(OR(D333="",E333=""),"",IF(AND(ISNUMBER(G333),ISNUMBER(I333)),ROUND(G333*I333,2),""))</x:f>
      </x:c>
      <x:c r="L333" s="98" t="str">
        <x:f>IF(OR(D333="",E333=""),"",IF(AND(ISNUMBER(J333),ISNUMBER(K333)),J333-K333,""))</x:f>
      </x:c>
      <x:c r="M333" s="114"/>
      <x:c r="N333" s="98" t="str">
        <x:f>IF(OR(D333="",E333=""),"",IF(COUNTIFS($D$6:D333,D333,$E$6:E333,E333)=1,MAX(SUMIFS($L$6:$L$505,$D$6:$D$505,D333,$E$6:$E$505,E333)-SUMIFS($M$6:$M$505,$D$6:$D$505,D333,$E$6:$E$505,E333),0),""))</x:f>
      </x:c>
    </x:row>
    <x:row r="334" ht="28" customHeight="1">
      <x:c r="A334" s="113" t="str">
        <x:f>IF(D334="","",IF(COUNTIFS(Trips!$A$6:$A$105,D334)=1,INDEX(Trips!$C$6:$C$105,MATCH(D334,Trips!$A$6:$A$105,0)),""))</x:f>
      </x:c>
      <x:c r="B334" s="90" t="str">
        <x:f>IF(D334="","",IF(COUNTIFS(Trips!$A$6:$A$105,D334)=1,INDEX(Trips!$B$6:$B$105,MATCH(D334,Trips!$A$6:$A$105,0)),""))</x:f>
      </x:c>
      <x:c r="C334" s="90" t="str">
        <x:f>IF(D334="","",IF(COUNTIFS(Trips!$A$6:$A$105,D334)=1,INDEX(Trips!$D$6:$D$105,MATCH(D334,Trips!$A$6:$A$105,0)),""))</x:f>
      </x:c>
      <x:c r="D334" s="107"/>
      <x:c r="E334" s="107"/>
      <x:c r="F334" s="90" t="str">
        <x:f>IF(E334="","",IF(COUNTIFS(Counters!$A$6:$A$105,E334)=1,INDEX(Counters!$B$6:$B$105,MATCH(E334,Counters!$A$6:$A$105,0)),""))</x:f>
      </x:c>
      <x:c r="G334" s="107"/>
      <x:c r="H334" s="98" t="str">
        <x:f>IF(C334="","",IF(COUNTIFS('Route List'!$F$6:$F$205,C334)=1,IF(COUNTIFS('Route List'!$F$6:$F$205,C334,'Route List'!$G$6:$G$205,"&lt;&gt;")=1,INDEX('Route List'!$G$6:$G$205,MATCH(C334,'Route List'!$F$6:$F$205,0)),"Enter route fare"),"Enter route fare"))</x:f>
      </x:c>
      <x:c r="I334" s="98" t="str">
        <x:f>IF(F334="","",IF(F334="Own",0,50))</x:f>
      </x:c>
      <x:c r="J334" s="98" t="str">
        <x:f>IF(OR(D334="",E334=""),"",IF(AND(ISNUMBER(G334),ISNUMBER(H334)),ROUND(G334*H334,2),""))</x:f>
      </x:c>
      <x:c r="K334" s="98" t="str">
        <x:f>IF(OR(D334="",E334=""),"",IF(AND(ISNUMBER(G334),ISNUMBER(I334)),ROUND(G334*I334,2),""))</x:f>
      </x:c>
      <x:c r="L334" s="98" t="str">
        <x:f>IF(OR(D334="",E334=""),"",IF(AND(ISNUMBER(J334),ISNUMBER(K334)),J334-K334,""))</x:f>
      </x:c>
      <x:c r="M334" s="114"/>
      <x:c r="N334" s="98" t="str">
        <x:f>IF(OR(D334="",E334=""),"",IF(COUNTIFS($D$6:D334,D334,$E$6:E334,E334)=1,MAX(SUMIFS($L$6:$L$505,$D$6:$D$505,D334,$E$6:$E$505,E334)-SUMIFS($M$6:$M$505,$D$6:$D$505,D334,$E$6:$E$505,E334),0),""))</x:f>
      </x:c>
    </x:row>
    <x:row r="335" ht="28" customHeight="1">
      <x:c r="A335" s="113" t="str">
        <x:f>IF(D335="","",IF(COUNTIFS(Trips!$A$6:$A$105,D335)=1,INDEX(Trips!$C$6:$C$105,MATCH(D335,Trips!$A$6:$A$105,0)),""))</x:f>
      </x:c>
      <x:c r="B335" s="90" t="str">
        <x:f>IF(D335="","",IF(COUNTIFS(Trips!$A$6:$A$105,D335)=1,INDEX(Trips!$B$6:$B$105,MATCH(D335,Trips!$A$6:$A$105,0)),""))</x:f>
      </x:c>
      <x:c r="C335" s="90" t="str">
        <x:f>IF(D335="","",IF(COUNTIFS(Trips!$A$6:$A$105,D335)=1,INDEX(Trips!$D$6:$D$105,MATCH(D335,Trips!$A$6:$A$105,0)),""))</x:f>
      </x:c>
      <x:c r="D335" s="107"/>
      <x:c r="E335" s="107"/>
      <x:c r="F335" s="90" t="str">
        <x:f>IF(E335="","",IF(COUNTIFS(Counters!$A$6:$A$105,E335)=1,INDEX(Counters!$B$6:$B$105,MATCH(E335,Counters!$A$6:$A$105,0)),""))</x:f>
      </x:c>
      <x:c r="G335" s="107"/>
      <x:c r="H335" s="98" t="str">
        <x:f>IF(C335="","",IF(COUNTIFS('Route List'!$F$6:$F$205,C335)=1,IF(COUNTIFS('Route List'!$F$6:$F$205,C335,'Route List'!$G$6:$G$205,"&lt;&gt;")=1,INDEX('Route List'!$G$6:$G$205,MATCH(C335,'Route List'!$F$6:$F$205,0)),"Enter route fare"),"Enter route fare"))</x:f>
      </x:c>
      <x:c r="I335" s="98" t="str">
        <x:f>IF(F335="","",IF(F335="Own",0,50))</x:f>
      </x:c>
      <x:c r="J335" s="98" t="str">
        <x:f>IF(OR(D335="",E335=""),"",IF(AND(ISNUMBER(G335),ISNUMBER(H335)),ROUND(G335*H335,2),""))</x:f>
      </x:c>
      <x:c r="K335" s="98" t="str">
        <x:f>IF(OR(D335="",E335=""),"",IF(AND(ISNUMBER(G335),ISNUMBER(I335)),ROUND(G335*I335,2),""))</x:f>
      </x:c>
      <x:c r="L335" s="98" t="str">
        <x:f>IF(OR(D335="",E335=""),"",IF(AND(ISNUMBER(J335),ISNUMBER(K335)),J335-K335,""))</x:f>
      </x:c>
      <x:c r="M335" s="114"/>
      <x:c r="N335" s="98" t="str">
        <x:f>IF(OR(D335="",E335=""),"",IF(COUNTIFS($D$6:D335,D335,$E$6:E335,E335)=1,MAX(SUMIFS($L$6:$L$505,$D$6:$D$505,D335,$E$6:$E$505,E335)-SUMIFS($M$6:$M$505,$D$6:$D$505,D335,$E$6:$E$505,E335),0),""))</x:f>
      </x:c>
    </x:row>
    <x:row r="336" ht="28" customHeight="1">
      <x:c r="A336" s="113" t="str">
        <x:f>IF(D336="","",IF(COUNTIFS(Trips!$A$6:$A$105,D336)=1,INDEX(Trips!$C$6:$C$105,MATCH(D336,Trips!$A$6:$A$105,0)),""))</x:f>
      </x:c>
      <x:c r="B336" s="90" t="str">
        <x:f>IF(D336="","",IF(COUNTIFS(Trips!$A$6:$A$105,D336)=1,INDEX(Trips!$B$6:$B$105,MATCH(D336,Trips!$A$6:$A$105,0)),""))</x:f>
      </x:c>
      <x:c r="C336" s="90" t="str">
        <x:f>IF(D336="","",IF(COUNTIFS(Trips!$A$6:$A$105,D336)=1,INDEX(Trips!$D$6:$D$105,MATCH(D336,Trips!$A$6:$A$105,0)),""))</x:f>
      </x:c>
      <x:c r="D336" s="107"/>
      <x:c r="E336" s="107"/>
      <x:c r="F336" s="90" t="str">
        <x:f>IF(E336="","",IF(COUNTIFS(Counters!$A$6:$A$105,E336)=1,INDEX(Counters!$B$6:$B$105,MATCH(E336,Counters!$A$6:$A$105,0)),""))</x:f>
      </x:c>
      <x:c r="G336" s="107"/>
      <x:c r="H336" s="98" t="str">
        <x:f>IF(C336="","",IF(COUNTIFS('Route List'!$F$6:$F$205,C336)=1,IF(COUNTIFS('Route List'!$F$6:$F$205,C336,'Route List'!$G$6:$G$205,"&lt;&gt;")=1,INDEX('Route List'!$G$6:$G$205,MATCH(C336,'Route List'!$F$6:$F$205,0)),"Enter route fare"),"Enter route fare"))</x:f>
      </x:c>
      <x:c r="I336" s="98" t="str">
        <x:f>IF(F336="","",IF(F336="Own",0,50))</x:f>
      </x:c>
      <x:c r="J336" s="98" t="str">
        <x:f>IF(OR(D336="",E336=""),"",IF(AND(ISNUMBER(G336),ISNUMBER(H336)),ROUND(G336*H336,2),""))</x:f>
      </x:c>
      <x:c r="K336" s="98" t="str">
        <x:f>IF(OR(D336="",E336=""),"",IF(AND(ISNUMBER(G336),ISNUMBER(I336)),ROUND(G336*I336,2),""))</x:f>
      </x:c>
      <x:c r="L336" s="98" t="str">
        <x:f>IF(OR(D336="",E336=""),"",IF(AND(ISNUMBER(J336),ISNUMBER(K336)),J336-K336,""))</x:f>
      </x:c>
      <x:c r="M336" s="114"/>
      <x:c r="N336" s="98" t="str">
        <x:f>IF(OR(D336="",E336=""),"",IF(COUNTIFS($D$6:D336,D336,$E$6:E336,E336)=1,MAX(SUMIFS($L$6:$L$505,$D$6:$D$505,D336,$E$6:$E$505,E336)-SUMIFS($M$6:$M$505,$D$6:$D$505,D336,$E$6:$E$505,E336),0),""))</x:f>
      </x:c>
    </x:row>
    <x:row r="337" ht="28" customHeight="1">
      <x:c r="A337" s="113" t="str">
        <x:f>IF(D337="","",IF(COUNTIFS(Trips!$A$6:$A$105,D337)=1,INDEX(Trips!$C$6:$C$105,MATCH(D337,Trips!$A$6:$A$105,0)),""))</x:f>
      </x:c>
      <x:c r="B337" s="90" t="str">
        <x:f>IF(D337="","",IF(COUNTIFS(Trips!$A$6:$A$105,D337)=1,INDEX(Trips!$B$6:$B$105,MATCH(D337,Trips!$A$6:$A$105,0)),""))</x:f>
      </x:c>
      <x:c r="C337" s="90" t="str">
        <x:f>IF(D337="","",IF(COUNTIFS(Trips!$A$6:$A$105,D337)=1,INDEX(Trips!$D$6:$D$105,MATCH(D337,Trips!$A$6:$A$105,0)),""))</x:f>
      </x:c>
      <x:c r="D337" s="107"/>
      <x:c r="E337" s="107"/>
      <x:c r="F337" s="90" t="str">
        <x:f>IF(E337="","",IF(COUNTIFS(Counters!$A$6:$A$105,E337)=1,INDEX(Counters!$B$6:$B$105,MATCH(E337,Counters!$A$6:$A$105,0)),""))</x:f>
      </x:c>
      <x:c r="G337" s="107"/>
      <x:c r="H337" s="98" t="str">
        <x:f>IF(C337="","",IF(COUNTIFS('Route List'!$F$6:$F$205,C337)=1,IF(COUNTIFS('Route List'!$F$6:$F$205,C337,'Route List'!$G$6:$G$205,"&lt;&gt;")=1,INDEX('Route List'!$G$6:$G$205,MATCH(C337,'Route List'!$F$6:$F$205,0)),"Enter route fare"),"Enter route fare"))</x:f>
      </x:c>
      <x:c r="I337" s="98" t="str">
        <x:f>IF(F337="","",IF(F337="Own",0,50))</x:f>
      </x:c>
      <x:c r="J337" s="98" t="str">
        <x:f>IF(OR(D337="",E337=""),"",IF(AND(ISNUMBER(G337),ISNUMBER(H337)),ROUND(G337*H337,2),""))</x:f>
      </x:c>
      <x:c r="K337" s="98" t="str">
        <x:f>IF(OR(D337="",E337=""),"",IF(AND(ISNUMBER(G337),ISNUMBER(I337)),ROUND(G337*I337,2),""))</x:f>
      </x:c>
      <x:c r="L337" s="98" t="str">
        <x:f>IF(OR(D337="",E337=""),"",IF(AND(ISNUMBER(J337),ISNUMBER(K337)),J337-K337,""))</x:f>
      </x:c>
      <x:c r="M337" s="114"/>
      <x:c r="N337" s="98" t="str">
        <x:f>IF(OR(D337="",E337=""),"",IF(COUNTIFS($D$6:D337,D337,$E$6:E337,E337)=1,MAX(SUMIFS($L$6:$L$505,$D$6:$D$505,D337,$E$6:$E$505,E337)-SUMIFS($M$6:$M$505,$D$6:$D$505,D337,$E$6:$E$505,E337),0),""))</x:f>
      </x:c>
    </x:row>
    <x:row r="338" ht="28" customHeight="1">
      <x:c r="A338" s="113" t="str">
        <x:f>IF(D338="","",IF(COUNTIFS(Trips!$A$6:$A$105,D338)=1,INDEX(Trips!$C$6:$C$105,MATCH(D338,Trips!$A$6:$A$105,0)),""))</x:f>
      </x:c>
      <x:c r="B338" s="90" t="str">
        <x:f>IF(D338="","",IF(COUNTIFS(Trips!$A$6:$A$105,D338)=1,INDEX(Trips!$B$6:$B$105,MATCH(D338,Trips!$A$6:$A$105,0)),""))</x:f>
      </x:c>
      <x:c r="C338" s="90" t="str">
        <x:f>IF(D338="","",IF(COUNTIFS(Trips!$A$6:$A$105,D338)=1,INDEX(Trips!$D$6:$D$105,MATCH(D338,Trips!$A$6:$A$105,0)),""))</x:f>
      </x:c>
      <x:c r="D338" s="107"/>
      <x:c r="E338" s="107"/>
      <x:c r="F338" s="90" t="str">
        <x:f>IF(E338="","",IF(COUNTIFS(Counters!$A$6:$A$105,E338)=1,INDEX(Counters!$B$6:$B$105,MATCH(E338,Counters!$A$6:$A$105,0)),""))</x:f>
      </x:c>
      <x:c r="G338" s="107"/>
      <x:c r="H338" s="98" t="str">
        <x:f>IF(C338="","",IF(COUNTIFS('Route List'!$F$6:$F$205,C338)=1,IF(COUNTIFS('Route List'!$F$6:$F$205,C338,'Route List'!$G$6:$G$205,"&lt;&gt;")=1,INDEX('Route List'!$G$6:$G$205,MATCH(C338,'Route List'!$F$6:$F$205,0)),"Enter route fare"),"Enter route fare"))</x:f>
      </x:c>
      <x:c r="I338" s="98" t="str">
        <x:f>IF(F338="","",IF(F338="Own",0,50))</x:f>
      </x:c>
      <x:c r="J338" s="98" t="str">
        <x:f>IF(OR(D338="",E338=""),"",IF(AND(ISNUMBER(G338),ISNUMBER(H338)),ROUND(G338*H338,2),""))</x:f>
      </x:c>
      <x:c r="K338" s="98" t="str">
        <x:f>IF(OR(D338="",E338=""),"",IF(AND(ISNUMBER(G338),ISNUMBER(I338)),ROUND(G338*I338,2),""))</x:f>
      </x:c>
      <x:c r="L338" s="98" t="str">
        <x:f>IF(OR(D338="",E338=""),"",IF(AND(ISNUMBER(J338),ISNUMBER(K338)),J338-K338,""))</x:f>
      </x:c>
      <x:c r="M338" s="114"/>
      <x:c r="N338" s="98" t="str">
        <x:f>IF(OR(D338="",E338=""),"",IF(COUNTIFS($D$6:D338,D338,$E$6:E338,E338)=1,MAX(SUMIFS($L$6:$L$505,$D$6:$D$505,D338,$E$6:$E$505,E338)-SUMIFS($M$6:$M$505,$D$6:$D$505,D338,$E$6:$E$505,E338),0),""))</x:f>
      </x:c>
    </x:row>
    <x:row r="339" ht="28" customHeight="1">
      <x:c r="A339" s="113" t="str">
        <x:f>IF(D339="","",IF(COUNTIFS(Trips!$A$6:$A$105,D339)=1,INDEX(Trips!$C$6:$C$105,MATCH(D339,Trips!$A$6:$A$105,0)),""))</x:f>
      </x:c>
      <x:c r="B339" s="90" t="str">
        <x:f>IF(D339="","",IF(COUNTIFS(Trips!$A$6:$A$105,D339)=1,INDEX(Trips!$B$6:$B$105,MATCH(D339,Trips!$A$6:$A$105,0)),""))</x:f>
      </x:c>
      <x:c r="C339" s="90" t="str">
        <x:f>IF(D339="","",IF(COUNTIFS(Trips!$A$6:$A$105,D339)=1,INDEX(Trips!$D$6:$D$105,MATCH(D339,Trips!$A$6:$A$105,0)),""))</x:f>
      </x:c>
      <x:c r="D339" s="107"/>
      <x:c r="E339" s="107"/>
      <x:c r="F339" s="90" t="str">
        <x:f>IF(E339="","",IF(COUNTIFS(Counters!$A$6:$A$105,E339)=1,INDEX(Counters!$B$6:$B$105,MATCH(E339,Counters!$A$6:$A$105,0)),""))</x:f>
      </x:c>
      <x:c r="G339" s="107"/>
      <x:c r="H339" s="98" t="str">
        <x:f>IF(C339="","",IF(COUNTIFS('Route List'!$F$6:$F$205,C339)=1,IF(COUNTIFS('Route List'!$F$6:$F$205,C339,'Route List'!$G$6:$G$205,"&lt;&gt;")=1,INDEX('Route List'!$G$6:$G$205,MATCH(C339,'Route List'!$F$6:$F$205,0)),"Enter route fare"),"Enter route fare"))</x:f>
      </x:c>
      <x:c r="I339" s="98" t="str">
        <x:f>IF(F339="","",IF(F339="Own",0,50))</x:f>
      </x:c>
      <x:c r="J339" s="98" t="str">
        <x:f>IF(OR(D339="",E339=""),"",IF(AND(ISNUMBER(G339),ISNUMBER(H339)),ROUND(G339*H339,2),""))</x:f>
      </x:c>
      <x:c r="K339" s="98" t="str">
        <x:f>IF(OR(D339="",E339=""),"",IF(AND(ISNUMBER(G339),ISNUMBER(I339)),ROUND(G339*I339,2),""))</x:f>
      </x:c>
      <x:c r="L339" s="98" t="str">
        <x:f>IF(OR(D339="",E339=""),"",IF(AND(ISNUMBER(J339),ISNUMBER(K339)),J339-K339,""))</x:f>
      </x:c>
      <x:c r="M339" s="114"/>
      <x:c r="N339" s="98" t="str">
        <x:f>IF(OR(D339="",E339=""),"",IF(COUNTIFS($D$6:D339,D339,$E$6:E339,E339)=1,MAX(SUMIFS($L$6:$L$505,$D$6:$D$505,D339,$E$6:$E$505,E339)-SUMIFS($M$6:$M$505,$D$6:$D$505,D339,$E$6:$E$505,E339),0),""))</x:f>
      </x:c>
    </x:row>
    <x:row r="340" ht="28" customHeight="1">
      <x:c r="A340" s="113" t="str">
        <x:f>IF(D340="","",IF(COUNTIFS(Trips!$A$6:$A$105,D340)=1,INDEX(Trips!$C$6:$C$105,MATCH(D340,Trips!$A$6:$A$105,0)),""))</x:f>
      </x:c>
      <x:c r="B340" s="90" t="str">
        <x:f>IF(D340="","",IF(COUNTIFS(Trips!$A$6:$A$105,D340)=1,INDEX(Trips!$B$6:$B$105,MATCH(D340,Trips!$A$6:$A$105,0)),""))</x:f>
      </x:c>
      <x:c r="C340" s="90" t="str">
        <x:f>IF(D340="","",IF(COUNTIFS(Trips!$A$6:$A$105,D340)=1,INDEX(Trips!$D$6:$D$105,MATCH(D340,Trips!$A$6:$A$105,0)),""))</x:f>
      </x:c>
      <x:c r="D340" s="107"/>
      <x:c r="E340" s="107"/>
      <x:c r="F340" s="90" t="str">
        <x:f>IF(E340="","",IF(COUNTIFS(Counters!$A$6:$A$105,E340)=1,INDEX(Counters!$B$6:$B$105,MATCH(E340,Counters!$A$6:$A$105,0)),""))</x:f>
      </x:c>
      <x:c r="G340" s="107"/>
      <x:c r="H340" s="98" t="str">
        <x:f>IF(C340="","",IF(COUNTIFS('Route List'!$F$6:$F$205,C340)=1,IF(COUNTIFS('Route List'!$F$6:$F$205,C340,'Route List'!$G$6:$G$205,"&lt;&gt;")=1,INDEX('Route List'!$G$6:$G$205,MATCH(C340,'Route List'!$F$6:$F$205,0)),"Enter route fare"),"Enter route fare"))</x:f>
      </x:c>
      <x:c r="I340" s="98" t="str">
        <x:f>IF(F340="","",IF(F340="Own",0,50))</x:f>
      </x:c>
      <x:c r="J340" s="98" t="str">
        <x:f>IF(OR(D340="",E340=""),"",IF(AND(ISNUMBER(G340),ISNUMBER(H340)),ROUND(G340*H340,2),""))</x:f>
      </x:c>
      <x:c r="K340" s="98" t="str">
        <x:f>IF(OR(D340="",E340=""),"",IF(AND(ISNUMBER(G340),ISNUMBER(I340)),ROUND(G340*I340,2),""))</x:f>
      </x:c>
      <x:c r="L340" s="98" t="str">
        <x:f>IF(OR(D340="",E340=""),"",IF(AND(ISNUMBER(J340),ISNUMBER(K340)),J340-K340,""))</x:f>
      </x:c>
      <x:c r="M340" s="114"/>
      <x:c r="N340" s="98" t="str">
        <x:f>IF(OR(D340="",E340=""),"",IF(COUNTIFS($D$6:D340,D340,$E$6:E340,E340)=1,MAX(SUMIFS($L$6:$L$505,$D$6:$D$505,D340,$E$6:$E$505,E340)-SUMIFS($M$6:$M$505,$D$6:$D$505,D340,$E$6:$E$505,E340),0),""))</x:f>
      </x:c>
    </x:row>
    <x:row r="341" ht="28" customHeight="1">
      <x:c r="A341" s="113" t="str">
        <x:f>IF(D341="","",IF(COUNTIFS(Trips!$A$6:$A$105,D341)=1,INDEX(Trips!$C$6:$C$105,MATCH(D341,Trips!$A$6:$A$105,0)),""))</x:f>
      </x:c>
      <x:c r="B341" s="90" t="str">
        <x:f>IF(D341="","",IF(COUNTIFS(Trips!$A$6:$A$105,D341)=1,INDEX(Trips!$B$6:$B$105,MATCH(D341,Trips!$A$6:$A$105,0)),""))</x:f>
      </x:c>
      <x:c r="C341" s="90" t="str">
        <x:f>IF(D341="","",IF(COUNTIFS(Trips!$A$6:$A$105,D341)=1,INDEX(Trips!$D$6:$D$105,MATCH(D341,Trips!$A$6:$A$105,0)),""))</x:f>
      </x:c>
      <x:c r="D341" s="107"/>
      <x:c r="E341" s="107"/>
      <x:c r="F341" s="90" t="str">
        <x:f>IF(E341="","",IF(COUNTIFS(Counters!$A$6:$A$105,E341)=1,INDEX(Counters!$B$6:$B$105,MATCH(E341,Counters!$A$6:$A$105,0)),""))</x:f>
      </x:c>
      <x:c r="G341" s="107"/>
      <x:c r="H341" s="98" t="str">
        <x:f>IF(C341="","",IF(COUNTIFS('Route List'!$F$6:$F$205,C341)=1,IF(COUNTIFS('Route List'!$F$6:$F$205,C341,'Route List'!$G$6:$G$205,"&lt;&gt;")=1,INDEX('Route List'!$G$6:$G$205,MATCH(C341,'Route List'!$F$6:$F$205,0)),"Enter route fare"),"Enter route fare"))</x:f>
      </x:c>
      <x:c r="I341" s="98" t="str">
        <x:f>IF(F341="","",IF(F341="Own",0,50))</x:f>
      </x:c>
      <x:c r="J341" s="98" t="str">
        <x:f>IF(OR(D341="",E341=""),"",IF(AND(ISNUMBER(G341),ISNUMBER(H341)),ROUND(G341*H341,2),""))</x:f>
      </x:c>
      <x:c r="K341" s="98" t="str">
        <x:f>IF(OR(D341="",E341=""),"",IF(AND(ISNUMBER(G341),ISNUMBER(I341)),ROUND(G341*I341,2),""))</x:f>
      </x:c>
      <x:c r="L341" s="98" t="str">
        <x:f>IF(OR(D341="",E341=""),"",IF(AND(ISNUMBER(J341),ISNUMBER(K341)),J341-K341,""))</x:f>
      </x:c>
      <x:c r="M341" s="114"/>
      <x:c r="N341" s="98" t="str">
        <x:f>IF(OR(D341="",E341=""),"",IF(COUNTIFS($D$6:D341,D341,$E$6:E341,E341)=1,MAX(SUMIFS($L$6:$L$505,$D$6:$D$505,D341,$E$6:$E$505,E341)-SUMIFS($M$6:$M$505,$D$6:$D$505,D341,$E$6:$E$505,E341),0),""))</x:f>
      </x:c>
    </x:row>
    <x:row r="342" ht="28" customHeight="1">
      <x:c r="A342" s="113" t="str">
        <x:f>IF(D342="","",IF(COUNTIFS(Trips!$A$6:$A$105,D342)=1,INDEX(Trips!$C$6:$C$105,MATCH(D342,Trips!$A$6:$A$105,0)),""))</x:f>
      </x:c>
      <x:c r="B342" s="90" t="str">
        <x:f>IF(D342="","",IF(COUNTIFS(Trips!$A$6:$A$105,D342)=1,INDEX(Trips!$B$6:$B$105,MATCH(D342,Trips!$A$6:$A$105,0)),""))</x:f>
      </x:c>
      <x:c r="C342" s="90" t="str">
        <x:f>IF(D342="","",IF(COUNTIFS(Trips!$A$6:$A$105,D342)=1,INDEX(Trips!$D$6:$D$105,MATCH(D342,Trips!$A$6:$A$105,0)),""))</x:f>
      </x:c>
      <x:c r="D342" s="107"/>
      <x:c r="E342" s="107"/>
      <x:c r="F342" s="90" t="str">
        <x:f>IF(E342="","",IF(COUNTIFS(Counters!$A$6:$A$105,E342)=1,INDEX(Counters!$B$6:$B$105,MATCH(E342,Counters!$A$6:$A$105,0)),""))</x:f>
      </x:c>
      <x:c r="G342" s="107"/>
      <x:c r="H342" s="98" t="str">
        <x:f>IF(C342="","",IF(COUNTIFS('Route List'!$F$6:$F$205,C342)=1,IF(COUNTIFS('Route List'!$F$6:$F$205,C342,'Route List'!$G$6:$G$205,"&lt;&gt;")=1,INDEX('Route List'!$G$6:$G$205,MATCH(C342,'Route List'!$F$6:$F$205,0)),"Enter route fare"),"Enter route fare"))</x:f>
      </x:c>
      <x:c r="I342" s="98" t="str">
        <x:f>IF(F342="","",IF(F342="Own",0,50))</x:f>
      </x:c>
      <x:c r="J342" s="98" t="str">
        <x:f>IF(OR(D342="",E342=""),"",IF(AND(ISNUMBER(G342),ISNUMBER(H342)),ROUND(G342*H342,2),""))</x:f>
      </x:c>
      <x:c r="K342" s="98" t="str">
        <x:f>IF(OR(D342="",E342=""),"",IF(AND(ISNUMBER(G342),ISNUMBER(I342)),ROUND(G342*I342,2),""))</x:f>
      </x:c>
      <x:c r="L342" s="98" t="str">
        <x:f>IF(OR(D342="",E342=""),"",IF(AND(ISNUMBER(J342),ISNUMBER(K342)),J342-K342,""))</x:f>
      </x:c>
      <x:c r="M342" s="114"/>
      <x:c r="N342" s="98" t="str">
        <x:f>IF(OR(D342="",E342=""),"",IF(COUNTIFS($D$6:D342,D342,$E$6:E342,E342)=1,MAX(SUMIFS($L$6:$L$505,$D$6:$D$505,D342,$E$6:$E$505,E342)-SUMIFS($M$6:$M$505,$D$6:$D$505,D342,$E$6:$E$505,E342),0),""))</x:f>
      </x:c>
    </x:row>
    <x:row r="343" ht="28" customHeight="1">
      <x:c r="A343" s="113" t="str">
        <x:f>IF(D343="","",IF(COUNTIFS(Trips!$A$6:$A$105,D343)=1,INDEX(Trips!$C$6:$C$105,MATCH(D343,Trips!$A$6:$A$105,0)),""))</x:f>
      </x:c>
      <x:c r="B343" s="90" t="str">
        <x:f>IF(D343="","",IF(COUNTIFS(Trips!$A$6:$A$105,D343)=1,INDEX(Trips!$B$6:$B$105,MATCH(D343,Trips!$A$6:$A$105,0)),""))</x:f>
      </x:c>
      <x:c r="C343" s="90" t="str">
        <x:f>IF(D343="","",IF(COUNTIFS(Trips!$A$6:$A$105,D343)=1,INDEX(Trips!$D$6:$D$105,MATCH(D343,Trips!$A$6:$A$105,0)),""))</x:f>
      </x:c>
      <x:c r="D343" s="107"/>
      <x:c r="E343" s="107"/>
      <x:c r="F343" s="90" t="str">
        <x:f>IF(E343="","",IF(COUNTIFS(Counters!$A$6:$A$105,E343)=1,INDEX(Counters!$B$6:$B$105,MATCH(E343,Counters!$A$6:$A$105,0)),""))</x:f>
      </x:c>
      <x:c r="G343" s="107"/>
      <x:c r="H343" s="98" t="str">
        <x:f>IF(C343="","",IF(COUNTIFS('Route List'!$F$6:$F$205,C343)=1,IF(COUNTIFS('Route List'!$F$6:$F$205,C343,'Route List'!$G$6:$G$205,"&lt;&gt;")=1,INDEX('Route List'!$G$6:$G$205,MATCH(C343,'Route List'!$F$6:$F$205,0)),"Enter route fare"),"Enter route fare"))</x:f>
      </x:c>
      <x:c r="I343" s="98" t="str">
        <x:f>IF(F343="","",IF(F343="Own",0,50))</x:f>
      </x:c>
      <x:c r="J343" s="98" t="str">
        <x:f>IF(OR(D343="",E343=""),"",IF(AND(ISNUMBER(G343),ISNUMBER(H343)),ROUND(G343*H343,2),""))</x:f>
      </x:c>
      <x:c r="K343" s="98" t="str">
        <x:f>IF(OR(D343="",E343=""),"",IF(AND(ISNUMBER(G343),ISNUMBER(I343)),ROUND(G343*I343,2),""))</x:f>
      </x:c>
      <x:c r="L343" s="98" t="str">
        <x:f>IF(OR(D343="",E343=""),"",IF(AND(ISNUMBER(J343),ISNUMBER(K343)),J343-K343,""))</x:f>
      </x:c>
      <x:c r="M343" s="114"/>
      <x:c r="N343" s="98" t="str">
        <x:f>IF(OR(D343="",E343=""),"",IF(COUNTIFS($D$6:D343,D343,$E$6:E343,E343)=1,MAX(SUMIFS($L$6:$L$505,$D$6:$D$505,D343,$E$6:$E$505,E343)-SUMIFS($M$6:$M$505,$D$6:$D$505,D343,$E$6:$E$505,E343),0),""))</x:f>
      </x:c>
    </x:row>
    <x:row r="344" ht="28" customHeight="1">
      <x:c r="A344" s="113" t="str">
        <x:f>IF(D344="","",IF(COUNTIFS(Trips!$A$6:$A$105,D344)=1,INDEX(Trips!$C$6:$C$105,MATCH(D344,Trips!$A$6:$A$105,0)),""))</x:f>
      </x:c>
      <x:c r="B344" s="90" t="str">
        <x:f>IF(D344="","",IF(COUNTIFS(Trips!$A$6:$A$105,D344)=1,INDEX(Trips!$B$6:$B$105,MATCH(D344,Trips!$A$6:$A$105,0)),""))</x:f>
      </x:c>
      <x:c r="C344" s="90" t="str">
        <x:f>IF(D344="","",IF(COUNTIFS(Trips!$A$6:$A$105,D344)=1,INDEX(Trips!$D$6:$D$105,MATCH(D344,Trips!$A$6:$A$105,0)),""))</x:f>
      </x:c>
      <x:c r="D344" s="107"/>
      <x:c r="E344" s="107"/>
      <x:c r="F344" s="90" t="str">
        <x:f>IF(E344="","",IF(COUNTIFS(Counters!$A$6:$A$105,E344)=1,INDEX(Counters!$B$6:$B$105,MATCH(E344,Counters!$A$6:$A$105,0)),""))</x:f>
      </x:c>
      <x:c r="G344" s="107"/>
      <x:c r="H344" s="98" t="str">
        <x:f>IF(C344="","",IF(COUNTIFS('Route List'!$F$6:$F$205,C344)=1,IF(COUNTIFS('Route List'!$F$6:$F$205,C344,'Route List'!$G$6:$G$205,"&lt;&gt;")=1,INDEX('Route List'!$G$6:$G$205,MATCH(C344,'Route List'!$F$6:$F$205,0)),"Enter route fare"),"Enter route fare"))</x:f>
      </x:c>
      <x:c r="I344" s="98" t="str">
        <x:f>IF(F344="","",IF(F344="Own",0,50))</x:f>
      </x:c>
      <x:c r="J344" s="98" t="str">
        <x:f>IF(OR(D344="",E344=""),"",IF(AND(ISNUMBER(G344),ISNUMBER(H344)),ROUND(G344*H344,2),""))</x:f>
      </x:c>
      <x:c r="K344" s="98" t="str">
        <x:f>IF(OR(D344="",E344=""),"",IF(AND(ISNUMBER(G344),ISNUMBER(I344)),ROUND(G344*I344,2),""))</x:f>
      </x:c>
      <x:c r="L344" s="98" t="str">
        <x:f>IF(OR(D344="",E344=""),"",IF(AND(ISNUMBER(J344),ISNUMBER(K344)),J344-K344,""))</x:f>
      </x:c>
      <x:c r="M344" s="114"/>
      <x:c r="N344" s="98" t="str">
        <x:f>IF(OR(D344="",E344=""),"",IF(COUNTIFS($D$6:D344,D344,$E$6:E344,E344)=1,MAX(SUMIFS($L$6:$L$505,$D$6:$D$505,D344,$E$6:$E$505,E344)-SUMIFS($M$6:$M$505,$D$6:$D$505,D344,$E$6:$E$505,E344),0),""))</x:f>
      </x:c>
    </x:row>
    <x:row r="345" ht="28" customHeight="1">
      <x:c r="A345" s="113" t="str">
        <x:f>IF(D345="","",IF(COUNTIFS(Trips!$A$6:$A$105,D345)=1,INDEX(Trips!$C$6:$C$105,MATCH(D345,Trips!$A$6:$A$105,0)),""))</x:f>
      </x:c>
      <x:c r="B345" s="90" t="str">
        <x:f>IF(D345="","",IF(COUNTIFS(Trips!$A$6:$A$105,D345)=1,INDEX(Trips!$B$6:$B$105,MATCH(D345,Trips!$A$6:$A$105,0)),""))</x:f>
      </x:c>
      <x:c r="C345" s="90" t="str">
        <x:f>IF(D345="","",IF(COUNTIFS(Trips!$A$6:$A$105,D345)=1,INDEX(Trips!$D$6:$D$105,MATCH(D345,Trips!$A$6:$A$105,0)),""))</x:f>
      </x:c>
      <x:c r="D345" s="107"/>
      <x:c r="E345" s="107"/>
      <x:c r="F345" s="90" t="str">
        <x:f>IF(E345="","",IF(COUNTIFS(Counters!$A$6:$A$105,E345)=1,INDEX(Counters!$B$6:$B$105,MATCH(E345,Counters!$A$6:$A$105,0)),""))</x:f>
      </x:c>
      <x:c r="G345" s="107"/>
      <x:c r="H345" s="98" t="str">
        <x:f>IF(C345="","",IF(COUNTIFS('Route List'!$F$6:$F$205,C345)=1,IF(COUNTIFS('Route List'!$F$6:$F$205,C345,'Route List'!$G$6:$G$205,"&lt;&gt;")=1,INDEX('Route List'!$G$6:$G$205,MATCH(C345,'Route List'!$F$6:$F$205,0)),"Enter route fare"),"Enter route fare"))</x:f>
      </x:c>
      <x:c r="I345" s="98" t="str">
        <x:f>IF(F345="","",IF(F345="Own",0,50))</x:f>
      </x:c>
      <x:c r="J345" s="98" t="str">
        <x:f>IF(OR(D345="",E345=""),"",IF(AND(ISNUMBER(G345),ISNUMBER(H345)),ROUND(G345*H345,2),""))</x:f>
      </x:c>
      <x:c r="K345" s="98" t="str">
        <x:f>IF(OR(D345="",E345=""),"",IF(AND(ISNUMBER(G345),ISNUMBER(I345)),ROUND(G345*I345,2),""))</x:f>
      </x:c>
      <x:c r="L345" s="98" t="str">
        <x:f>IF(OR(D345="",E345=""),"",IF(AND(ISNUMBER(J345),ISNUMBER(K345)),J345-K345,""))</x:f>
      </x:c>
      <x:c r="M345" s="114"/>
      <x:c r="N345" s="98" t="str">
        <x:f>IF(OR(D345="",E345=""),"",IF(COUNTIFS($D$6:D345,D345,$E$6:E345,E345)=1,MAX(SUMIFS($L$6:$L$505,$D$6:$D$505,D345,$E$6:$E$505,E345)-SUMIFS($M$6:$M$505,$D$6:$D$505,D345,$E$6:$E$505,E345),0),""))</x:f>
      </x:c>
    </x:row>
    <x:row r="346" ht="28" customHeight="1">
      <x:c r="A346" s="113" t="str">
        <x:f>IF(D346="","",IF(COUNTIFS(Trips!$A$6:$A$105,D346)=1,INDEX(Trips!$C$6:$C$105,MATCH(D346,Trips!$A$6:$A$105,0)),""))</x:f>
      </x:c>
      <x:c r="B346" s="90" t="str">
        <x:f>IF(D346="","",IF(COUNTIFS(Trips!$A$6:$A$105,D346)=1,INDEX(Trips!$B$6:$B$105,MATCH(D346,Trips!$A$6:$A$105,0)),""))</x:f>
      </x:c>
      <x:c r="C346" s="90" t="str">
        <x:f>IF(D346="","",IF(COUNTIFS(Trips!$A$6:$A$105,D346)=1,INDEX(Trips!$D$6:$D$105,MATCH(D346,Trips!$A$6:$A$105,0)),""))</x:f>
      </x:c>
      <x:c r="D346" s="107"/>
      <x:c r="E346" s="107"/>
      <x:c r="F346" s="90" t="str">
        <x:f>IF(E346="","",IF(COUNTIFS(Counters!$A$6:$A$105,E346)=1,INDEX(Counters!$B$6:$B$105,MATCH(E346,Counters!$A$6:$A$105,0)),""))</x:f>
      </x:c>
      <x:c r="G346" s="107"/>
      <x:c r="H346" s="98" t="str">
        <x:f>IF(C346="","",IF(COUNTIFS('Route List'!$F$6:$F$205,C346)=1,IF(COUNTIFS('Route List'!$F$6:$F$205,C346,'Route List'!$G$6:$G$205,"&lt;&gt;")=1,INDEX('Route List'!$G$6:$G$205,MATCH(C346,'Route List'!$F$6:$F$205,0)),"Enter route fare"),"Enter route fare"))</x:f>
      </x:c>
      <x:c r="I346" s="98" t="str">
        <x:f>IF(F346="","",IF(F346="Own",0,50))</x:f>
      </x:c>
      <x:c r="J346" s="98" t="str">
        <x:f>IF(OR(D346="",E346=""),"",IF(AND(ISNUMBER(G346),ISNUMBER(H346)),ROUND(G346*H346,2),""))</x:f>
      </x:c>
      <x:c r="K346" s="98" t="str">
        <x:f>IF(OR(D346="",E346=""),"",IF(AND(ISNUMBER(G346),ISNUMBER(I346)),ROUND(G346*I346,2),""))</x:f>
      </x:c>
      <x:c r="L346" s="98" t="str">
        <x:f>IF(OR(D346="",E346=""),"",IF(AND(ISNUMBER(J346),ISNUMBER(K346)),J346-K346,""))</x:f>
      </x:c>
      <x:c r="M346" s="114"/>
      <x:c r="N346" s="98" t="str">
        <x:f>IF(OR(D346="",E346=""),"",IF(COUNTIFS($D$6:D346,D346,$E$6:E346,E346)=1,MAX(SUMIFS($L$6:$L$505,$D$6:$D$505,D346,$E$6:$E$505,E346)-SUMIFS($M$6:$M$505,$D$6:$D$505,D346,$E$6:$E$505,E346),0),""))</x:f>
      </x:c>
    </x:row>
    <x:row r="347" ht="28" customHeight="1">
      <x:c r="A347" s="113" t="str">
        <x:f>IF(D347="","",IF(COUNTIFS(Trips!$A$6:$A$105,D347)=1,INDEX(Trips!$C$6:$C$105,MATCH(D347,Trips!$A$6:$A$105,0)),""))</x:f>
      </x:c>
      <x:c r="B347" s="90" t="str">
        <x:f>IF(D347="","",IF(COUNTIFS(Trips!$A$6:$A$105,D347)=1,INDEX(Trips!$B$6:$B$105,MATCH(D347,Trips!$A$6:$A$105,0)),""))</x:f>
      </x:c>
      <x:c r="C347" s="90" t="str">
        <x:f>IF(D347="","",IF(COUNTIFS(Trips!$A$6:$A$105,D347)=1,INDEX(Trips!$D$6:$D$105,MATCH(D347,Trips!$A$6:$A$105,0)),""))</x:f>
      </x:c>
      <x:c r="D347" s="107"/>
      <x:c r="E347" s="107"/>
      <x:c r="F347" s="90" t="str">
        <x:f>IF(E347="","",IF(COUNTIFS(Counters!$A$6:$A$105,E347)=1,INDEX(Counters!$B$6:$B$105,MATCH(E347,Counters!$A$6:$A$105,0)),""))</x:f>
      </x:c>
      <x:c r="G347" s="107"/>
      <x:c r="H347" s="98" t="str">
        <x:f>IF(C347="","",IF(COUNTIFS('Route List'!$F$6:$F$205,C347)=1,IF(COUNTIFS('Route List'!$F$6:$F$205,C347,'Route List'!$G$6:$G$205,"&lt;&gt;")=1,INDEX('Route List'!$G$6:$G$205,MATCH(C347,'Route List'!$F$6:$F$205,0)),"Enter route fare"),"Enter route fare"))</x:f>
      </x:c>
      <x:c r="I347" s="98" t="str">
        <x:f>IF(F347="","",IF(F347="Own",0,50))</x:f>
      </x:c>
      <x:c r="J347" s="98" t="str">
        <x:f>IF(OR(D347="",E347=""),"",IF(AND(ISNUMBER(G347),ISNUMBER(H347)),ROUND(G347*H347,2),""))</x:f>
      </x:c>
      <x:c r="K347" s="98" t="str">
        <x:f>IF(OR(D347="",E347=""),"",IF(AND(ISNUMBER(G347),ISNUMBER(I347)),ROUND(G347*I347,2),""))</x:f>
      </x:c>
      <x:c r="L347" s="98" t="str">
        <x:f>IF(OR(D347="",E347=""),"",IF(AND(ISNUMBER(J347),ISNUMBER(K347)),J347-K347,""))</x:f>
      </x:c>
      <x:c r="M347" s="114"/>
      <x:c r="N347" s="98" t="str">
        <x:f>IF(OR(D347="",E347=""),"",IF(COUNTIFS($D$6:D347,D347,$E$6:E347,E347)=1,MAX(SUMIFS($L$6:$L$505,$D$6:$D$505,D347,$E$6:$E$505,E347)-SUMIFS($M$6:$M$505,$D$6:$D$505,D347,$E$6:$E$505,E347),0),""))</x:f>
      </x:c>
    </x:row>
    <x:row r="348" ht="28" customHeight="1">
      <x:c r="A348" s="113" t="str">
        <x:f>IF(D348="","",IF(COUNTIFS(Trips!$A$6:$A$105,D348)=1,INDEX(Trips!$C$6:$C$105,MATCH(D348,Trips!$A$6:$A$105,0)),""))</x:f>
      </x:c>
      <x:c r="B348" s="90" t="str">
        <x:f>IF(D348="","",IF(COUNTIFS(Trips!$A$6:$A$105,D348)=1,INDEX(Trips!$B$6:$B$105,MATCH(D348,Trips!$A$6:$A$105,0)),""))</x:f>
      </x:c>
      <x:c r="C348" s="90" t="str">
        <x:f>IF(D348="","",IF(COUNTIFS(Trips!$A$6:$A$105,D348)=1,INDEX(Trips!$D$6:$D$105,MATCH(D348,Trips!$A$6:$A$105,0)),""))</x:f>
      </x:c>
      <x:c r="D348" s="107"/>
      <x:c r="E348" s="107"/>
      <x:c r="F348" s="90" t="str">
        <x:f>IF(E348="","",IF(COUNTIFS(Counters!$A$6:$A$105,E348)=1,INDEX(Counters!$B$6:$B$105,MATCH(E348,Counters!$A$6:$A$105,0)),""))</x:f>
      </x:c>
      <x:c r="G348" s="107"/>
      <x:c r="H348" s="98" t="str">
        <x:f>IF(C348="","",IF(COUNTIFS('Route List'!$F$6:$F$205,C348)=1,IF(COUNTIFS('Route List'!$F$6:$F$205,C348,'Route List'!$G$6:$G$205,"&lt;&gt;")=1,INDEX('Route List'!$G$6:$G$205,MATCH(C348,'Route List'!$F$6:$F$205,0)),"Enter route fare"),"Enter route fare"))</x:f>
      </x:c>
      <x:c r="I348" s="98" t="str">
        <x:f>IF(F348="","",IF(F348="Own",0,50))</x:f>
      </x:c>
      <x:c r="J348" s="98" t="str">
        <x:f>IF(OR(D348="",E348=""),"",IF(AND(ISNUMBER(G348),ISNUMBER(H348)),ROUND(G348*H348,2),""))</x:f>
      </x:c>
      <x:c r="K348" s="98" t="str">
        <x:f>IF(OR(D348="",E348=""),"",IF(AND(ISNUMBER(G348),ISNUMBER(I348)),ROUND(G348*I348,2),""))</x:f>
      </x:c>
      <x:c r="L348" s="98" t="str">
        <x:f>IF(OR(D348="",E348=""),"",IF(AND(ISNUMBER(J348),ISNUMBER(K348)),J348-K348,""))</x:f>
      </x:c>
      <x:c r="M348" s="114"/>
      <x:c r="N348" s="98" t="str">
        <x:f>IF(OR(D348="",E348=""),"",IF(COUNTIFS($D$6:D348,D348,$E$6:E348,E348)=1,MAX(SUMIFS($L$6:$L$505,$D$6:$D$505,D348,$E$6:$E$505,E348)-SUMIFS($M$6:$M$505,$D$6:$D$505,D348,$E$6:$E$505,E348),0),""))</x:f>
      </x:c>
    </x:row>
    <x:row r="349" ht="28" customHeight="1">
      <x:c r="A349" s="113" t="str">
        <x:f>IF(D349="","",IF(COUNTIFS(Trips!$A$6:$A$105,D349)=1,INDEX(Trips!$C$6:$C$105,MATCH(D349,Trips!$A$6:$A$105,0)),""))</x:f>
      </x:c>
      <x:c r="B349" s="90" t="str">
        <x:f>IF(D349="","",IF(COUNTIFS(Trips!$A$6:$A$105,D349)=1,INDEX(Trips!$B$6:$B$105,MATCH(D349,Trips!$A$6:$A$105,0)),""))</x:f>
      </x:c>
      <x:c r="C349" s="90" t="str">
        <x:f>IF(D349="","",IF(COUNTIFS(Trips!$A$6:$A$105,D349)=1,INDEX(Trips!$D$6:$D$105,MATCH(D349,Trips!$A$6:$A$105,0)),""))</x:f>
      </x:c>
      <x:c r="D349" s="107"/>
      <x:c r="E349" s="107"/>
      <x:c r="F349" s="90" t="str">
        <x:f>IF(E349="","",IF(COUNTIFS(Counters!$A$6:$A$105,E349)=1,INDEX(Counters!$B$6:$B$105,MATCH(E349,Counters!$A$6:$A$105,0)),""))</x:f>
      </x:c>
      <x:c r="G349" s="107"/>
      <x:c r="H349" s="98" t="str">
        <x:f>IF(C349="","",IF(COUNTIFS('Route List'!$F$6:$F$205,C349)=1,IF(COUNTIFS('Route List'!$F$6:$F$205,C349,'Route List'!$G$6:$G$205,"&lt;&gt;")=1,INDEX('Route List'!$G$6:$G$205,MATCH(C349,'Route List'!$F$6:$F$205,0)),"Enter route fare"),"Enter route fare"))</x:f>
      </x:c>
      <x:c r="I349" s="98" t="str">
        <x:f>IF(F349="","",IF(F349="Own",0,50))</x:f>
      </x:c>
      <x:c r="J349" s="98" t="str">
        <x:f>IF(OR(D349="",E349=""),"",IF(AND(ISNUMBER(G349),ISNUMBER(H349)),ROUND(G349*H349,2),""))</x:f>
      </x:c>
      <x:c r="K349" s="98" t="str">
        <x:f>IF(OR(D349="",E349=""),"",IF(AND(ISNUMBER(G349),ISNUMBER(I349)),ROUND(G349*I349,2),""))</x:f>
      </x:c>
      <x:c r="L349" s="98" t="str">
        <x:f>IF(OR(D349="",E349=""),"",IF(AND(ISNUMBER(J349),ISNUMBER(K349)),J349-K349,""))</x:f>
      </x:c>
      <x:c r="M349" s="114"/>
      <x:c r="N349" s="98" t="str">
        <x:f>IF(OR(D349="",E349=""),"",IF(COUNTIFS($D$6:D349,D349,$E$6:E349,E349)=1,MAX(SUMIFS($L$6:$L$505,$D$6:$D$505,D349,$E$6:$E$505,E349)-SUMIFS($M$6:$M$505,$D$6:$D$505,D349,$E$6:$E$505,E349),0),""))</x:f>
      </x:c>
    </x:row>
    <x:row r="350" ht="28" customHeight="1">
      <x:c r="A350" s="113" t="str">
        <x:f>IF(D350="","",IF(COUNTIFS(Trips!$A$6:$A$105,D350)=1,INDEX(Trips!$C$6:$C$105,MATCH(D350,Trips!$A$6:$A$105,0)),""))</x:f>
      </x:c>
      <x:c r="B350" s="90" t="str">
        <x:f>IF(D350="","",IF(COUNTIFS(Trips!$A$6:$A$105,D350)=1,INDEX(Trips!$B$6:$B$105,MATCH(D350,Trips!$A$6:$A$105,0)),""))</x:f>
      </x:c>
      <x:c r="C350" s="90" t="str">
        <x:f>IF(D350="","",IF(COUNTIFS(Trips!$A$6:$A$105,D350)=1,INDEX(Trips!$D$6:$D$105,MATCH(D350,Trips!$A$6:$A$105,0)),""))</x:f>
      </x:c>
      <x:c r="D350" s="107"/>
      <x:c r="E350" s="107"/>
      <x:c r="F350" s="90" t="str">
        <x:f>IF(E350="","",IF(COUNTIFS(Counters!$A$6:$A$105,E350)=1,INDEX(Counters!$B$6:$B$105,MATCH(E350,Counters!$A$6:$A$105,0)),""))</x:f>
      </x:c>
      <x:c r="G350" s="107"/>
      <x:c r="H350" s="98" t="str">
        <x:f>IF(C350="","",IF(COUNTIFS('Route List'!$F$6:$F$205,C350)=1,IF(COUNTIFS('Route List'!$F$6:$F$205,C350,'Route List'!$G$6:$G$205,"&lt;&gt;")=1,INDEX('Route List'!$G$6:$G$205,MATCH(C350,'Route List'!$F$6:$F$205,0)),"Enter route fare"),"Enter route fare"))</x:f>
      </x:c>
      <x:c r="I350" s="98" t="str">
        <x:f>IF(F350="","",IF(F350="Own",0,50))</x:f>
      </x:c>
      <x:c r="J350" s="98" t="str">
        <x:f>IF(OR(D350="",E350=""),"",IF(AND(ISNUMBER(G350),ISNUMBER(H350)),ROUND(G350*H350,2),""))</x:f>
      </x:c>
      <x:c r="K350" s="98" t="str">
        <x:f>IF(OR(D350="",E350=""),"",IF(AND(ISNUMBER(G350),ISNUMBER(I350)),ROUND(G350*I350,2),""))</x:f>
      </x:c>
      <x:c r="L350" s="98" t="str">
        <x:f>IF(OR(D350="",E350=""),"",IF(AND(ISNUMBER(J350),ISNUMBER(K350)),J350-K350,""))</x:f>
      </x:c>
      <x:c r="M350" s="114"/>
      <x:c r="N350" s="98" t="str">
        <x:f>IF(OR(D350="",E350=""),"",IF(COUNTIFS($D$6:D350,D350,$E$6:E350,E350)=1,MAX(SUMIFS($L$6:$L$505,$D$6:$D$505,D350,$E$6:$E$505,E350)-SUMIFS($M$6:$M$505,$D$6:$D$505,D350,$E$6:$E$505,E350),0),""))</x:f>
      </x:c>
    </x:row>
    <x:row r="351" ht="28" customHeight="1">
      <x:c r="A351" s="113" t="str">
        <x:f>IF(D351="","",IF(COUNTIFS(Trips!$A$6:$A$105,D351)=1,INDEX(Trips!$C$6:$C$105,MATCH(D351,Trips!$A$6:$A$105,0)),""))</x:f>
      </x:c>
      <x:c r="B351" s="90" t="str">
        <x:f>IF(D351="","",IF(COUNTIFS(Trips!$A$6:$A$105,D351)=1,INDEX(Trips!$B$6:$B$105,MATCH(D351,Trips!$A$6:$A$105,0)),""))</x:f>
      </x:c>
      <x:c r="C351" s="90" t="str">
        <x:f>IF(D351="","",IF(COUNTIFS(Trips!$A$6:$A$105,D351)=1,INDEX(Trips!$D$6:$D$105,MATCH(D351,Trips!$A$6:$A$105,0)),""))</x:f>
      </x:c>
      <x:c r="D351" s="107"/>
      <x:c r="E351" s="107"/>
      <x:c r="F351" s="90" t="str">
        <x:f>IF(E351="","",IF(COUNTIFS(Counters!$A$6:$A$105,E351)=1,INDEX(Counters!$B$6:$B$105,MATCH(E351,Counters!$A$6:$A$105,0)),""))</x:f>
      </x:c>
      <x:c r="G351" s="107"/>
      <x:c r="H351" s="98" t="str">
        <x:f>IF(C351="","",IF(COUNTIFS('Route List'!$F$6:$F$205,C351)=1,IF(COUNTIFS('Route List'!$F$6:$F$205,C351,'Route List'!$G$6:$G$205,"&lt;&gt;")=1,INDEX('Route List'!$G$6:$G$205,MATCH(C351,'Route List'!$F$6:$F$205,0)),"Enter route fare"),"Enter route fare"))</x:f>
      </x:c>
      <x:c r="I351" s="98" t="str">
        <x:f>IF(F351="","",IF(F351="Own",0,50))</x:f>
      </x:c>
      <x:c r="J351" s="98" t="str">
        <x:f>IF(OR(D351="",E351=""),"",IF(AND(ISNUMBER(G351),ISNUMBER(H351)),ROUND(G351*H351,2),""))</x:f>
      </x:c>
      <x:c r="K351" s="98" t="str">
        <x:f>IF(OR(D351="",E351=""),"",IF(AND(ISNUMBER(G351),ISNUMBER(I351)),ROUND(G351*I351,2),""))</x:f>
      </x:c>
      <x:c r="L351" s="98" t="str">
        <x:f>IF(OR(D351="",E351=""),"",IF(AND(ISNUMBER(J351),ISNUMBER(K351)),J351-K351,""))</x:f>
      </x:c>
      <x:c r="M351" s="114"/>
      <x:c r="N351" s="98" t="str">
        <x:f>IF(OR(D351="",E351=""),"",IF(COUNTIFS($D$6:D351,D351,$E$6:E351,E351)=1,MAX(SUMIFS($L$6:$L$505,$D$6:$D$505,D351,$E$6:$E$505,E351)-SUMIFS($M$6:$M$505,$D$6:$D$505,D351,$E$6:$E$505,E351),0),""))</x:f>
      </x:c>
    </x:row>
    <x:row r="352" ht="28" customHeight="1">
      <x:c r="A352" s="113" t="str">
        <x:f>IF(D352="","",IF(COUNTIFS(Trips!$A$6:$A$105,D352)=1,INDEX(Trips!$C$6:$C$105,MATCH(D352,Trips!$A$6:$A$105,0)),""))</x:f>
      </x:c>
      <x:c r="B352" s="90" t="str">
        <x:f>IF(D352="","",IF(COUNTIFS(Trips!$A$6:$A$105,D352)=1,INDEX(Trips!$B$6:$B$105,MATCH(D352,Trips!$A$6:$A$105,0)),""))</x:f>
      </x:c>
      <x:c r="C352" s="90" t="str">
        <x:f>IF(D352="","",IF(COUNTIFS(Trips!$A$6:$A$105,D352)=1,INDEX(Trips!$D$6:$D$105,MATCH(D352,Trips!$A$6:$A$105,0)),""))</x:f>
      </x:c>
      <x:c r="D352" s="107"/>
      <x:c r="E352" s="107"/>
      <x:c r="F352" s="90" t="str">
        <x:f>IF(E352="","",IF(COUNTIFS(Counters!$A$6:$A$105,E352)=1,INDEX(Counters!$B$6:$B$105,MATCH(E352,Counters!$A$6:$A$105,0)),""))</x:f>
      </x:c>
      <x:c r="G352" s="107"/>
      <x:c r="H352" s="98" t="str">
        <x:f>IF(C352="","",IF(COUNTIFS('Route List'!$F$6:$F$205,C352)=1,IF(COUNTIFS('Route List'!$F$6:$F$205,C352,'Route List'!$G$6:$G$205,"&lt;&gt;")=1,INDEX('Route List'!$G$6:$G$205,MATCH(C352,'Route List'!$F$6:$F$205,0)),"Enter route fare"),"Enter route fare"))</x:f>
      </x:c>
      <x:c r="I352" s="98" t="str">
        <x:f>IF(F352="","",IF(F352="Own",0,50))</x:f>
      </x:c>
      <x:c r="J352" s="98" t="str">
        <x:f>IF(OR(D352="",E352=""),"",IF(AND(ISNUMBER(G352),ISNUMBER(H352)),ROUND(G352*H352,2),""))</x:f>
      </x:c>
      <x:c r="K352" s="98" t="str">
        <x:f>IF(OR(D352="",E352=""),"",IF(AND(ISNUMBER(G352),ISNUMBER(I352)),ROUND(G352*I352,2),""))</x:f>
      </x:c>
      <x:c r="L352" s="98" t="str">
        <x:f>IF(OR(D352="",E352=""),"",IF(AND(ISNUMBER(J352),ISNUMBER(K352)),J352-K352,""))</x:f>
      </x:c>
      <x:c r="M352" s="114"/>
      <x:c r="N352" s="98" t="str">
        <x:f>IF(OR(D352="",E352=""),"",IF(COUNTIFS($D$6:D352,D352,$E$6:E352,E352)=1,MAX(SUMIFS($L$6:$L$505,$D$6:$D$505,D352,$E$6:$E$505,E352)-SUMIFS($M$6:$M$505,$D$6:$D$505,D352,$E$6:$E$505,E352),0),""))</x:f>
      </x:c>
    </x:row>
    <x:row r="353" ht="28" customHeight="1">
      <x:c r="A353" s="113" t="str">
        <x:f>IF(D353="","",IF(COUNTIFS(Trips!$A$6:$A$105,D353)=1,INDEX(Trips!$C$6:$C$105,MATCH(D353,Trips!$A$6:$A$105,0)),""))</x:f>
      </x:c>
      <x:c r="B353" s="90" t="str">
        <x:f>IF(D353="","",IF(COUNTIFS(Trips!$A$6:$A$105,D353)=1,INDEX(Trips!$B$6:$B$105,MATCH(D353,Trips!$A$6:$A$105,0)),""))</x:f>
      </x:c>
      <x:c r="C353" s="90" t="str">
        <x:f>IF(D353="","",IF(COUNTIFS(Trips!$A$6:$A$105,D353)=1,INDEX(Trips!$D$6:$D$105,MATCH(D353,Trips!$A$6:$A$105,0)),""))</x:f>
      </x:c>
      <x:c r="D353" s="107"/>
      <x:c r="E353" s="107"/>
      <x:c r="F353" s="90" t="str">
        <x:f>IF(E353="","",IF(COUNTIFS(Counters!$A$6:$A$105,E353)=1,INDEX(Counters!$B$6:$B$105,MATCH(E353,Counters!$A$6:$A$105,0)),""))</x:f>
      </x:c>
      <x:c r="G353" s="107"/>
      <x:c r="H353" s="98" t="str">
        <x:f>IF(C353="","",IF(COUNTIFS('Route List'!$F$6:$F$205,C353)=1,IF(COUNTIFS('Route List'!$F$6:$F$205,C353,'Route List'!$G$6:$G$205,"&lt;&gt;")=1,INDEX('Route List'!$G$6:$G$205,MATCH(C353,'Route List'!$F$6:$F$205,0)),"Enter route fare"),"Enter route fare"))</x:f>
      </x:c>
      <x:c r="I353" s="98" t="str">
        <x:f>IF(F353="","",IF(F353="Own",0,50))</x:f>
      </x:c>
      <x:c r="J353" s="98" t="str">
        <x:f>IF(OR(D353="",E353=""),"",IF(AND(ISNUMBER(G353),ISNUMBER(H353)),ROUND(G353*H353,2),""))</x:f>
      </x:c>
      <x:c r="K353" s="98" t="str">
        <x:f>IF(OR(D353="",E353=""),"",IF(AND(ISNUMBER(G353),ISNUMBER(I353)),ROUND(G353*I353,2),""))</x:f>
      </x:c>
      <x:c r="L353" s="98" t="str">
        <x:f>IF(OR(D353="",E353=""),"",IF(AND(ISNUMBER(J353),ISNUMBER(K353)),J353-K353,""))</x:f>
      </x:c>
      <x:c r="M353" s="114"/>
      <x:c r="N353" s="98" t="str">
        <x:f>IF(OR(D353="",E353=""),"",IF(COUNTIFS($D$6:D353,D353,$E$6:E353,E353)=1,MAX(SUMIFS($L$6:$L$505,$D$6:$D$505,D353,$E$6:$E$505,E353)-SUMIFS($M$6:$M$505,$D$6:$D$505,D353,$E$6:$E$505,E353),0),""))</x:f>
      </x:c>
    </x:row>
    <x:row r="354" ht="28" customHeight="1">
      <x:c r="A354" s="113" t="str">
        <x:f>IF(D354="","",IF(COUNTIFS(Trips!$A$6:$A$105,D354)=1,INDEX(Trips!$C$6:$C$105,MATCH(D354,Trips!$A$6:$A$105,0)),""))</x:f>
      </x:c>
      <x:c r="B354" s="90" t="str">
        <x:f>IF(D354="","",IF(COUNTIFS(Trips!$A$6:$A$105,D354)=1,INDEX(Trips!$B$6:$B$105,MATCH(D354,Trips!$A$6:$A$105,0)),""))</x:f>
      </x:c>
      <x:c r="C354" s="90" t="str">
        <x:f>IF(D354="","",IF(COUNTIFS(Trips!$A$6:$A$105,D354)=1,INDEX(Trips!$D$6:$D$105,MATCH(D354,Trips!$A$6:$A$105,0)),""))</x:f>
      </x:c>
      <x:c r="D354" s="107"/>
      <x:c r="E354" s="107"/>
      <x:c r="F354" s="90" t="str">
        <x:f>IF(E354="","",IF(COUNTIFS(Counters!$A$6:$A$105,E354)=1,INDEX(Counters!$B$6:$B$105,MATCH(E354,Counters!$A$6:$A$105,0)),""))</x:f>
      </x:c>
      <x:c r="G354" s="107"/>
      <x:c r="H354" s="98" t="str">
        <x:f>IF(C354="","",IF(COUNTIFS('Route List'!$F$6:$F$205,C354)=1,IF(COUNTIFS('Route List'!$F$6:$F$205,C354,'Route List'!$G$6:$G$205,"&lt;&gt;")=1,INDEX('Route List'!$G$6:$G$205,MATCH(C354,'Route List'!$F$6:$F$205,0)),"Enter route fare"),"Enter route fare"))</x:f>
      </x:c>
      <x:c r="I354" s="98" t="str">
        <x:f>IF(F354="","",IF(F354="Own",0,50))</x:f>
      </x:c>
      <x:c r="J354" s="98" t="str">
        <x:f>IF(OR(D354="",E354=""),"",IF(AND(ISNUMBER(G354),ISNUMBER(H354)),ROUND(G354*H354,2),""))</x:f>
      </x:c>
      <x:c r="K354" s="98" t="str">
        <x:f>IF(OR(D354="",E354=""),"",IF(AND(ISNUMBER(G354),ISNUMBER(I354)),ROUND(G354*I354,2),""))</x:f>
      </x:c>
      <x:c r="L354" s="98" t="str">
        <x:f>IF(OR(D354="",E354=""),"",IF(AND(ISNUMBER(J354),ISNUMBER(K354)),J354-K354,""))</x:f>
      </x:c>
      <x:c r="M354" s="114"/>
      <x:c r="N354" s="98" t="str">
        <x:f>IF(OR(D354="",E354=""),"",IF(COUNTIFS($D$6:D354,D354,$E$6:E354,E354)=1,MAX(SUMIFS($L$6:$L$505,$D$6:$D$505,D354,$E$6:$E$505,E354)-SUMIFS($M$6:$M$505,$D$6:$D$505,D354,$E$6:$E$505,E354),0),""))</x:f>
      </x:c>
    </x:row>
    <x:row r="355" ht="28" customHeight="1">
      <x:c r="A355" s="113" t="str">
        <x:f>IF(D355="","",IF(COUNTIFS(Trips!$A$6:$A$105,D355)=1,INDEX(Trips!$C$6:$C$105,MATCH(D355,Trips!$A$6:$A$105,0)),""))</x:f>
      </x:c>
      <x:c r="B355" s="90" t="str">
        <x:f>IF(D355="","",IF(COUNTIFS(Trips!$A$6:$A$105,D355)=1,INDEX(Trips!$B$6:$B$105,MATCH(D355,Trips!$A$6:$A$105,0)),""))</x:f>
      </x:c>
      <x:c r="C355" s="90" t="str">
        <x:f>IF(D355="","",IF(COUNTIFS(Trips!$A$6:$A$105,D355)=1,INDEX(Trips!$D$6:$D$105,MATCH(D355,Trips!$A$6:$A$105,0)),""))</x:f>
      </x:c>
      <x:c r="D355" s="107"/>
      <x:c r="E355" s="107"/>
      <x:c r="F355" s="90" t="str">
        <x:f>IF(E355="","",IF(COUNTIFS(Counters!$A$6:$A$105,E355)=1,INDEX(Counters!$B$6:$B$105,MATCH(E355,Counters!$A$6:$A$105,0)),""))</x:f>
      </x:c>
      <x:c r="G355" s="107"/>
      <x:c r="H355" s="98" t="str">
        <x:f>IF(C355="","",IF(COUNTIFS('Route List'!$F$6:$F$205,C355)=1,IF(COUNTIFS('Route List'!$F$6:$F$205,C355,'Route List'!$G$6:$G$205,"&lt;&gt;")=1,INDEX('Route List'!$G$6:$G$205,MATCH(C355,'Route List'!$F$6:$F$205,0)),"Enter route fare"),"Enter route fare"))</x:f>
      </x:c>
      <x:c r="I355" s="98" t="str">
        <x:f>IF(F355="","",IF(F355="Own",0,50))</x:f>
      </x:c>
      <x:c r="J355" s="98" t="str">
        <x:f>IF(OR(D355="",E355=""),"",IF(AND(ISNUMBER(G355),ISNUMBER(H355)),ROUND(G355*H355,2),""))</x:f>
      </x:c>
      <x:c r="K355" s="98" t="str">
        <x:f>IF(OR(D355="",E355=""),"",IF(AND(ISNUMBER(G355),ISNUMBER(I355)),ROUND(G355*I355,2),""))</x:f>
      </x:c>
      <x:c r="L355" s="98" t="str">
        <x:f>IF(OR(D355="",E355=""),"",IF(AND(ISNUMBER(J355),ISNUMBER(K355)),J355-K355,""))</x:f>
      </x:c>
      <x:c r="M355" s="114"/>
      <x:c r="N355" s="98" t="str">
        <x:f>IF(OR(D355="",E355=""),"",IF(COUNTIFS($D$6:D355,D355,$E$6:E355,E355)=1,MAX(SUMIFS($L$6:$L$505,$D$6:$D$505,D355,$E$6:$E$505,E355)-SUMIFS($M$6:$M$505,$D$6:$D$505,D355,$E$6:$E$505,E355),0),""))</x:f>
      </x:c>
    </x:row>
    <x:row r="356" ht="28" customHeight="1">
      <x:c r="A356" s="113" t="str">
        <x:f>IF(D356="","",IF(COUNTIFS(Trips!$A$6:$A$105,D356)=1,INDEX(Trips!$C$6:$C$105,MATCH(D356,Trips!$A$6:$A$105,0)),""))</x:f>
      </x:c>
      <x:c r="B356" s="90" t="str">
        <x:f>IF(D356="","",IF(COUNTIFS(Trips!$A$6:$A$105,D356)=1,INDEX(Trips!$B$6:$B$105,MATCH(D356,Trips!$A$6:$A$105,0)),""))</x:f>
      </x:c>
      <x:c r="C356" s="90" t="str">
        <x:f>IF(D356="","",IF(COUNTIFS(Trips!$A$6:$A$105,D356)=1,INDEX(Trips!$D$6:$D$105,MATCH(D356,Trips!$A$6:$A$105,0)),""))</x:f>
      </x:c>
      <x:c r="D356" s="107"/>
      <x:c r="E356" s="107"/>
      <x:c r="F356" s="90" t="str">
        <x:f>IF(E356="","",IF(COUNTIFS(Counters!$A$6:$A$105,E356)=1,INDEX(Counters!$B$6:$B$105,MATCH(E356,Counters!$A$6:$A$105,0)),""))</x:f>
      </x:c>
      <x:c r="G356" s="107"/>
      <x:c r="H356" s="98" t="str">
        <x:f>IF(C356="","",IF(COUNTIFS('Route List'!$F$6:$F$205,C356)=1,IF(COUNTIFS('Route List'!$F$6:$F$205,C356,'Route List'!$G$6:$G$205,"&lt;&gt;")=1,INDEX('Route List'!$G$6:$G$205,MATCH(C356,'Route List'!$F$6:$F$205,0)),"Enter route fare"),"Enter route fare"))</x:f>
      </x:c>
      <x:c r="I356" s="98" t="str">
        <x:f>IF(F356="","",IF(F356="Own",0,50))</x:f>
      </x:c>
      <x:c r="J356" s="98" t="str">
        <x:f>IF(OR(D356="",E356=""),"",IF(AND(ISNUMBER(G356),ISNUMBER(H356)),ROUND(G356*H356,2),""))</x:f>
      </x:c>
      <x:c r="K356" s="98" t="str">
        <x:f>IF(OR(D356="",E356=""),"",IF(AND(ISNUMBER(G356),ISNUMBER(I356)),ROUND(G356*I356,2),""))</x:f>
      </x:c>
      <x:c r="L356" s="98" t="str">
        <x:f>IF(OR(D356="",E356=""),"",IF(AND(ISNUMBER(J356),ISNUMBER(K356)),J356-K356,""))</x:f>
      </x:c>
      <x:c r="M356" s="114"/>
      <x:c r="N356" s="98" t="str">
        <x:f>IF(OR(D356="",E356=""),"",IF(COUNTIFS($D$6:D356,D356,$E$6:E356,E356)=1,MAX(SUMIFS($L$6:$L$505,$D$6:$D$505,D356,$E$6:$E$505,E356)-SUMIFS($M$6:$M$505,$D$6:$D$505,D356,$E$6:$E$505,E356),0),""))</x:f>
      </x:c>
    </x:row>
    <x:row r="357" ht="28" customHeight="1">
      <x:c r="A357" s="113" t="str">
        <x:f>IF(D357="","",IF(COUNTIFS(Trips!$A$6:$A$105,D357)=1,INDEX(Trips!$C$6:$C$105,MATCH(D357,Trips!$A$6:$A$105,0)),""))</x:f>
      </x:c>
      <x:c r="B357" s="90" t="str">
        <x:f>IF(D357="","",IF(COUNTIFS(Trips!$A$6:$A$105,D357)=1,INDEX(Trips!$B$6:$B$105,MATCH(D357,Trips!$A$6:$A$105,0)),""))</x:f>
      </x:c>
      <x:c r="C357" s="90" t="str">
        <x:f>IF(D357="","",IF(COUNTIFS(Trips!$A$6:$A$105,D357)=1,INDEX(Trips!$D$6:$D$105,MATCH(D357,Trips!$A$6:$A$105,0)),""))</x:f>
      </x:c>
      <x:c r="D357" s="107"/>
      <x:c r="E357" s="107"/>
      <x:c r="F357" s="90" t="str">
        <x:f>IF(E357="","",IF(COUNTIFS(Counters!$A$6:$A$105,E357)=1,INDEX(Counters!$B$6:$B$105,MATCH(E357,Counters!$A$6:$A$105,0)),""))</x:f>
      </x:c>
      <x:c r="G357" s="107"/>
      <x:c r="H357" s="98" t="str">
        <x:f>IF(C357="","",IF(COUNTIFS('Route List'!$F$6:$F$205,C357)=1,IF(COUNTIFS('Route List'!$F$6:$F$205,C357,'Route List'!$G$6:$G$205,"&lt;&gt;")=1,INDEX('Route List'!$G$6:$G$205,MATCH(C357,'Route List'!$F$6:$F$205,0)),"Enter route fare"),"Enter route fare"))</x:f>
      </x:c>
      <x:c r="I357" s="98" t="str">
        <x:f>IF(F357="","",IF(F357="Own",0,50))</x:f>
      </x:c>
      <x:c r="J357" s="98" t="str">
        <x:f>IF(OR(D357="",E357=""),"",IF(AND(ISNUMBER(G357),ISNUMBER(H357)),ROUND(G357*H357,2),""))</x:f>
      </x:c>
      <x:c r="K357" s="98" t="str">
        <x:f>IF(OR(D357="",E357=""),"",IF(AND(ISNUMBER(G357),ISNUMBER(I357)),ROUND(G357*I357,2),""))</x:f>
      </x:c>
      <x:c r="L357" s="98" t="str">
        <x:f>IF(OR(D357="",E357=""),"",IF(AND(ISNUMBER(J357),ISNUMBER(K357)),J357-K357,""))</x:f>
      </x:c>
      <x:c r="M357" s="114"/>
      <x:c r="N357" s="98" t="str">
        <x:f>IF(OR(D357="",E357=""),"",IF(COUNTIFS($D$6:D357,D357,$E$6:E357,E357)=1,MAX(SUMIFS($L$6:$L$505,$D$6:$D$505,D357,$E$6:$E$505,E357)-SUMIFS($M$6:$M$505,$D$6:$D$505,D357,$E$6:$E$505,E357),0),""))</x:f>
      </x:c>
    </x:row>
    <x:row r="358" ht="28" customHeight="1">
      <x:c r="A358" s="113" t="str">
        <x:f>IF(D358="","",IF(COUNTIFS(Trips!$A$6:$A$105,D358)=1,INDEX(Trips!$C$6:$C$105,MATCH(D358,Trips!$A$6:$A$105,0)),""))</x:f>
      </x:c>
      <x:c r="B358" s="90" t="str">
        <x:f>IF(D358="","",IF(COUNTIFS(Trips!$A$6:$A$105,D358)=1,INDEX(Trips!$B$6:$B$105,MATCH(D358,Trips!$A$6:$A$105,0)),""))</x:f>
      </x:c>
      <x:c r="C358" s="90" t="str">
        <x:f>IF(D358="","",IF(COUNTIFS(Trips!$A$6:$A$105,D358)=1,INDEX(Trips!$D$6:$D$105,MATCH(D358,Trips!$A$6:$A$105,0)),""))</x:f>
      </x:c>
      <x:c r="D358" s="107"/>
      <x:c r="E358" s="107"/>
      <x:c r="F358" s="90" t="str">
        <x:f>IF(E358="","",IF(COUNTIFS(Counters!$A$6:$A$105,E358)=1,INDEX(Counters!$B$6:$B$105,MATCH(E358,Counters!$A$6:$A$105,0)),""))</x:f>
      </x:c>
      <x:c r="G358" s="107"/>
      <x:c r="H358" s="98" t="str">
        <x:f>IF(C358="","",IF(COUNTIFS('Route List'!$F$6:$F$205,C358)=1,IF(COUNTIFS('Route List'!$F$6:$F$205,C358,'Route List'!$G$6:$G$205,"&lt;&gt;")=1,INDEX('Route List'!$G$6:$G$205,MATCH(C358,'Route List'!$F$6:$F$205,0)),"Enter route fare"),"Enter route fare"))</x:f>
      </x:c>
      <x:c r="I358" s="98" t="str">
        <x:f>IF(F358="","",IF(F358="Own",0,50))</x:f>
      </x:c>
      <x:c r="J358" s="98" t="str">
        <x:f>IF(OR(D358="",E358=""),"",IF(AND(ISNUMBER(G358),ISNUMBER(H358)),ROUND(G358*H358,2),""))</x:f>
      </x:c>
      <x:c r="K358" s="98" t="str">
        <x:f>IF(OR(D358="",E358=""),"",IF(AND(ISNUMBER(G358),ISNUMBER(I358)),ROUND(G358*I358,2),""))</x:f>
      </x:c>
      <x:c r="L358" s="98" t="str">
        <x:f>IF(OR(D358="",E358=""),"",IF(AND(ISNUMBER(J358),ISNUMBER(K358)),J358-K358,""))</x:f>
      </x:c>
      <x:c r="M358" s="114"/>
      <x:c r="N358" s="98" t="str">
        <x:f>IF(OR(D358="",E358=""),"",IF(COUNTIFS($D$6:D358,D358,$E$6:E358,E358)=1,MAX(SUMIFS($L$6:$L$505,$D$6:$D$505,D358,$E$6:$E$505,E358)-SUMIFS($M$6:$M$505,$D$6:$D$505,D358,$E$6:$E$505,E358),0),""))</x:f>
      </x:c>
    </x:row>
    <x:row r="359" ht="28" customHeight="1">
      <x:c r="A359" s="113" t="str">
        <x:f>IF(D359="","",IF(COUNTIFS(Trips!$A$6:$A$105,D359)=1,INDEX(Trips!$C$6:$C$105,MATCH(D359,Trips!$A$6:$A$105,0)),""))</x:f>
      </x:c>
      <x:c r="B359" s="90" t="str">
        <x:f>IF(D359="","",IF(COUNTIFS(Trips!$A$6:$A$105,D359)=1,INDEX(Trips!$B$6:$B$105,MATCH(D359,Trips!$A$6:$A$105,0)),""))</x:f>
      </x:c>
      <x:c r="C359" s="90" t="str">
        <x:f>IF(D359="","",IF(COUNTIFS(Trips!$A$6:$A$105,D359)=1,INDEX(Trips!$D$6:$D$105,MATCH(D359,Trips!$A$6:$A$105,0)),""))</x:f>
      </x:c>
      <x:c r="D359" s="107"/>
      <x:c r="E359" s="107"/>
      <x:c r="F359" s="90" t="str">
        <x:f>IF(E359="","",IF(COUNTIFS(Counters!$A$6:$A$105,E359)=1,INDEX(Counters!$B$6:$B$105,MATCH(E359,Counters!$A$6:$A$105,0)),""))</x:f>
      </x:c>
      <x:c r="G359" s="107"/>
      <x:c r="H359" s="98" t="str">
        <x:f>IF(C359="","",IF(COUNTIFS('Route List'!$F$6:$F$205,C359)=1,IF(COUNTIFS('Route List'!$F$6:$F$205,C359,'Route List'!$G$6:$G$205,"&lt;&gt;")=1,INDEX('Route List'!$G$6:$G$205,MATCH(C359,'Route List'!$F$6:$F$205,0)),"Enter route fare"),"Enter route fare"))</x:f>
      </x:c>
      <x:c r="I359" s="98" t="str">
        <x:f>IF(F359="","",IF(F359="Own",0,50))</x:f>
      </x:c>
      <x:c r="J359" s="98" t="str">
        <x:f>IF(OR(D359="",E359=""),"",IF(AND(ISNUMBER(G359),ISNUMBER(H359)),ROUND(G359*H359,2),""))</x:f>
      </x:c>
      <x:c r="K359" s="98" t="str">
        <x:f>IF(OR(D359="",E359=""),"",IF(AND(ISNUMBER(G359),ISNUMBER(I359)),ROUND(G359*I359,2),""))</x:f>
      </x:c>
      <x:c r="L359" s="98" t="str">
        <x:f>IF(OR(D359="",E359=""),"",IF(AND(ISNUMBER(J359),ISNUMBER(K359)),J359-K359,""))</x:f>
      </x:c>
      <x:c r="M359" s="114"/>
      <x:c r="N359" s="98" t="str">
        <x:f>IF(OR(D359="",E359=""),"",IF(COUNTIFS($D$6:D359,D359,$E$6:E359,E359)=1,MAX(SUMIFS($L$6:$L$505,$D$6:$D$505,D359,$E$6:$E$505,E359)-SUMIFS($M$6:$M$505,$D$6:$D$505,D359,$E$6:$E$505,E359),0),""))</x:f>
      </x:c>
    </x:row>
    <x:row r="360" ht="28" customHeight="1">
      <x:c r="A360" s="113" t="str">
        <x:f>IF(D360="","",IF(COUNTIFS(Trips!$A$6:$A$105,D360)=1,INDEX(Trips!$C$6:$C$105,MATCH(D360,Trips!$A$6:$A$105,0)),""))</x:f>
      </x:c>
      <x:c r="B360" s="90" t="str">
        <x:f>IF(D360="","",IF(COUNTIFS(Trips!$A$6:$A$105,D360)=1,INDEX(Trips!$B$6:$B$105,MATCH(D360,Trips!$A$6:$A$105,0)),""))</x:f>
      </x:c>
      <x:c r="C360" s="90" t="str">
        <x:f>IF(D360="","",IF(COUNTIFS(Trips!$A$6:$A$105,D360)=1,INDEX(Trips!$D$6:$D$105,MATCH(D360,Trips!$A$6:$A$105,0)),""))</x:f>
      </x:c>
      <x:c r="D360" s="107"/>
      <x:c r="E360" s="107"/>
      <x:c r="F360" s="90" t="str">
        <x:f>IF(E360="","",IF(COUNTIFS(Counters!$A$6:$A$105,E360)=1,INDEX(Counters!$B$6:$B$105,MATCH(E360,Counters!$A$6:$A$105,0)),""))</x:f>
      </x:c>
      <x:c r="G360" s="107"/>
      <x:c r="H360" s="98" t="str">
        <x:f>IF(C360="","",IF(COUNTIFS('Route List'!$F$6:$F$205,C360)=1,IF(COUNTIFS('Route List'!$F$6:$F$205,C360,'Route List'!$G$6:$G$205,"&lt;&gt;")=1,INDEX('Route List'!$G$6:$G$205,MATCH(C360,'Route List'!$F$6:$F$205,0)),"Enter route fare"),"Enter route fare"))</x:f>
      </x:c>
      <x:c r="I360" s="98" t="str">
        <x:f>IF(F360="","",IF(F360="Own",0,50))</x:f>
      </x:c>
      <x:c r="J360" s="98" t="str">
        <x:f>IF(OR(D360="",E360=""),"",IF(AND(ISNUMBER(G360),ISNUMBER(H360)),ROUND(G360*H360,2),""))</x:f>
      </x:c>
      <x:c r="K360" s="98" t="str">
        <x:f>IF(OR(D360="",E360=""),"",IF(AND(ISNUMBER(G360),ISNUMBER(I360)),ROUND(G360*I360,2),""))</x:f>
      </x:c>
      <x:c r="L360" s="98" t="str">
        <x:f>IF(OR(D360="",E360=""),"",IF(AND(ISNUMBER(J360),ISNUMBER(K360)),J360-K360,""))</x:f>
      </x:c>
      <x:c r="M360" s="114"/>
      <x:c r="N360" s="98" t="str">
        <x:f>IF(OR(D360="",E360=""),"",IF(COUNTIFS($D$6:D360,D360,$E$6:E360,E360)=1,MAX(SUMIFS($L$6:$L$505,$D$6:$D$505,D360,$E$6:$E$505,E360)-SUMIFS($M$6:$M$505,$D$6:$D$505,D360,$E$6:$E$505,E360),0),""))</x:f>
      </x:c>
    </x:row>
    <x:row r="361" ht="28" customHeight="1">
      <x:c r="A361" s="113" t="str">
        <x:f>IF(D361="","",IF(COUNTIFS(Trips!$A$6:$A$105,D361)=1,INDEX(Trips!$C$6:$C$105,MATCH(D361,Trips!$A$6:$A$105,0)),""))</x:f>
      </x:c>
      <x:c r="B361" s="90" t="str">
        <x:f>IF(D361="","",IF(COUNTIFS(Trips!$A$6:$A$105,D361)=1,INDEX(Trips!$B$6:$B$105,MATCH(D361,Trips!$A$6:$A$105,0)),""))</x:f>
      </x:c>
      <x:c r="C361" s="90" t="str">
        <x:f>IF(D361="","",IF(COUNTIFS(Trips!$A$6:$A$105,D361)=1,INDEX(Trips!$D$6:$D$105,MATCH(D361,Trips!$A$6:$A$105,0)),""))</x:f>
      </x:c>
      <x:c r="D361" s="107"/>
      <x:c r="E361" s="107"/>
      <x:c r="F361" s="90" t="str">
        <x:f>IF(E361="","",IF(COUNTIFS(Counters!$A$6:$A$105,E361)=1,INDEX(Counters!$B$6:$B$105,MATCH(E361,Counters!$A$6:$A$105,0)),""))</x:f>
      </x:c>
      <x:c r="G361" s="107"/>
      <x:c r="H361" s="98" t="str">
        <x:f>IF(C361="","",IF(COUNTIFS('Route List'!$F$6:$F$205,C361)=1,IF(COUNTIFS('Route List'!$F$6:$F$205,C361,'Route List'!$G$6:$G$205,"&lt;&gt;")=1,INDEX('Route List'!$G$6:$G$205,MATCH(C361,'Route List'!$F$6:$F$205,0)),"Enter route fare"),"Enter route fare"))</x:f>
      </x:c>
      <x:c r="I361" s="98" t="str">
        <x:f>IF(F361="","",IF(F361="Own",0,50))</x:f>
      </x:c>
      <x:c r="J361" s="98" t="str">
        <x:f>IF(OR(D361="",E361=""),"",IF(AND(ISNUMBER(G361),ISNUMBER(H361)),ROUND(G361*H361,2),""))</x:f>
      </x:c>
      <x:c r="K361" s="98" t="str">
        <x:f>IF(OR(D361="",E361=""),"",IF(AND(ISNUMBER(G361),ISNUMBER(I361)),ROUND(G361*I361,2),""))</x:f>
      </x:c>
      <x:c r="L361" s="98" t="str">
        <x:f>IF(OR(D361="",E361=""),"",IF(AND(ISNUMBER(J361),ISNUMBER(K361)),J361-K361,""))</x:f>
      </x:c>
      <x:c r="M361" s="114"/>
      <x:c r="N361" s="98" t="str">
        <x:f>IF(OR(D361="",E361=""),"",IF(COUNTIFS($D$6:D361,D361,$E$6:E361,E361)=1,MAX(SUMIFS($L$6:$L$505,$D$6:$D$505,D361,$E$6:$E$505,E361)-SUMIFS($M$6:$M$505,$D$6:$D$505,D361,$E$6:$E$505,E361),0),""))</x:f>
      </x:c>
    </x:row>
    <x:row r="362" ht="28" customHeight="1">
      <x:c r="A362" s="113" t="str">
        <x:f>IF(D362="","",IF(COUNTIFS(Trips!$A$6:$A$105,D362)=1,INDEX(Trips!$C$6:$C$105,MATCH(D362,Trips!$A$6:$A$105,0)),""))</x:f>
      </x:c>
      <x:c r="B362" s="90" t="str">
        <x:f>IF(D362="","",IF(COUNTIFS(Trips!$A$6:$A$105,D362)=1,INDEX(Trips!$B$6:$B$105,MATCH(D362,Trips!$A$6:$A$105,0)),""))</x:f>
      </x:c>
      <x:c r="C362" s="90" t="str">
        <x:f>IF(D362="","",IF(COUNTIFS(Trips!$A$6:$A$105,D362)=1,INDEX(Trips!$D$6:$D$105,MATCH(D362,Trips!$A$6:$A$105,0)),""))</x:f>
      </x:c>
      <x:c r="D362" s="107"/>
      <x:c r="E362" s="107"/>
      <x:c r="F362" s="90" t="str">
        <x:f>IF(E362="","",IF(COUNTIFS(Counters!$A$6:$A$105,E362)=1,INDEX(Counters!$B$6:$B$105,MATCH(E362,Counters!$A$6:$A$105,0)),""))</x:f>
      </x:c>
      <x:c r="G362" s="107"/>
      <x:c r="H362" s="98" t="str">
        <x:f>IF(C362="","",IF(COUNTIFS('Route List'!$F$6:$F$205,C362)=1,IF(COUNTIFS('Route List'!$F$6:$F$205,C362,'Route List'!$G$6:$G$205,"&lt;&gt;")=1,INDEX('Route List'!$G$6:$G$205,MATCH(C362,'Route List'!$F$6:$F$205,0)),"Enter route fare"),"Enter route fare"))</x:f>
      </x:c>
      <x:c r="I362" s="98" t="str">
        <x:f>IF(F362="","",IF(F362="Own",0,50))</x:f>
      </x:c>
      <x:c r="J362" s="98" t="str">
        <x:f>IF(OR(D362="",E362=""),"",IF(AND(ISNUMBER(G362),ISNUMBER(H362)),ROUND(G362*H362,2),""))</x:f>
      </x:c>
      <x:c r="K362" s="98" t="str">
        <x:f>IF(OR(D362="",E362=""),"",IF(AND(ISNUMBER(G362),ISNUMBER(I362)),ROUND(G362*I362,2),""))</x:f>
      </x:c>
      <x:c r="L362" s="98" t="str">
        <x:f>IF(OR(D362="",E362=""),"",IF(AND(ISNUMBER(J362),ISNUMBER(K362)),J362-K362,""))</x:f>
      </x:c>
      <x:c r="M362" s="114"/>
      <x:c r="N362" s="98" t="str">
        <x:f>IF(OR(D362="",E362=""),"",IF(COUNTIFS($D$6:D362,D362,$E$6:E362,E362)=1,MAX(SUMIFS($L$6:$L$505,$D$6:$D$505,D362,$E$6:$E$505,E362)-SUMIFS($M$6:$M$505,$D$6:$D$505,D362,$E$6:$E$505,E362),0),""))</x:f>
      </x:c>
    </x:row>
    <x:row r="363" ht="28" customHeight="1">
      <x:c r="A363" s="113" t="str">
        <x:f>IF(D363="","",IF(COUNTIFS(Trips!$A$6:$A$105,D363)=1,INDEX(Trips!$C$6:$C$105,MATCH(D363,Trips!$A$6:$A$105,0)),""))</x:f>
      </x:c>
      <x:c r="B363" s="90" t="str">
        <x:f>IF(D363="","",IF(COUNTIFS(Trips!$A$6:$A$105,D363)=1,INDEX(Trips!$B$6:$B$105,MATCH(D363,Trips!$A$6:$A$105,0)),""))</x:f>
      </x:c>
      <x:c r="C363" s="90" t="str">
        <x:f>IF(D363="","",IF(COUNTIFS(Trips!$A$6:$A$105,D363)=1,INDEX(Trips!$D$6:$D$105,MATCH(D363,Trips!$A$6:$A$105,0)),""))</x:f>
      </x:c>
      <x:c r="D363" s="107"/>
      <x:c r="E363" s="107"/>
      <x:c r="F363" s="90" t="str">
        <x:f>IF(E363="","",IF(COUNTIFS(Counters!$A$6:$A$105,E363)=1,INDEX(Counters!$B$6:$B$105,MATCH(E363,Counters!$A$6:$A$105,0)),""))</x:f>
      </x:c>
      <x:c r="G363" s="107"/>
      <x:c r="H363" s="98" t="str">
        <x:f>IF(C363="","",IF(COUNTIFS('Route List'!$F$6:$F$205,C363)=1,IF(COUNTIFS('Route List'!$F$6:$F$205,C363,'Route List'!$G$6:$G$205,"&lt;&gt;")=1,INDEX('Route List'!$G$6:$G$205,MATCH(C363,'Route List'!$F$6:$F$205,0)),"Enter route fare"),"Enter route fare"))</x:f>
      </x:c>
      <x:c r="I363" s="98" t="str">
        <x:f>IF(F363="","",IF(F363="Own",0,50))</x:f>
      </x:c>
      <x:c r="J363" s="98" t="str">
        <x:f>IF(OR(D363="",E363=""),"",IF(AND(ISNUMBER(G363),ISNUMBER(H363)),ROUND(G363*H363,2),""))</x:f>
      </x:c>
      <x:c r="K363" s="98" t="str">
        <x:f>IF(OR(D363="",E363=""),"",IF(AND(ISNUMBER(G363),ISNUMBER(I363)),ROUND(G363*I363,2),""))</x:f>
      </x:c>
      <x:c r="L363" s="98" t="str">
        <x:f>IF(OR(D363="",E363=""),"",IF(AND(ISNUMBER(J363),ISNUMBER(K363)),J363-K363,""))</x:f>
      </x:c>
      <x:c r="M363" s="114"/>
      <x:c r="N363" s="98" t="str">
        <x:f>IF(OR(D363="",E363=""),"",IF(COUNTIFS($D$6:D363,D363,$E$6:E363,E363)=1,MAX(SUMIFS($L$6:$L$505,$D$6:$D$505,D363,$E$6:$E$505,E363)-SUMIFS($M$6:$M$505,$D$6:$D$505,D363,$E$6:$E$505,E363),0),""))</x:f>
      </x:c>
    </x:row>
    <x:row r="364" ht="28" customHeight="1">
      <x:c r="A364" s="113" t="str">
        <x:f>IF(D364="","",IF(COUNTIFS(Trips!$A$6:$A$105,D364)=1,INDEX(Trips!$C$6:$C$105,MATCH(D364,Trips!$A$6:$A$105,0)),""))</x:f>
      </x:c>
      <x:c r="B364" s="90" t="str">
        <x:f>IF(D364="","",IF(COUNTIFS(Trips!$A$6:$A$105,D364)=1,INDEX(Trips!$B$6:$B$105,MATCH(D364,Trips!$A$6:$A$105,0)),""))</x:f>
      </x:c>
      <x:c r="C364" s="90" t="str">
        <x:f>IF(D364="","",IF(COUNTIFS(Trips!$A$6:$A$105,D364)=1,INDEX(Trips!$D$6:$D$105,MATCH(D364,Trips!$A$6:$A$105,0)),""))</x:f>
      </x:c>
      <x:c r="D364" s="107"/>
      <x:c r="E364" s="107"/>
      <x:c r="F364" s="90" t="str">
        <x:f>IF(E364="","",IF(COUNTIFS(Counters!$A$6:$A$105,E364)=1,INDEX(Counters!$B$6:$B$105,MATCH(E364,Counters!$A$6:$A$105,0)),""))</x:f>
      </x:c>
      <x:c r="G364" s="107"/>
      <x:c r="H364" s="98" t="str">
        <x:f>IF(C364="","",IF(COUNTIFS('Route List'!$F$6:$F$205,C364)=1,IF(COUNTIFS('Route List'!$F$6:$F$205,C364,'Route List'!$G$6:$G$205,"&lt;&gt;")=1,INDEX('Route List'!$G$6:$G$205,MATCH(C364,'Route List'!$F$6:$F$205,0)),"Enter route fare"),"Enter route fare"))</x:f>
      </x:c>
      <x:c r="I364" s="98" t="str">
        <x:f>IF(F364="","",IF(F364="Own",0,50))</x:f>
      </x:c>
      <x:c r="J364" s="98" t="str">
        <x:f>IF(OR(D364="",E364=""),"",IF(AND(ISNUMBER(G364),ISNUMBER(H364)),ROUND(G364*H364,2),""))</x:f>
      </x:c>
      <x:c r="K364" s="98" t="str">
        <x:f>IF(OR(D364="",E364=""),"",IF(AND(ISNUMBER(G364),ISNUMBER(I364)),ROUND(G364*I364,2),""))</x:f>
      </x:c>
      <x:c r="L364" s="98" t="str">
        <x:f>IF(OR(D364="",E364=""),"",IF(AND(ISNUMBER(J364),ISNUMBER(K364)),J364-K364,""))</x:f>
      </x:c>
      <x:c r="M364" s="114"/>
      <x:c r="N364" s="98" t="str">
        <x:f>IF(OR(D364="",E364=""),"",IF(COUNTIFS($D$6:D364,D364,$E$6:E364,E364)=1,MAX(SUMIFS($L$6:$L$505,$D$6:$D$505,D364,$E$6:$E$505,E364)-SUMIFS($M$6:$M$505,$D$6:$D$505,D364,$E$6:$E$505,E364),0),""))</x:f>
      </x:c>
    </x:row>
    <x:row r="365" ht="28" customHeight="1">
      <x:c r="A365" s="113" t="str">
        <x:f>IF(D365="","",IF(COUNTIFS(Trips!$A$6:$A$105,D365)=1,INDEX(Trips!$C$6:$C$105,MATCH(D365,Trips!$A$6:$A$105,0)),""))</x:f>
      </x:c>
      <x:c r="B365" s="90" t="str">
        <x:f>IF(D365="","",IF(COUNTIFS(Trips!$A$6:$A$105,D365)=1,INDEX(Trips!$B$6:$B$105,MATCH(D365,Trips!$A$6:$A$105,0)),""))</x:f>
      </x:c>
      <x:c r="C365" s="90" t="str">
        <x:f>IF(D365="","",IF(COUNTIFS(Trips!$A$6:$A$105,D365)=1,INDEX(Trips!$D$6:$D$105,MATCH(D365,Trips!$A$6:$A$105,0)),""))</x:f>
      </x:c>
      <x:c r="D365" s="107"/>
      <x:c r="E365" s="107"/>
      <x:c r="F365" s="90" t="str">
        <x:f>IF(E365="","",IF(COUNTIFS(Counters!$A$6:$A$105,E365)=1,INDEX(Counters!$B$6:$B$105,MATCH(E365,Counters!$A$6:$A$105,0)),""))</x:f>
      </x:c>
      <x:c r="G365" s="107"/>
      <x:c r="H365" s="98" t="str">
        <x:f>IF(C365="","",IF(COUNTIFS('Route List'!$F$6:$F$205,C365)=1,IF(COUNTIFS('Route List'!$F$6:$F$205,C365,'Route List'!$G$6:$G$205,"&lt;&gt;")=1,INDEX('Route List'!$G$6:$G$205,MATCH(C365,'Route List'!$F$6:$F$205,0)),"Enter route fare"),"Enter route fare"))</x:f>
      </x:c>
      <x:c r="I365" s="98" t="str">
        <x:f>IF(F365="","",IF(F365="Own",0,50))</x:f>
      </x:c>
      <x:c r="J365" s="98" t="str">
        <x:f>IF(OR(D365="",E365=""),"",IF(AND(ISNUMBER(G365),ISNUMBER(H365)),ROUND(G365*H365,2),""))</x:f>
      </x:c>
      <x:c r="K365" s="98" t="str">
        <x:f>IF(OR(D365="",E365=""),"",IF(AND(ISNUMBER(G365),ISNUMBER(I365)),ROUND(G365*I365,2),""))</x:f>
      </x:c>
      <x:c r="L365" s="98" t="str">
        <x:f>IF(OR(D365="",E365=""),"",IF(AND(ISNUMBER(J365),ISNUMBER(K365)),J365-K365,""))</x:f>
      </x:c>
      <x:c r="M365" s="114"/>
      <x:c r="N365" s="98" t="str">
        <x:f>IF(OR(D365="",E365=""),"",IF(COUNTIFS($D$6:D365,D365,$E$6:E365,E365)=1,MAX(SUMIFS($L$6:$L$505,$D$6:$D$505,D365,$E$6:$E$505,E365)-SUMIFS($M$6:$M$505,$D$6:$D$505,D365,$E$6:$E$505,E365),0),""))</x:f>
      </x:c>
    </x:row>
    <x:row r="366" ht="28" customHeight="1">
      <x:c r="A366" s="113" t="str">
        <x:f>IF(D366="","",IF(COUNTIFS(Trips!$A$6:$A$105,D366)=1,INDEX(Trips!$C$6:$C$105,MATCH(D366,Trips!$A$6:$A$105,0)),""))</x:f>
      </x:c>
      <x:c r="B366" s="90" t="str">
        <x:f>IF(D366="","",IF(COUNTIFS(Trips!$A$6:$A$105,D366)=1,INDEX(Trips!$B$6:$B$105,MATCH(D366,Trips!$A$6:$A$105,0)),""))</x:f>
      </x:c>
      <x:c r="C366" s="90" t="str">
        <x:f>IF(D366="","",IF(COUNTIFS(Trips!$A$6:$A$105,D366)=1,INDEX(Trips!$D$6:$D$105,MATCH(D366,Trips!$A$6:$A$105,0)),""))</x:f>
      </x:c>
      <x:c r="D366" s="107"/>
      <x:c r="E366" s="107"/>
      <x:c r="F366" s="90" t="str">
        <x:f>IF(E366="","",IF(COUNTIFS(Counters!$A$6:$A$105,E366)=1,INDEX(Counters!$B$6:$B$105,MATCH(E366,Counters!$A$6:$A$105,0)),""))</x:f>
      </x:c>
      <x:c r="G366" s="107"/>
      <x:c r="H366" s="98" t="str">
        <x:f>IF(C366="","",IF(COUNTIFS('Route List'!$F$6:$F$205,C366)=1,IF(COUNTIFS('Route List'!$F$6:$F$205,C366,'Route List'!$G$6:$G$205,"&lt;&gt;")=1,INDEX('Route List'!$G$6:$G$205,MATCH(C366,'Route List'!$F$6:$F$205,0)),"Enter route fare"),"Enter route fare"))</x:f>
      </x:c>
      <x:c r="I366" s="98" t="str">
        <x:f>IF(F366="","",IF(F366="Own",0,50))</x:f>
      </x:c>
      <x:c r="J366" s="98" t="str">
        <x:f>IF(OR(D366="",E366=""),"",IF(AND(ISNUMBER(G366),ISNUMBER(H366)),ROUND(G366*H366,2),""))</x:f>
      </x:c>
      <x:c r="K366" s="98" t="str">
        <x:f>IF(OR(D366="",E366=""),"",IF(AND(ISNUMBER(G366),ISNUMBER(I366)),ROUND(G366*I366,2),""))</x:f>
      </x:c>
      <x:c r="L366" s="98" t="str">
        <x:f>IF(OR(D366="",E366=""),"",IF(AND(ISNUMBER(J366),ISNUMBER(K366)),J366-K366,""))</x:f>
      </x:c>
      <x:c r="M366" s="114"/>
      <x:c r="N366" s="98" t="str">
        <x:f>IF(OR(D366="",E366=""),"",IF(COUNTIFS($D$6:D366,D366,$E$6:E366,E366)=1,MAX(SUMIFS($L$6:$L$505,$D$6:$D$505,D366,$E$6:$E$505,E366)-SUMIFS($M$6:$M$505,$D$6:$D$505,D366,$E$6:$E$505,E366),0),""))</x:f>
      </x:c>
    </x:row>
    <x:row r="367" ht="28" customHeight="1">
      <x:c r="A367" s="113" t="str">
        <x:f>IF(D367="","",IF(COUNTIFS(Trips!$A$6:$A$105,D367)=1,INDEX(Trips!$C$6:$C$105,MATCH(D367,Trips!$A$6:$A$105,0)),""))</x:f>
      </x:c>
      <x:c r="B367" s="90" t="str">
        <x:f>IF(D367="","",IF(COUNTIFS(Trips!$A$6:$A$105,D367)=1,INDEX(Trips!$B$6:$B$105,MATCH(D367,Trips!$A$6:$A$105,0)),""))</x:f>
      </x:c>
      <x:c r="C367" s="90" t="str">
        <x:f>IF(D367="","",IF(COUNTIFS(Trips!$A$6:$A$105,D367)=1,INDEX(Trips!$D$6:$D$105,MATCH(D367,Trips!$A$6:$A$105,0)),""))</x:f>
      </x:c>
      <x:c r="D367" s="107"/>
      <x:c r="E367" s="107"/>
      <x:c r="F367" s="90" t="str">
        <x:f>IF(E367="","",IF(COUNTIFS(Counters!$A$6:$A$105,E367)=1,INDEX(Counters!$B$6:$B$105,MATCH(E367,Counters!$A$6:$A$105,0)),""))</x:f>
      </x:c>
      <x:c r="G367" s="107"/>
      <x:c r="H367" s="98" t="str">
        <x:f>IF(C367="","",IF(COUNTIFS('Route List'!$F$6:$F$205,C367)=1,IF(COUNTIFS('Route List'!$F$6:$F$205,C367,'Route List'!$G$6:$G$205,"&lt;&gt;")=1,INDEX('Route List'!$G$6:$G$205,MATCH(C367,'Route List'!$F$6:$F$205,0)),"Enter route fare"),"Enter route fare"))</x:f>
      </x:c>
      <x:c r="I367" s="98" t="str">
        <x:f>IF(F367="","",IF(F367="Own",0,50))</x:f>
      </x:c>
      <x:c r="J367" s="98" t="str">
        <x:f>IF(OR(D367="",E367=""),"",IF(AND(ISNUMBER(G367),ISNUMBER(H367)),ROUND(G367*H367,2),""))</x:f>
      </x:c>
      <x:c r="K367" s="98" t="str">
        <x:f>IF(OR(D367="",E367=""),"",IF(AND(ISNUMBER(G367),ISNUMBER(I367)),ROUND(G367*I367,2),""))</x:f>
      </x:c>
      <x:c r="L367" s="98" t="str">
        <x:f>IF(OR(D367="",E367=""),"",IF(AND(ISNUMBER(J367),ISNUMBER(K367)),J367-K367,""))</x:f>
      </x:c>
      <x:c r="M367" s="114"/>
      <x:c r="N367" s="98" t="str">
        <x:f>IF(OR(D367="",E367=""),"",IF(COUNTIFS($D$6:D367,D367,$E$6:E367,E367)=1,MAX(SUMIFS($L$6:$L$505,$D$6:$D$505,D367,$E$6:$E$505,E367)-SUMIFS($M$6:$M$505,$D$6:$D$505,D367,$E$6:$E$505,E367),0),""))</x:f>
      </x:c>
    </x:row>
    <x:row r="368" ht="28" customHeight="1">
      <x:c r="A368" s="113" t="str">
        <x:f>IF(D368="","",IF(COUNTIFS(Trips!$A$6:$A$105,D368)=1,INDEX(Trips!$C$6:$C$105,MATCH(D368,Trips!$A$6:$A$105,0)),""))</x:f>
      </x:c>
      <x:c r="B368" s="90" t="str">
        <x:f>IF(D368="","",IF(COUNTIFS(Trips!$A$6:$A$105,D368)=1,INDEX(Trips!$B$6:$B$105,MATCH(D368,Trips!$A$6:$A$105,0)),""))</x:f>
      </x:c>
      <x:c r="C368" s="90" t="str">
        <x:f>IF(D368="","",IF(COUNTIFS(Trips!$A$6:$A$105,D368)=1,INDEX(Trips!$D$6:$D$105,MATCH(D368,Trips!$A$6:$A$105,0)),""))</x:f>
      </x:c>
      <x:c r="D368" s="107"/>
      <x:c r="E368" s="107"/>
      <x:c r="F368" s="90" t="str">
        <x:f>IF(E368="","",IF(COUNTIFS(Counters!$A$6:$A$105,E368)=1,INDEX(Counters!$B$6:$B$105,MATCH(E368,Counters!$A$6:$A$105,0)),""))</x:f>
      </x:c>
      <x:c r="G368" s="107"/>
      <x:c r="H368" s="98" t="str">
        <x:f>IF(C368="","",IF(COUNTIFS('Route List'!$F$6:$F$205,C368)=1,IF(COUNTIFS('Route List'!$F$6:$F$205,C368,'Route List'!$G$6:$G$205,"&lt;&gt;")=1,INDEX('Route List'!$G$6:$G$205,MATCH(C368,'Route List'!$F$6:$F$205,0)),"Enter route fare"),"Enter route fare"))</x:f>
      </x:c>
      <x:c r="I368" s="98" t="str">
        <x:f>IF(F368="","",IF(F368="Own",0,50))</x:f>
      </x:c>
      <x:c r="J368" s="98" t="str">
        <x:f>IF(OR(D368="",E368=""),"",IF(AND(ISNUMBER(G368),ISNUMBER(H368)),ROUND(G368*H368,2),""))</x:f>
      </x:c>
      <x:c r="K368" s="98" t="str">
        <x:f>IF(OR(D368="",E368=""),"",IF(AND(ISNUMBER(G368),ISNUMBER(I368)),ROUND(G368*I368,2),""))</x:f>
      </x:c>
      <x:c r="L368" s="98" t="str">
        <x:f>IF(OR(D368="",E368=""),"",IF(AND(ISNUMBER(J368),ISNUMBER(K368)),J368-K368,""))</x:f>
      </x:c>
      <x:c r="M368" s="114"/>
      <x:c r="N368" s="98" t="str">
        <x:f>IF(OR(D368="",E368=""),"",IF(COUNTIFS($D$6:D368,D368,$E$6:E368,E368)=1,MAX(SUMIFS($L$6:$L$505,$D$6:$D$505,D368,$E$6:$E$505,E368)-SUMIFS($M$6:$M$505,$D$6:$D$505,D368,$E$6:$E$505,E368),0),""))</x:f>
      </x:c>
    </x:row>
    <x:row r="369" ht="28" customHeight="1">
      <x:c r="A369" s="113" t="str">
        <x:f>IF(D369="","",IF(COUNTIFS(Trips!$A$6:$A$105,D369)=1,INDEX(Trips!$C$6:$C$105,MATCH(D369,Trips!$A$6:$A$105,0)),""))</x:f>
      </x:c>
      <x:c r="B369" s="90" t="str">
        <x:f>IF(D369="","",IF(COUNTIFS(Trips!$A$6:$A$105,D369)=1,INDEX(Trips!$B$6:$B$105,MATCH(D369,Trips!$A$6:$A$105,0)),""))</x:f>
      </x:c>
      <x:c r="C369" s="90" t="str">
        <x:f>IF(D369="","",IF(COUNTIFS(Trips!$A$6:$A$105,D369)=1,INDEX(Trips!$D$6:$D$105,MATCH(D369,Trips!$A$6:$A$105,0)),""))</x:f>
      </x:c>
      <x:c r="D369" s="107"/>
      <x:c r="E369" s="107"/>
      <x:c r="F369" s="90" t="str">
        <x:f>IF(E369="","",IF(COUNTIFS(Counters!$A$6:$A$105,E369)=1,INDEX(Counters!$B$6:$B$105,MATCH(E369,Counters!$A$6:$A$105,0)),""))</x:f>
      </x:c>
      <x:c r="G369" s="107"/>
      <x:c r="H369" s="98" t="str">
        <x:f>IF(C369="","",IF(COUNTIFS('Route List'!$F$6:$F$205,C369)=1,IF(COUNTIFS('Route List'!$F$6:$F$205,C369,'Route List'!$G$6:$G$205,"&lt;&gt;")=1,INDEX('Route List'!$G$6:$G$205,MATCH(C369,'Route List'!$F$6:$F$205,0)),"Enter route fare"),"Enter route fare"))</x:f>
      </x:c>
      <x:c r="I369" s="98" t="str">
        <x:f>IF(F369="","",IF(F369="Own",0,50))</x:f>
      </x:c>
      <x:c r="J369" s="98" t="str">
        <x:f>IF(OR(D369="",E369=""),"",IF(AND(ISNUMBER(G369),ISNUMBER(H369)),ROUND(G369*H369,2),""))</x:f>
      </x:c>
      <x:c r="K369" s="98" t="str">
        <x:f>IF(OR(D369="",E369=""),"",IF(AND(ISNUMBER(G369),ISNUMBER(I369)),ROUND(G369*I369,2),""))</x:f>
      </x:c>
      <x:c r="L369" s="98" t="str">
        <x:f>IF(OR(D369="",E369=""),"",IF(AND(ISNUMBER(J369),ISNUMBER(K369)),J369-K369,""))</x:f>
      </x:c>
      <x:c r="M369" s="114"/>
      <x:c r="N369" s="98" t="str">
        <x:f>IF(OR(D369="",E369=""),"",IF(COUNTIFS($D$6:D369,D369,$E$6:E369,E369)=1,MAX(SUMIFS($L$6:$L$505,$D$6:$D$505,D369,$E$6:$E$505,E369)-SUMIFS($M$6:$M$505,$D$6:$D$505,D369,$E$6:$E$505,E369),0),""))</x:f>
      </x:c>
    </x:row>
    <x:row r="370" ht="28" customHeight="1">
      <x:c r="A370" s="113" t="str">
        <x:f>IF(D370="","",IF(COUNTIFS(Trips!$A$6:$A$105,D370)=1,INDEX(Trips!$C$6:$C$105,MATCH(D370,Trips!$A$6:$A$105,0)),""))</x:f>
      </x:c>
      <x:c r="B370" s="90" t="str">
        <x:f>IF(D370="","",IF(COUNTIFS(Trips!$A$6:$A$105,D370)=1,INDEX(Trips!$B$6:$B$105,MATCH(D370,Trips!$A$6:$A$105,0)),""))</x:f>
      </x:c>
      <x:c r="C370" s="90" t="str">
        <x:f>IF(D370="","",IF(COUNTIFS(Trips!$A$6:$A$105,D370)=1,INDEX(Trips!$D$6:$D$105,MATCH(D370,Trips!$A$6:$A$105,0)),""))</x:f>
      </x:c>
      <x:c r="D370" s="107"/>
      <x:c r="E370" s="107"/>
      <x:c r="F370" s="90" t="str">
        <x:f>IF(E370="","",IF(COUNTIFS(Counters!$A$6:$A$105,E370)=1,INDEX(Counters!$B$6:$B$105,MATCH(E370,Counters!$A$6:$A$105,0)),""))</x:f>
      </x:c>
      <x:c r="G370" s="107"/>
      <x:c r="H370" s="98" t="str">
        <x:f>IF(C370="","",IF(COUNTIFS('Route List'!$F$6:$F$205,C370)=1,IF(COUNTIFS('Route List'!$F$6:$F$205,C370,'Route List'!$G$6:$G$205,"&lt;&gt;")=1,INDEX('Route List'!$G$6:$G$205,MATCH(C370,'Route List'!$F$6:$F$205,0)),"Enter route fare"),"Enter route fare"))</x:f>
      </x:c>
      <x:c r="I370" s="98" t="str">
        <x:f>IF(F370="","",IF(F370="Own",0,50))</x:f>
      </x:c>
      <x:c r="J370" s="98" t="str">
        <x:f>IF(OR(D370="",E370=""),"",IF(AND(ISNUMBER(G370),ISNUMBER(H370)),ROUND(G370*H370,2),""))</x:f>
      </x:c>
      <x:c r="K370" s="98" t="str">
        <x:f>IF(OR(D370="",E370=""),"",IF(AND(ISNUMBER(G370),ISNUMBER(I370)),ROUND(G370*I370,2),""))</x:f>
      </x:c>
      <x:c r="L370" s="98" t="str">
        <x:f>IF(OR(D370="",E370=""),"",IF(AND(ISNUMBER(J370),ISNUMBER(K370)),J370-K370,""))</x:f>
      </x:c>
      <x:c r="M370" s="114"/>
      <x:c r="N370" s="98" t="str">
        <x:f>IF(OR(D370="",E370=""),"",IF(COUNTIFS($D$6:D370,D370,$E$6:E370,E370)=1,MAX(SUMIFS($L$6:$L$505,$D$6:$D$505,D370,$E$6:$E$505,E370)-SUMIFS($M$6:$M$505,$D$6:$D$505,D370,$E$6:$E$505,E370),0),""))</x:f>
      </x:c>
    </x:row>
    <x:row r="371" ht="28" customHeight="1">
      <x:c r="A371" s="113" t="str">
        <x:f>IF(D371="","",IF(COUNTIFS(Trips!$A$6:$A$105,D371)=1,INDEX(Trips!$C$6:$C$105,MATCH(D371,Trips!$A$6:$A$105,0)),""))</x:f>
      </x:c>
      <x:c r="B371" s="90" t="str">
        <x:f>IF(D371="","",IF(COUNTIFS(Trips!$A$6:$A$105,D371)=1,INDEX(Trips!$B$6:$B$105,MATCH(D371,Trips!$A$6:$A$105,0)),""))</x:f>
      </x:c>
      <x:c r="C371" s="90" t="str">
        <x:f>IF(D371="","",IF(COUNTIFS(Trips!$A$6:$A$105,D371)=1,INDEX(Trips!$D$6:$D$105,MATCH(D371,Trips!$A$6:$A$105,0)),""))</x:f>
      </x:c>
      <x:c r="D371" s="107"/>
      <x:c r="E371" s="107"/>
      <x:c r="F371" s="90" t="str">
        <x:f>IF(E371="","",IF(COUNTIFS(Counters!$A$6:$A$105,E371)=1,INDEX(Counters!$B$6:$B$105,MATCH(E371,Counters!$A$6:$A$105,0)),""))</x:f>
      </x:c>
      <x:c r="G371" s="107"/>
      <x:c r="H371" s="98" t="str">
        <x:f>IF(C371="","",IF(COUNTIFS('Route List'!$F$6:$F$205,C371)=1,IF(COUNTIFS('Route List'!$F$6:$F$205,C371,'Route List'!$G$6:$G$205,"&lt;&gt;")=1,INDEX('Route List'!$G$6:$G$205,MATCH(C371,'Route List'!$F$6:$F$205,0)),"Enter route fare"),"Enter route fare"))</x:f>
      </x:c>
      <x:c r="I371" s="98" t="str">
        <x:f>IF(F371="","",IF(F371="Own",0,50))</x:f>
      </x:c>
      <x:c r="J371" s="98" t="str">
        <x:f>IF(OR(D371="",E371=""),"",IF(AND(ISNUMBER(G371),ISNUMBER(H371)),ROUND(G371*H371,2),""))</x:f>
      </x:c>
      <x:c r="K371" s="98" t="str">
        <x:f>IF(OR(D371="",E371=""),"",IF(AND(ISNUMBER(G371),ISNUMBER(I371)),ROUND(G371*I371,2),""))</x:f>
      </x:c>
      <x:c r="L371" s="98" t="str">
        <x:f>IF(OR(D371="",E371=""),"",IF(AND(ISNUMBER(J371),ISNUMBER(K371)),J371-K371,""))</x:f>
      </x:c>
      <x:c r="M371" s="114"/>
      <x:c r="N371" s="98" t="str">
        <x:f>IF(OR(D371="",E371=""),"",IF(COUNTIFS($D$6:D371,D371,$E$6:E371,E371)=1,MAX(SUMIFS($L$6:$L$505,$D$6:$D$505,D371,$E$6:$E$505,E371)-SUMIFS($M$6:$M$505,$D$6:$D$505,D371,$E$6:$E$505,E371),0),""))</x:f>
      </x:c>
    </x:row>
    <x:row r="372" ht="28" customHeight="1">
      <x:c r="A372" s="113" t="str">
        <x:f>IF(D372="","",IF(COUNTIFS(Trips!$A$6:$A$105,D372)=1,INDEX(Trips!$C$6:$C$105,MATCH(D372,Trips!$A$6:$A$105,0)),""))</x:f>
      </x:c>
      <x:c r="B372" s="90" t="str">
        <x:f>IF(D372="","",IF(COUNTIFS(Trips!$A$6:$A$105,D372)=1,INDEX(Trips!$B$6:$B$105,MATCH(D372,Trips!$A$6:$A$105,0)),""))</x:f>
      </x:c>
      <x:c r="C372" s="90" t="str">
        <x:f>IF(D372="","",IF(COUNTIFS(Trips!$A$6:$A$105,D372)=1,INDEX(Trips!$D$6:$D$105,MATCH(D372,Trips!$A$6:$A$105,0)),""))</x:f>
      </x:c>
      <x:c r="D372" s="107"/>
      <x:c r="E372" s="107"/>
      <x:c r="F372" s="90" t="str">
        <x:f>IF(E372="","",IF(COUNTIFS(Counters!$A$6:$A$105,E372)=1,INDEX(Counters!$B$6:$B$105,MATCH(E372,Counters!$A$6:$A$105,0)),""))</x:f>
      </x:c>
      <x:c r="G372" s="107"/>
      <x:c r="H372" s="98" t="str">
        <x:f>IF(C372="","",IF(COUNTIFS('Route List'!$F$6:$F$205,C372)=1,IF(COUNTIFS('Route List'!$F$6:$F$205,C372,'Route List'!$G$6:$G$205,"&lt;&gt;")=1,INDEX('Route List'!$G$6:$G$205,MATCH(C372,'Route List'!$F$6:$F$205,0)),"Enter route fare"),"Enter route fare"))</x:f>
      </x:c>
      <x:c r="I372" s="98" t="str">
        <x:f>IF(F372="","",IF(F372="Own",0,50))</x:f>
      </x:c>
      <x:c r="J372" s="98" t="str">
        <x:f>IF(OR(D372="",E372=""),"",IF(AND(ISNUMBER(G372),ISNUMBER(H372)),ROUND(G372*H372,2),""))</x:f>
      </x:c>
      <x:c r="K372" s="98" t="str">
        <x:f>IF(OR(D372="",E372=""),"",IF(AND(ISNUMBER(G372),ISNUMBER(I372)),ROUND(G372*I372,2),""))</x:f>
      </x:c>
      <x:c r="L372" s="98" t="str">
        <x:f>IF(OR(D372="",E372=""),"",IF(AND(ISNUMBER(J372),ISNUMBER(K372)),J372-K372,""))</x:f>
      </x:c>
      <x:c r="M372" s="114"/>
      <x:c r="N372" s="98" t="str">
        <x:f>IF(OR(D372="",E372=""),"",IF(COUNTIFS($D$6:D372,D372,$E$6:E372,E372)=1,MAX(SUMIFS($L$6:$L$505,$D$6:$D$505,D372,$E$6:$E$505,E372)-SUMIFS($M$6:$M$505,$D$6:$D$505,D372,$E$6:$E$505,E372),0),""))</x:f>
      </x:c>
    </x:row>
    <x:row r="373" ht="28" customHeight="1">
      <x:c r="A373" s="113" t="str">
        <x:f>IF(D373="","",IF(COUNTIFS(Trips!$A$6:$A$105,D373)=1,INDEX(Trips!$C$6:$C$105,MATCH(D373,Trips!$A$6:$A$105,0)),""))</x:f>
      </x:c>
      <x:c r="B373" s="90" t="str">
        <x:f>IF(D373="","",IF(COUNTIFS(Trips!$A$6:$A$105,D373)=1,INDEX(Trips!$B$6:$B$105,MATCH(D373,Trips!$A$6:$A$105,0)),""))</x:f>
      </x:c>
      <x:c r="C373" s="90" t="str">
        <x:f>IF(D373="","",IF(COUNTIFS(Trips!$A$6:$A$105,D373)=1,INDEX(Trips!$D$6:$D$105,MATCH(D373,Trips!$A$6:$A$105,0)),""))</x:f>
      </x:c>
      <x:c r="D373" s="107"/>
      <x:c r="E373" s="107"/>
      <x:c r="F373" s="90" t="str">
        <x:f>IF(E373="","",IF(COUNTIFS(Counters!$A$6:$A$105,E373)=1,INDEX(Counters!$B$6:$B$105,MATCH(E373,Counters!$A$6:$A$105,0)),""))</x:f>
      </x:c>
      <x:c r="G373" s="107"/>
      <x:c r="H373" s="98" t="str">
        <x:f>IF(C373="","",IF(COUNTIFS('Route List'!$F$6:$F$205,C373)=1,IF(COUNTIFS('Route List'!$F$6:$F$205,C373,'Route List'!$G$6:$G$205,"&lt;&gt;")=1,INDEX('Route List'!$G$6:$G$205,MATCH(C373,'Route List'!$F$6:$F$205,0)),"Enter route fare"),"Enter route fare"))</x:f>
      </x:c>
      <x:c r="I373" s="98" t="str">
        <x:f>IF(F373="","",IF(F373="Own",0,50))</x:f>
      </x:c>
      <x:c r="J373" s="98" t="str">
        <x:f>IF(OR(D373="",E373=""),"",IF(AND(ISNUMBER(G373),ISNUMBER(H373)),ROUND(G373*H373,2),""))</x:f>
      </x:c>
      <x:c r="K373" s="98" t="str">
        <x:f>IF(OR(D373="",E373=""),"",IF(AND(ISNUMBER(G373),ISNUMBER(I373)),ROUND(G373*I373,2),""))</x:f>
      </x:c>
      <x:c r="L373" s="98" t="str">
        <x:f>IF(OR(D373="",E373=""),"",IF(AND(ISNUMBER(J373),ISNUMBER(K373)),J373-K373,""))</x:f>
      </x:c>
      <x:c r="M373" s="114"/>
      <x:c r="N373" s="98" t="str">
        <x:f>IF(OR(D373="",E373=""),"",IF(COUNTIFS($D$6:D373,D373,$E$6:E373,E373)=1,MAX(SUMIFS($L$6:$L$505,$D$6:$D$505,D373,$E$6:$E$505,E373)-SUMIFS($M$6:$M$505,$D$6:$D$505,D373,$E$6:$E$505,E373),0),""))</x:f>
      </x:c>
    </x:row>
    <x:row r="374" ht="28" customHeight="1">
      <x:c r="A374" s="113" t="str">
        <x:f>IF(D374="","",IF(COUNTIFS(Trips!$A$6:$A$105,D374)=1,INDEX(Trips!$C$6:$C$105,MATCH(D374,Trips!$A$6:$A$105,0)),""))</x:f>
      </x:c>
      <x:c r="B374" s="90" t="str">
        <x:f>IF(D374="","",IF(COUNTIFS(Trips!$A$6:$A$105,D374)=1,INDEX(Trips!$B$6:$B$105,MATCH(D374,Trips!$A$6:$A$105,0)),""))</x:f>
      </x:c>
      <x:c r="C374" s="90" t="str">
        <x:f>IF(D374="","",IF(COUNTIFS(Trips!$A$6:$A$105,D374)=1,INDEX(Trips!$D$6:$D$105,MATCH(D374,Trips!$A$6:$A$105,0)),""))</x:f>
      </x:c>
      <x:c r="D374" s="107"/>
      <x:c r="E374" s="107"/>
      <x:c r="F374" s="90" t="str">
        <x:f>IF(E374="","",IF(COUNTIFS(Counters!$A$6:$A$105,E374)=1,INDEX(Counters!$B$6:$B$105,MATCH(E374,Counters!$A$6:$A$105,0)),""))</x:f>
      </x:c>
      <x:c r="G374" s="107"/>
      <x:c r="H374" s="98" t="str">
        <x:f>IF(C374="","",IF(COUNTIFS('Route List'!$F$6:$F$205,C374)=1,IF(COUNTIFS('Route List'!$F$6:$F$205,C374,'Route List'!$G$6:$G$205,"&lt;&gt;")=1,INDEX('Route List'!$G$6:$G$205,MATCH(C374,'Route List'!$F$6:$F$205,0)),"Enter route fare"),"Enter route fare"))</x:f>
      </x:c>
      <x:c r="I374" s="98" t="str">
        <x:f>IF(F374="","",IF(F374="Own",0,50))</x:f>
      </x:c>
      <x:c r="J374" s="98" t="str">
        <x:f>IF(OR(D374="",E374=""),"",IF(AND(ISNUMBER(G374),ISNUMBER(H374)),ROUND(G374*H374,2),""))</x:f>
      </x:c>
      <x:c r="K374" s="98" t="str">
        <x:f>IF(OR(D374="",E374=""),"",IF(AND(ISNUMBER(G374),ISNUMBER(I374)),ROUND(G374*I374,2),""))</x:f>
      </x:c>
      <x:c r="L374" s="98" t="str">
        <x:f>IF(OR(D374="",E374=""),"",IF(AND(ISNUMBER(J374),ISNUMBER(K374)),J374-K374,""))</x:f>
      </x:c>
      <x:c r="M374" s="114"/>
      <x:c r="N374" s="98" t="str">
        <x:f>IF(OR(D374="",E374=""),"",IF(COUNTIFS($D$6:D374,D374,$E$6:E374,E374)=1,MAX(SUMIFS($L$6:$L$505,$D$6:$D$505,D374,$E$6:$E$505,E374)-SUMIFS($M$6:$M$505,$D$6:$D$505,D374,$E$6:$E$505,E374),0),""))</x:f>
      </x:c>
    </x:row>
    <x:row r="375" ht="28" customHeight="1">
      <x:c r="A375" s="113" t="str">
        <x:f>IF(D375="","",IF(COUNTIFS(Trips!$A$6:$A$105,D375)=1,INDEX(Trips!$C$6:$C$105,MATCH(D375,Trips!$A$6:$A$105,0)),""))</x:f>
      </x:c>
      <x:c r="B375" s="90" t="str">
        <x:f>IF(D375="","",IF(COUNTIFS(Trips!$A$6:$A$105,D375)=1,INDEX(Trips!$B$6:$B$105,MATCH(D375,Trips!$A$6:$A$105,0)),""))</x:f>
      </x:c>
      <x:c r="C375" s="90" t="str">
        <x:f>IF(D375="","",IF(COUNTIFS(Trips!$A$6:$A$105,D375)=1,INDEX(Trips!$D$6:$D$105,MATCH(D375,Trips!$A$6:$A$105,0)),""))</x:f>
      </x:c>
      <x:c r="D375" s="107"/>
      <x:c r="E375" s="107"/>
      <x:c r="F375" s="90" t="str">
        <x:f>IF(E375="","",IF(COUNTIFS(Counters!$A$6:$A$105,E375)=1,INDEX(Counters!$B$6:$B$105,MATCH(E375,Counters!$A$6:$A$105,0)),""))</x:f>
      </x:c>
      <x:c r="G375" s="107"/>
      <x:c r="H375" s="98" t="str">
        <x:f>IF(C375="","",IF(COUNTIFS('Route List'!$F$6:$F$205,C375)=1,IF(COUNTIFS('Route List'!$F$6:$F$205,C375,'Route List'!$G$6:$G$205,"&lt;&gt;")=1,INDEX('Route List'!$G$6:$G$205,MATCH(C375,'Route List'!$F$6:$F$205,0)),"Enter route fare"),"Enter route fare"))</x:f>
      </x:c>
      <x:c r="I375" s="98" t="str">
        <x:f>IF(F375="","",IF(F375="Own",0,50))</x:f>
      </x:c>
      <x:c r="J375" s="98" t="str">
        <x:f>IF(OR(D375="",E375=""),"",IF(AND(ISNUMBER(G375),ISNUMBER(H375)),ROUND(G375*H375,2),""))</x:f>
      </x:c>
      <x:c r="K375" s="98" t="str">
        <x:f>IF(OR(D375="",E375=""),"",IF(AND(ISNUMBER(G375),ISNUMBER(I375)),ROUND(G375*I375,2),""))</x:f>
      </x:c>
      <x:c r="L375" s="98" t="str">
        <x:f>IF(OR(D375="",E375=""),"",IF(AND(ISNUMBER(J375),ISNUMBER(K375)),J375-K375,""))</x:f>
      </x:c>
      <x:c r="M375" s="114"/>
      <x:c r="N375" s="98" t="str">
        <x:f>IF(OR(D375="",E375=""),"",IF(COUNTIFS($D$6:D375,D375,$E$6:E375,E375)=1,MAX(SUMIFS($L$6:$L$505,$D$6:$D$505,D375,$E$6:$E$505,E375)-SUMIFS($M$6:$M$505,$D$6:$D$505,D375,$E$6:$E$505,E375),0),""))</x:f>
      </x:c>
    </x:row>
    <x:row r="376" ht="28" customHeight="1">
      <x:c r="A376" s="113" t="str">
        <x:f>IF(D376="","",IF(COUNTIFS(Trips!$A$6:$A$105,D376)=1,INDEX(Trips!$C$6:$C$105,MATCH(D376,Trips!$A$6:$A$105,0)),""))</x:f>
      </x:c>
      <x:c r="B376" s="90" t="str">
        <x:f>IF(D376="","",IF(COUNTIFS(Trips!$A$6:$A$105,D376)=1,INDEX(Trips!$B$6:$B$105,MATCH(D376,Trips!$A$6:$A$105,0)),""))</x:f>
      </x:c>
      <x:c r="C376" s="90" t="str">
        <x:f>IF(D376="","",IF(COUNTIFS(Trips!$A$6:$A$105,D376)=1,INDEX(Trips!$D$6:$D$105,MATCH(D376,Trips!$A$6:$A$105,0)),""))</x:f>
      </x:c>
      <x:c r="D376" s="107"/>
      <x:c r="E376" s="107"/>
      <x:c r="F376" s="90" t="str">
        <x:f>IF(E376="","",IF(COUNTIFS(Counters!$A$6:$A$105,E376)=1,INDEX(Counters!$B$6:$B$105,MATCH(E376,Counters!$A$6:$A$105,0)),""))</x:f>
      </x:c>
      <x:c r="G376" s="107"/>
      <x:c r="H376" s="98" t="str">
        <x:f>IF(C376="","",IF(COUNTIFS('Route List'!$F$6:$F$205,C376)=1,IF(COUNTIFS('Route List'!$F$6:$F$205,C376,'Route List'!$G$6:$G$205,"&lt;&gt;")=1,INDEX('Route List'!$G$6:$G$205,MATCH(C376,'Route List'!$F$6:$F$205,0)),"Enter route fare"),"Enter route fare"))</x:f>
      </x:c>
      <x:c r="I376" s="98" t="str">
        <x:f>IF(F376="","",IF(F376="Own",0,50))</x:f>
      </x:c>
      <x:c r="J376" s="98" t="str">
        <x:f>IF(OR(D376="",E376=""),"",IF(AND(ISNUMBER(G376),ISNUMBER(H376)),ROUND(G376*H376,2),""))</x:f>
      </x:c>
      <x:c r="K376" s="98" t="str">
        <x:f>IF(OR(D376="",E376=""),"",IF(AND(ISNUMBER(G376),ISNUMBER(I376)),ROUND(G376*I376,2),""))</x:f>
      </x:c>
      <x:c r="L376" s="98" t="str">
        <x:f>IF(OR(D376="",E376=""),"",IF(AND(ISNUMBER(J376),ISNUMBER(K376)),J376-K376,""))</x:f>
      </x:c>
      <x:c r="M376" s="114"/>
      <x:c r="N376" s="98" t="str">
        <x:f>IF(OR(D376="",E376=""),"",IF(COUNTIFS($D$6:D376,D376,$E$6:E376,E376)=1,MAX(SUMIFS($L$6:$L$505,$D$6:$D$505,D376,$E$6:$E$505,E376)-SUMIFS($M$6:$M$505,$D$6:$D$505,D376,$E$6:$E$505,E376),0),""))</x:f>
      </x:c>
    </x:row>
    <x:row r="377" ht="28" customHeight="1">
      <x:c r="A377" s="113" t="str">
        <x:f>IF(D377="","",IF(COUNTIFS(Trips!$A$6:$A$105,D377)=1,INDEX(Trips!$C$6:$C$105,MATCH(D377,Trips!$A$6:$A$105,0)),""))</x:f>
      </x:c>
      <x:c r="B377" s="90" t="str">
        <x:f>IF(D377="","",IF(COUNTIFS(Trips!$A$6:$A$105,D377)=1,INDEX(Trips!$B$6:$B$105,MATCH(D377,Trips!$A$6:$A$105,0)),""))</x:f>
      </x:c>
      <x:c r="C377" s="90" t="str">
        <x:f>IF(D377="","",IF(COUNTIFS(Trips!$A$6:$A$105,D377)=1,INDEX(Trips!$D$6:$D$105,MATCH(D377,Trips!$A$6:$A$105,0)),""))</x:f>
      </x:c>
      <x:c r="D377" s="107"/>
      <x:c r="E377" s="107"/>
      <x:c r="F377" s="90" t="str">
        <x:f>IF(E377="","",IF(COUNTIFS(Counters!$A$6:$A$105,E377)=1,INDEX(Counters!$B$6:$B$105,MATCH(E377,Counters!$A$6:$A$105,0)),""))</x:f>
      </x:c>
      <x:c r="G377" s="107"/>
      <x:c r="H377" s="98" t="str">
        <x:f>IF(C377="","",IF(COUNTIFS('Route List'!$F$6:$F$205,C377)=1,IF(COUNTIFS('Route List'!$F$6:$F$205,C377,'Route List'!$G$6:$G$205,"&lt;&gt;")=1,INDEX('Route List'!$G$6:$G$205,MATCH(C377,'Route List'!$F$6:$F$205,0)),"Enter route fare"),"Enter route fare"))</x:f>
      </x:c>
      <x:c r="I377" s="98" t="str">
        <x:f>IF(F377="","",IF(F377="Own",0,50))</x:f>
      </x:c>
      <x:c r="J377" s="98" t="str">
        <x:f>IF(OR(D377="",E377=""),"",IF(AND(ISNUMBER(G377),ISNUMBER(H377)),ROUND(G377*H377,2),""))</x:f>
      </x:c>
      <x:c r="K377" s="98" t="str">
        <x:f>IF(OR(D377="",E377=""),"",IF(AND(ISNUMBER(G377),ISNUMBER(I377)),ROUND(G377*I377,2),""))</x:f>
      </x:c>
      <x:c r="L377" s="98" t="str">
        <x:f>IF(OR(D377="",E377=""),"",IF(AND(ISNUMBER(J377),ISNUMBER(K377)),J377-K377,""))</x:f>
      </x:c>
      <x:c r="M377" s="114"/>
      <x:c r="N377" s="98" t="str">
        <x:f>IF(OR(D377="",E377=""),"",IF(COUNTIFS($D$6:D377,D377,$E$6:E377,E377)=1,MAX(SUMIFS($L$6:$L$505,$D$6:$D$505,D377,$E$6:$E$505,E377)-SUMIFS($M$6:$M$505,$D$6:$D$505,D377,$E$6:$E$505,E377),0),""))</x:f>
      </x:c>
    </x:row>
    <x:row r="378" ht="28" customHeight="1">
      <x:c r="A378" s="113" t="str">
        <x:f>IF(D378="","",IF(COUNTIFS(Trips!$A$6:$A$105,D378)=1,INDEX(Trips!$C$6:$C$105,MATCH(D378,Trips!$A$6:$A$105,0)),""))</x:f>
      </x:c>
      <x:c r="B378" s="90" t="str">
        <x:f>IF(D378="","",IF(COUNTIFS(Trips!$A$6:$A$105,D378)=1,INDEX(Trips!$B$6:$B$105,MATCH(D378,Trips!$A$6:$A$105,0)),""))</x:f>
      </x:c>
      <x:c r="C378" s="90" t="str">
        <x:f>IF(D378="","",IF(COUNTIFS(Trips!$A$6:$A$105,D378)=1,INDEX(Trips!$D$6:$D$105,MATCH(D378,Trips!$A$6:$A$105,0)),""))</x:f>
      </x:c>
      <x:c r="D378" s="107"/>
      <x:c r="E378" s="107"/>
      <x:c r="F378" s="90" t="str">
        <x:f>IF(E378="","",IF(COUNTIFS(Counters!$A$6:$A$105,E378)=1,INDEX(Counters!$B$6:$B$105,MATCH(E378,Counters!$A$6:$A$105,0)),""))</x:f>
      </x:c>
      <x:c r="G378" s="107"/>
      <x:c r="H378" s="98" t="str">
        <x:f>IF(C378="","",IF(COUNTIFS('Route List'!$F$6:$F$205,C378)=1,IF(COUNTIFS('Route List'!$F$6:$F$205,C378,'Route List'!$G$6:$G$205,"&lt;&gt;")=1,INDEX('Route List'!$G$6:$G$205,MATCH(C378,'Route List'!$F$6:$F$205,0)),"Enter route fare"),"Enter route fare"))</x:f>
      </x:c>
      <x:c r="I378" s="98" t="str">
        <x:f>IF(F378="","",IF(F378="Own",0,50))</x:f>
      </x:c>
      <x:c r="J378" s="98" t="str">
        <x:f>IF(OR(D378="",E378=""),"",IF(AND(ISNUMBER(G378),ISNUMBER(H378)),ROUND(G378*H378,2),""))</x:f>
      </x:c>
      <x:c r="K378" s="98" t="str">
        <x:f>IF(OR(D378="",E378=""),"",IF(AND(ISNUMBER(G378),ISNUMBER(I378)),ROUND(G378*I378,2),""))</x:f>
      </x:c>
      <x:c r="L378" s="98" t="str">
        <x:f>IF(OR(D378="",E378=""),"",IF(AND(ISNUMBER(J378),ISNUMBER(K378)),J378-K378,""))</x:f>
      </x:c>
      <x:c r="M378" s="114"/>
      <x:c r="N378" s="98" t="str">
        <x:f>IF(OR(D378="",E378=""),"",IF(COUNTIFS($D$6:D378,D378,$E$6:E378,E378)=1,MAX(SUMIFS($L$6:$L$505,$D$6:$D$505,D378,$E$6:$E$505,E378)-SUMIFS($M$6:$M$505,$D$6:$D$505,D378,$E$6:$E$505,E378),0),""))</x:f>
      </x:c>
    </x:row>
    <x:row r="379" ht="28" customHeight="1">
      <x:c r="A379" s="113" t="str">
        <x:f>IF(D379="","",IF(COUNTIFS(Trips!$A$6:$A$105,D379)=1,INDEX(Trips!$C$6:$C$105,MATCH(D379,Trips!$A$6:$A$105,0)),""))</x:f>
      </x:c>
      <x:c r="B379" s="90" t="str">
        <x:f>IF(D379="","",IF(COUNTIFS(Trips!$A$6:$A$105,D379)=1,INDEX(Trips!$B$6:$B$105,MATCH(D379,Trips!$A$6:$A$105,0)),""))</x:f>
      </x:c>
      <x:c r="C379" s="90" t="str">
        <x:f>IF(D379="","",IF(COUNTIFS(Trips!$A$6:$A$105,D379)=1,INDEX(Trips!$D$6:$D$105,MATCH(D379,Trips!$A$6:$A$105,0)),""))</x:f>
      </x:c>
      <x:c r="D379" s="107"/>
      <x:c r="E379" s="107"/>
      <x:c r="F379" s="90" t="str">
        <x:f>IF(E379="","",IF(COUNTIFS(Counters!$A$6:$A$105,E379)=1,INDEX(Counters!$B$6:$B$105,MATCH(E379,Counters!$A$6:$A$105,0)),""))</x:f>
      </x:c>
      <x:c r="G379" s="107"/>
      <x:c r="H379" s="98" t="str">
        <x:f>IF(C379="","",IF(COUNTIFS('Route List'!$F$6:$F$205,C379)=1,IF(COUNTIFS('Route List'!$F$6:$F$205,C379,'Route List'!$G$6:$G$205,"&lt;&gt;")=1,INDEX('Route List'!$G$6:$G$205,MATCH(C379,'Route List'!$F$6:$F$205,0)),"Enter route fare"),"Enter route fare"))</x:f>
      </x:c>
      <x:c r="I379" s="98" t="str">
        <x:f>IF(F379="","",IF(F379="Own",0,50))</x:f>
      </x:c>
      <x:c r="J379" s="98" t="str">
        <x:f>IF(OR(D379="",E379=""),"",IF(AND(ISNUMBER(G379),ISNUMBER(H379)),ROUND(G379*H379,2),""))</x:f>
      </x:c>
      <x:c r="K379" s="98" t="str">
        <x:f>IF(OR(D379="",E379=""),"",IF(AND(ISNUMBER(G379),ISNUMBER(I379)),ROUND(G379*I379,2),""))</x:f>
      </x:c>
      <x:c r="L379" s="98" t="str">
        <x:f>IF(OR(D379="",E379=""),"",IF(AND(ISNUMBER(J379),ISNUMBER(K379)),J379-K379,""))</x:f>
      </x:c>
      <x:c r="M379" s="114"/>
      <x:c r="N379" s="98" t="str">
        <x:f>IF(OR(D379="",E379=""),"",IF(COUNTIFS($D$6:D379,D379,$E$6:E379,E379)=1,MAX(SUMIFS($L$6:$L$505,$D$6:$D$505,D379,$E$6:$E$505,E379)-SUMIFS($M$6:$M$505,$D$6:$D$505,D379,$E$6:$E$505,E379),0),""))</x:f>
      </x:c>
    </x:row>
    <x:row r="380" ht="28" customHeight="1">
      <x:c r="A380" s="113" t="str">
        <x:f>IF(D380="","",IF(COUNTIFS(Trips!$A$6:$A$105,D380)=1,INDEX(Trips!$C$6:$C$105,MATCH(D380,Trips!$A$6:$A$105,0)),""))</x:f>
      </x:c>
      <x:c r="B380" s="90" t="str">
        <x:f>IF(D380="","",IF(COUNTIFS(Trips!$A$6:$A$105,D380)=1,INDEX(Trips!$B$6:$B$105,MATCH(D380,Trips!$A$6:$A$105,0)),""))</x:f>
      </x:c>
      <x:c r="C380" s="90" t="str">
        <x:f>IF(D380="","",IF(COUNTIFS(Trips!$A$6:$A$105,D380)=1,INDEX(Trips!$D$6:$D$105,MATCH(D380,Trips!$A$6:$A$105,0)),""))</x:f>
      </x:c>
      <x:c r="D380" s="107"/>
      <x:c r="E380" s="107"/>
      <x:c r="F380" s="90" t="str">
        <x:f>IF(E380="","",IF(COUNTIFS(Counters!$A$6:$A$105,E380)=1,INDEX(Counters!$B$6:$B$105,MATCH(E380,Counters!$A$6:$A$105,0)),""))</x:f>
      </x:c>
      <x:c r="G380" s="107"/>
      <x:c r="H380" s="98" t="str">
        <x:f>IF(C380="","",IF(COUNTIFS('Route List'!$F$6:$F$205,C380)=1,IF(COUNTIFS('Route List'!$F$6:$F$205,C380,'Route List'!$G$6:$G$205,"&lt;&gt;")=1,INDEX('Route List'!$G$6:$G$205,MATCH(C380,'Route List'!$F$6:$F$205,0)),"Enter route fare"),"Enter route fare"))</x:f>
      </x:c>
      <x:c r="I380" s="98" t="str">
        <x:f>IF(F380="","",IF(F380="Own",0,50))</x:f>
      </x:c>
      <x:c r="J380" s="98" t="str">
        <x:f>IF(OR(D380="",E380=""),"",IF(AND(ISNUMBER(G380),ISNUMBER(H380)),ROUND(G380*H380,2),""))</x:f>
      </x:c>
      <x:c r="K380" s="98" t="str">
        <x:f>IF(OR(D380="",E380=""),"",IF(AND(ISNUMBER(G380),ISNUMBER(I380)),ROUND(G380*I380,2),""))</x:f>
      </x:c>
      <x:c r="L380" s="98" t="str">
        <x:f>IF(OR(D380="",E380=""),"",IF(AND(ISNUMBER(J380),ISNUMBER(K380)),J380-K380,""))</x:f>
      </x:c>
      <x:c r="M380" s="114"/>
      <x:c r="N380" s="98" t="str">
        <x:f>IF(OR(D380="",E380=""),"",IF(COUNTIFS($D$6:D380,D380,$E$6:E380,E380)=1,MAX(SUMIFS($L$6:$L$505,$D$6:$D$505,D380,$E$6:$E$505,E380)-SUMIFS($M$6:$M$505,$D$6:$D$505,D380,$E$6:$E$505,E380),0),""))</x:f>
      </x:c>
    </x:row>
    <x:row r="381" ht="28" customHeight="1">
      <x:c r="A381" s="113" t="str">
        <x:f>IF(D381="","",IF(COUNTIFS(Trips!$A$6:$A$105,D381)=1,INDEX(Trips!$C$6:$C$105,MATCH(D381,Trips!$A$6:$A$105,0)),""))</x:f>
      </x:c>
      <x:c r="B381" s="90" t="str">
        <x:f>IF(D381="","",IF(COUNTIFS(Trips!$A$6:$A$105,D381)=1,INDEX(Trips!$B$6:$B$105,MATCH(D381,Trips!$A$6:$A$105,0)),""))</x:f>
      </x:c>
      <x:c r="C381" s="90" t="str">
        <x:f>IF(D381="","",IF(COUNTIFS(Trips!$A$6:$A$105,D381)=1,INDEX(Trips!$D$6:$D$105,MATCH(D381,Trips!$A$6:$A$105,0)),""))</x:f>
      </x:c>
      <x:c r="D381" s="107"/>
      <x:c r="E381" s="107"/>
      <x:c r="F381" s="90" t="str">
        <x:f>IF(E381="","",IF(COUNTIFS(Counters!$A$6:$A$105,E381)=1,INDEX(Counters!$B$6:$B$105,MATCH(E381,Counters!$A$6:$A$105,0)),""))</x:f>
      </x:c>
      <x:c r="G381" s="107"/>
      <x:c r="H381" s="98" t="str">
        <x:f>IF(C381="","",IF(COUNTIFS('Route List'!$F$6:$F$205,C381)=1,IF(COUNTIFS('Route List'!$F$6:$F$205,C381,'Route List'!$G$6:$G$205,"&lt;&gt;")=1,INDEX('Route List'!$G$6:$G$205,MATCH(C381,'Route List'!$F$6:$F$205,0)),"Enter route fare"),"Enter route fare"))</x:f>
      </x:c>
      <x:c r="I381" s="98" t="str">
        <x:f>IF(F381="","",IF(F381="Own",0,50))</x:f>
      </x:c>
      <x:c r="J381" s="98" t="str">
        <x:f>IF(OR(D381="",E381=""),"",IF(AND(ISNUMBER(G381),ISNUMBER(H381)),ROUND(G381*H381,2),""))</x:f>
      </x:c>
      <x:c r="K381" s="98" t="str">
        <x:f>IF(OR(D381="",E381=""),"",IF(AND(ISNUMBER(G381),ISNUMBER(I381)),ROUND(G381*I381,2),""))</x:f>
      </x:c>
      <x:c r="L381" s="98" t="str">
        <x:f>IF(OR(D381="",E381=""),"",IF(AND(ISNUMBER(J381),ISNUMBER(K381)),J381-K381,""))</x:f>
      </x:c>
      <x:c r="M381" s="114"/>
      <x:c r="N381" s="98" t="str">
        <x:f>IF(OR(D381="",E381=""),"",IF(COUNTIFS($D$6:D381,D381,$E$6:E381,E381)=1,MAX(SUMIFS($L$6:$L$505,$D$6:$D$505,D381,$E$6:$E$505,E381)-SUMIFS($M$6:$M$505,$D$6:$D$505,D381,$E$6:$E$505,E381),0),""))</x:f>
      </x:c>
    </x:row>
    <x:row r="382" ht="28" customHeight="1">
      <x:c r="A382" s="113" t="str">
        <x:f>IF(D382="","",IF(COUNTIFS(Trips!$A$6:$A$105,D382)=1,INDEX(Trips!$C$6:$C$105,MATCH(D382,Trips!$A$6:$A$105,0)),""))</x:f>
      </x:c>
      <x:c r="B382" s="90" t="str">
        <x:f>IF(D382="","",IF(COUNTIFS(Trips!$A$6:$A$105,D382)=1,INDEX(Trips!$B$6:$B$105,MATCH(D382,Trips!$A$6:$A$105,0)),""))</x:f>
      </x:c>
      <x:c r="C382" s="90" t="str">
        <x:f>IF(D382="","",IF(COUNTIFS(Trips!$A$6:$A$105,D382)=1,INDEX(Trips!$D$6:$D$105,MATCH(D382,Trips!$A$6:$A$105,0)),""))</x:f>
      </x:c>
      <x:c r="D382" s="107"/>
      <x:c r="E382" s="107"/>
      <x:c r="F382" s="90" t="str">
        <x:f>IF(E382="","",IF(COUNTIFS(Counters!$A$6:$A$105,E382)=1,INDEX(Counters!$B$6:$B$105,MATCH(E382,Counters!$A$6:$A$105,0)),""))</x:f>
      </x:c>
      <x:c r="G382" s="107"/>
      <x:c r="H382" s="98" t="str">
        <x:f>IF(C382="","",IF(COUNTIFS('Route List'!$F$6:$F$205,C382)=1,IF(COUNTIFS('Route List'!$F$6:$F$205,C382,'Route List'!$G$6:$G$205,"&lt;&gt;")=1,INDEX('Route List'!$G$6:$G$205,MATCH(C382,'Route List'!$F$6:$F$205,0)),"Enter route fare"),"Enter route fare"))</x:f>
      </x:c>
      <x:c r="I382" s="98" t="str">
        <x:f>IF(F382="","",IF(F382="Own",0,50))</x:f>
      </x:c>
      <x:c r="J382" s="98" t="str">
        <x:f>IF(OR(D382="",E382=""),"",IF(AND(ISNUMBER(G382),ISNUMBER(H382)),ROUND(G382*H382,2),""))</x:f>
      </x:c>
      <x:c r="K382" s="98" t="str">
        <x:f>IF(OR(D382="",E382=""),"",IF(AND(ISNUMBER(G382),ISNUMBER(I382)),ROUND(G382*I382,2),""))</x:f>
      </x:c>
      <x:c r="L382" s="98" t="str">
        <x:f>IF(OR(D382="",E382=""),"",IF(AND(ISNUMBER(J382),ISNUMBER(K382)),J382-K382,""))</x:f>
      </x:c>
      <x:c r="M382" s="114"/>
      <x:c r="N382" s="98" t="str">
        <x:f>IF(OR(D382="",E382=""),"",IF(COUNTIFS($D$6:D382,D382,$E$6:E382,E382)=1,MAX(SUMIFS($L$6:$L$505,$D$6:$D$505,D382,$E$6:$E$505,E382)-SUMIFS($M$6:$M$505,$D$6:$D$505,D382,$E$6:$E$505,E382),0),""))</x:f>
      </x:c>
    </x:row>
    <x:row r="383" ht="28" customHeight="1">
      <x:c r="A383" s="113" t="str">
        <x:f>IF(D383="","",IF(COUNTIFS(Trips!$A$6:$A$105,D383)=1,INDEX(Trips!$C$6:$C$105,MATCH(D383,Trips!$A$6:$A$105,0)),""))</x:f>
      </x:c>
      <x:c r="B383" s="90" t="str">
        <x:f>IF(D383="","",IF(COUNTIFS(Trips!$A$6:$A$105,D383)=1,INDEX(Trips!$B$6:$B$105,MATCH(D383,Trips!$A$6:$A$105,0)),""))</x:f>
      </x:c>
      <x:c r="C383" s="90" t="str">
        <x:f>IF(D383="","",IF(COUNTIFS(Trips!$A$6:$A$105,D383)=1,INDEX(Trips!$D$6:$D$105,MATCH(D383,Trips!$A$6:$A$105,0)),""))</x:f>
      </x:c>
      <x:c r="D383" s="107"/>
      <x:c r="E383" s="107"/>
      <x:c r="F383" s="90" t="str">
        <x:f>IF(E383="","",IF(COUNTIFS(Counters!$A$6:$A$105,E383)=1,INDEX(Counters!$B$6:$B$105,MATCH(E383,Counters!$A$6:$A$105,0)),""))</x:f>
      </x:c>
      <x:c r="G383" s="107"/>
      <x:c r="H383" s="98" t="str">
        <x:f>IF(C383="","",IF(COUNTIFS('Route List'!$F$6:$F$205,C383)=1,IF(COUNTIFS('Route List'!$F$6:$F$205,C383,'Route List'!$G$6:$G$205,"&lt;&gt;")=1,INDEX('Route List'!$G$6:$G$205,MATCH(C383,'Route List'!$F$6:$F$205,0)),"Enter route fare"),"Enter route fare"))</x:f>
      </x:c>
      <x:c r="I383" s="98" t="str">
        <x:f>IF(F383="","",IF(F383="Own",0,50))</x:f>
      </x:c>
      <x:c r="J383" s="98" t="str">
        <x:f>IF(OR(D383="",E383=""),"",IF(AND(ISNUMBER(G383),ISNUMBER(H383)),ROUND(G383*H383,2),""))</x:f>
      </x:c>
      <x:c r="K383" s="98" t="str">
        <x:f>IF(OR(D383="",E383=""),"",IF(AND(ISNUMBER(G383),ISNUMBER(I383)),ROUND(G383*I383,2),""))</x:f>
      </x:c>
      <x:c r="L383" s="98" t="str">
        <x:f>IF(OR(D383="",E383=""),"",IF(AND(ISNUMBER(J383),ISNUMBER(K383)),J383-K383,""))</x:f>
      </x:c>
      <x:c r="M383" s="114"/>
      <x:c r="N383" s="98" t="str">
        <x:f>IF(OR(D383="",E383=""),"",IF(COUNTIFS($D$6:D383,D383,$E$6:E383,E383)=1,MAX(SUMIFS($L$6:$L$505,$D$6:$D$505,D383,$E$6:$E$505,E383)-SUMIFS($M$6:$M$505,$D$6:$D$505,D383,$E$6:$E$505,E383),0),""))</x:f>
      </x:c>
    </x:row>
    <x:row r="384" ht="28" customHeight="1">
      <x:c r="A384" s="113" t="str">
        <x:f>IF(D384="","",IF(COUNTIFS(Trips!$A$6:$A$105,D384)=1,INDEX(Trips!$C$6:$C$105,MATCH(D384,Trips!$A$6:$A$105,0)),""))</x:f>
      </x:c>
      <x:c r="B384" s="90" t="str">
        <x:f>IF(D384="","",IF(COUNTIFS(Trips!$A$6:$A$105,D384)=1,INDEX(Trips!$B$6:$B$105,MATCH(D384,Trips!$A$6:$A$105,0)),""))</x:f>
      </x:c>
      <x:c r="C384" s="90" t="str">
        <x:f>IF(D384="","",IF(COUNTIFS(Trips!$A$6:$A$105,D384)=1,INDEX(Trips!$D$6:$D$105,MATCH(D384,Trips!$A$6:$A$105,0)),""))</x:f>
      </x:c>
      <x:c r="D384" s="107"/>
      <x:c r="E384" s="107"/>
      <x:c r="F384" s="90" t="str">
        <x:f>IF(E384="","",IF(COUNTIFS(Counters!$A$6:$A$105,E384)=1,INDEX(Counters!$B$6:$B$105,MATCH(E384,Counters!$A$6:$A$105,0)),""))</x:f>
      </x:c>
      <x:c r="G384" s="107"/>
      <x:c r="H384" s="98" t="str">
        <x:f>IF(C384="","",IF(COUNTIFS('Route List'!$F$6:$F$205,C384)=1,IF(COUNTIFS('Route List'!$F$6:$F$205,C384,'Route List'!$G$6:$G$205,"&lt;&gt;")=1,INDEX('Route List'!$G$6:$G$205,MATCH(C384,'Route List'!$F$6:$F$205,0)),"Enter route fare"),"Enter route fare"))</x:f>
      </x:c>
      <x:c r="I384" s="98" t="str">
        <x:f>IF(F384="","",IF(F384="Own",0,50))</x:f>
      </x:c>
      <x:c r="J384" s="98" t="str">
        <x:f>IF(OR(D384="",E384=""),"",IF(AND(ISNUMBER(G384),ISNUMBER(H384)),ROUND(G384*H384,2),""))</x:f>
      </x:c>
      <x:c r="K384" s="98" t="str">
        <x:f>IF(OR(D384="",E384=""),"",IF(AND(ISNUMBER(G384),ISNUMBER(I384)),ROUND(G384*I384,2),""))</x:f>
      </x:c>
      <x:c r="L384" s="98" t="str">
        <x:f>IF(OR(D384="",E384=""),"",IF(AND(ISNUMBER(J384),ISNUMBER(K384)),J384-K384,""))</x:f>
      </x:c>
      <x:c r="M384" s="114"/>
      <x:c r="N384" s="98" t="str">
        <x:f>IF(OR(D384="",E384=""),"",IF(COUNTIFS($D$6:D384,D384,$E$6:E384,E384)=1,MAX(SUMIFS($L$6:$L$505,$D$6:$D$505,D384,$E$6:$E$505,E384)-SUMIFS($M$6:$M$505,$D$6:$D$505,D384,$E$6:$E$505,E384),0),""))</x:f>
      </x:c>
    </x:row>
    <x:row r="385" ht="28" customHeight="1">
      <x:c r="A385" s="113" t="str">
        <x:f>IF(D385="","",IF(COUNTIFS(Trips!$A$6:$A$105,D385)=1,INDEX(Trips!$C$6:$C$105,MATCH(D385,Trips!$A$6:$A$105,0)),""))</x:f>
      </x:c>
      <x:c r="B385" s="90" t="str">
        <x:f>IF(D385="","",IF(COUNTIFS(Trips!$A$6:$A$105,D385)=1,INDEX(Trips!$B$6:$B$105,MATCH(D385,Trips!$A$6:$A$105,0)),""))</x:f>
      </x:c>
      <x:c r="C385" s="90" t="str">
        <x:f>IF(D385="","",IF(COUNTIFS(Trips!$A$6:$A$105,D385)=1,INDEX(Trips!$D$6:$D$105,MATCH(D385,Trips!$A$6:$A$105,0)),""))</x:f>
      </x:c>
      <x:c r="D385" s="107"/>
      <x:c r="E385" s="107"/>
      <x:c r="F385" s="90" t="str">
        <x:f>IF(E385="","",IF(COUNTIFS(Counters!$A$6:$A$105,E385)=1,INDEX(Counters!$B$6:$B$105,MATCH(E385,Counters!$A$6:$A$105,0)),""))</x:f>
      </x:c>
      <x:c r="G385" s="107"/>
      <x:c r="H385" s="98" t="str">
        <x:f>IF(C385="","",IF(COUNTIFS('Route List'!$F$6:$F$205,C385)=1,IF(COUNTIFS('Route List'!$F$6:$F$205,C385,'Route List'!$G$6:$G$205,"&lt;&gt;")=1,INDEX('Route List'!$G$6:$G$205,MATCH(C385,'Route List'!$F$6:$F$205,0)),"Enter route fare"),"Enter route fare"))</x:f>
      </x:c>
      <x:c r="I385" s="98" t="str">
        <x:f>IF(F385="","",IF(F385="Own",0,50))</x:f>
      </x:c>
      <x:c r="J385" s="98" t="str">
        <x:f>IF(OR(D385="",E385=""),"",IF(AND(ISNUMBER(G385),ISNUMBER(H385)),ROUND(G385*H385,2),""))</x:f>
      </x:c>
      <x:c r="K385" s="98" t="str">
        <x:f>IF(OR(D385="",E385=""),"",IF(AND(ISNUMBER(G385),ISNUMBER(I385)),ROUND(G385*I385,2),""))</x:f>
      </x:c>
      <x:c r="L385" s="98" t="str">
        <x:f>IF(OR(D385="",E385=""),"",IF(AND(ISNUMBER(J385),ISNUMBER(K385)),J385-K385,""))</x:f>
      </x:c>
      <x:c r="M385" s="114"/>
      <x:c r="N385" s="98" t="str">
        <x:f>IF(OR(D385="",E385=""),"",IF(COUNTIFS($D$6:D385,D385,$E$6:E385,E385)=1,MAX(SUMIFS($L$6:$L$505,$D$6:$D$505,D385,$E$6:$E$505,E385)-SUMIFS($M$6:$M$505,$D$6:$D$505,D385,$E$6:$E$505,E385),0),""))</x:f>
      </x:c>
    </x:row>
    <x:row r="386" ht="28" customHeight="1">
      <x:c r="A386" s="113" t="str">
        <x:f>IF(D386="","",IF(COUNTIFS(Trips!$A$6:$A$105,D386)=1,INDEX(Trips!$C$6:$C$105,MATCH(D386,Trips!$A$6:$A$105,0)),""))</x:f>
      </x:c>
      <x:c r="B386" s="90" t="str">
        <x:f>IF(D386="","",IF(COUNTIFS(Trips!$A$6:$A$105,D386)=1,INDEX(Trips!$B$6:$B$105,MATCH(D386,Trips!$A$6:$A$105,0)),""))</x:f>
      </x:c>
      <x:c r="C386" s="90" t="str">
        <x:f>IF(D386="","",IF(COUNTIFS(Trips!$A$6:$A$105,D386)=1,INDEX(Trips!$D$6:$D$105,MATCH(D386,Trips!$A$6:$A$105,0)),""))</x:f>
      </x:c>
      <x:c r="D386" s="107"/>
      <x:c r="E386" s="107"/>
      <x:c r="F386" s="90" t="str">
        <x:f>IF(E386="","",IF(COUNTIFS(Counters!$A$6:$A$105,E386)=1,INDEX(Counters!$B$6:$B$105,MATCH(E386,Counters!$A$6:$A$105,0)),""))</x:f>
      </x:c>
      <x:c r="G386" s="107"/>
      <x:c r="H386" s="98" t="str">
        <x:f>IF(C386="","",IF(COUNTIFS('Route List'!$F$6:$F$205,C386)=1,IF(COUNTIFS('Route List'!$F$6:$F$205,C386,'Route List'!$G$6:$G$205,"&lt;&gt;")=1,INDEX('Route List'!$G$6:$G$205,MATCH(C386,'Route List'!$F$6:$F$205,0)),"Enter route fare"),"Enter route fare"))</x:f>
      </x:c>
      <x:c r="I386" s="98" t="str">
        <x:f>IF(F386="","",IF(F386="Own",0,50))</x:f>
      </x:c>
      <x:c r="J386" s="98" t="str">
        <x:f>IF(OR(D386="",E386=""),"",IF(AND(ISNUMBER(G386),ISNUMBER(H386)),ROUND(G386*H386,2),""))</x:f>
      </x:c>
      <x:c r="K386" s="98" t="str">
        <x:f>IF(OR(D386="",E386=""),"",IF(AND(ISNUMBER(G386),ISNUMBER(I386)),ROUND(G386*I386,2),""))</x:f>
      </x:c>
      <x:c r="L386" s="98" t="str">
        <x:f>IF(OR(D386="",E386=""),"",IF(AND(ISNUMBER(J386),ISNUMBER(K386)),J386-K386,""))</x:f>
      </x:c>
      <x:c r="M386" s="114"/>
      <x:c r="N386" s="98" t="str">
        <x:f>IF(OR(D386="",E386=""),"",IF(COUNTIFS($D$6:D386,D386,$E$6:E386,E386)=1,MAX(SUMIFS($L$6:$L$505,$D$6:$D$505,D386,$E$6:$E$505,E386)-SUMIFS($M$6:$M$505,$D$6:$D$505,D386,$E$6:$E$505,E386),0),""))</x:f>
      </x:c>
    </x:row>
    <x:row r="387" ht="28" customHeight="1">
      <x:c r="A387" s="113" t="str">
        <x:f>IF(D387="","",IF(COUNTIFS(Trips!$A$6:$A$105,D387)=1,INDEX(Trips!$C$6:$C$105,MATCH(D387,Trips!$A$6:$A$105,0)),""))</x:f>
      </x:c>
      <x:c r="B387" s="90" t="str">
        <x:f>IF(D387="","",IF(COUNTIFS(Trips!$A$6:$A$105,D387)=1,INDEX(Trips!$B$6:$B$105,MATCH(D387,Trips!$A$6:$A$105,0)),""))</x:f>
      </x:c>
      <x:c r="C387" s="90" t="str">
        <x:f>IF(D387="","",IF(COUNTIFS(Trips!$A$6:$A$105,D387)=1,INDEX(Trips!$D$6:$D$105,MATCH(D387,Trips!$A$6:$A$105,0)),""))</x:f>
      </x:c>
      <x:c r="D387" s="107"/>
      <x:c r="E387" s="107"/>
      <x:c r="F387" s="90" t="str">
        <x:f>IF(E387="","",IF(COUNTIFS(Counters!$A$6:$A$105,E387)=1,INDEX(Counters!$B$6:$B$105,MATCH(E387,Counters!$A$6:$A$105,0)),""))</x:f>
      </x:c>
      <x:c r="G387" s="107"/>
      <x:c r="H387" s="98" t="str">
        <x:f>IF(C387="","",IF(COUNTIFS('Route List'!$F$6:$F$205,C387)=1,IF(COUNTIFS('Route List'!$F$6:$F$205,C387,'Route List'!$G$6:$G$205,"&lt;&gt;")=1,INDEX('Route List'!$G$6:$G$205,MATCH(C387,'Route List'!$F$6:$F$205,0)),"Enter route fare"),"Enter route fare"))</x:f>
      </x:c>
      <x:c r="I387" s="98" t="str">
        <x:f>IF(F387="","",IF(F387="Own",0,50))</x:f>
      </x:c>
      <x:c r="J387" s="98" t="str">
        <x:f>IF(OR(D387="",E387=""),"",IF(AND(ISNUMBER(G387),ISNUMBER(H387)),ROUND(G387*H387,2),""))</x:f>
      </x:c>
      <x:c r="K387" s="98" t="str">
        <x:f>IF(OR(D387="",E387=""),"",IF(AND(ISNUMBER(G387),ISNUMBER(I387)),ROUND(G387*I387,2),""))</x:f>
      </x:c>
      <x:c r="L387" s="98" t="str">
        <x:f>IF(OR(D387="",E387=""),"",IF(AND(ISNUMBER(J387),ISNUMBER(K387)),J387-K387,""))</x:f>
      </x:c>
      <x:c r="M387" s="114"/>
      <x:c r="N387" s="98" t="str">
        <x:f>IF(OR(D387="",E387=""),"",IF(COUNTIFS($D$6:D387,D387,$E$6:E387,E387)=1,MAX(SUMIFS($L$6:$L$505,$D$6:$D$505,D387,$E$6:$E$505,E387)-SUMIFS($M$6:$M$505,$D$6:$D$505,D387,$E$6:$E$505,E387),0),""))</x:f>
      </x:c>
    </x:row>
    <x:row r="388" ht="28" customHeight="1">
      <x:c r="A388" s="113" t="str">
        <x:f>IF(D388="","",IF(COUNTIFS(Trips!$A$6:$A$105,D388)=1,INDEX(Trips!$C$6:$C$105,MATCH(D388,Trips!$A$6:$A$105,0)),""))</x:f>
      </x:c>
      <x:c r="B388" s="90" t="str">
        <x:f>IF(D388="","",IF(COUNTIFS(Trips!$A$6:$A$105,D388)=1,INDEX(Trips!$B$6:$B$105,MATCH(D388,Trips!$A$6:$A$105,0)),""))</x:f>
      </x:c>
      <x:c r="C388" s="90" t="str">
        <x:f>IF(D388="","",IF(COUNTIFS(Trips!$A$6:$A$105,D388)=1,INDEX(Trips!$D$6:$D$105,MATCH(D388,Trips!$A$6:$A$105,0)),""))</x:f>
      </x:c>
      <x:c r="D388" s="107"/>
      <x:c r="E388" s="107"/>
      <x:c r="F388" s="90" t="str">
        <x:f>IF(E388="","",IF(COUNTIFS(Counters!$A$6:$A$105,E388)=1,INDEX(Counters!$B$6:$B$105,MATCH(E388,Counters!$A$6:$A$105,0)),""))</x:f>
      </x:c>
      <x:c r="G388" s="107"/>
      <x:c r="H388" s="98" t="str">
        <x:f>IF(C388="","",IF(COUNTIFS('Route List'!$F$6:$F$205,C388)=1,IF(COUNTIFS('Route List'!$F$6:$F$205,C388,'Route List'!$G$6:$G$205,"&lt;&gt;")=1,INDEX('Route List'!$G$6:$G$205,MATCH(C388,'Route List'!$F$6:$F$205,0)),"Enter route fare"),"Enter route fare"))</x:f>
      </x:c>
      <x:c r="I388" s="98" t="str">
        <x:f>IF(F388="","",IF(F388="Own",0,50))</x:f>
      </x:c>
      <x:c r="J388" s="98" t="str">
        <x:f>IF(OR(D388="",E388=""),"",IF(AND(ISNUMBER(G388),ISNUMBER(H388)),ROUND(G388*H388,2),""))</x:f>
      </x:c>
      <x:c r="K388" s="98" t="str">
        <x:f>IF(OR(D388="",E388=""),"",IF(AND(ISNUMBER(G388),ISNUMBER(I388)),ROUND(G388*I388,2),""))</x:f>
      </x:c>
      <x:c r="L388" s="98" t="str">
        <x:f>IF(OR(D388="",E388=""),"",IF(AND(ISNUMBER(J388),ISNUMBER(K388)),J388-K388,""))</x:f>
      </x:c>
      <x:c r="M388" s="114"/>
      <x:c r="N388" s="98" t="str">
        <x:f>IF(OR(D388="",E388=""),"",IF(COUNTIFS($D$6:D388,D388,$E$6:E388,E388)=1,MAX(SUMIFS($L$6:$L$505,$D$6:$D$505,D388,$E$6:$E$505,E388)-SUMIFS($M$6:$M$505,$D$6:$D$505,D388,$E$6:$E$505,E388),0),""))</x:f>
      </x:c>
    </x:row>
    <x:row r="389" ht="28" customHeight="1">
      <x:c r="A389" s="113" t="str">
        <x:f>IF(D389="","",IF(COUNTIFS(Trips!$A$6:$A$105,D389)=1,INDEX(Trips!$C$6:$C$105,MATCH(D389,Trips!$A$6:$A$105,0)),""))</x:f>
      </x:c>
      <x:c r="B389" s="90" t="str">
        <x:f>IF(D389="","",IF(COUNTIFS(Trips!$A$6:$A$105,D389)=1,INDEX(Trips!$B$6:$B$105,MATCH(D389,Trips!$A$6:$A$105,0)),""))</x:f>
      </x:c>
      <x:c r="C389" s="90" t="str">
        <x:f>IF(D389="","",IF(COUNTIFS(Trips!$A$6:$A$105,D389)=1,INDEX(Trips!$D$6:$D$105,MATCH(D389,Trips!$A$6:$A$105,0)),""))</x:f>
      </x:c>
      <x:c r="D389" s="107"/>
      <x:c r="E389" s="107"/>
      <x:c r="F389" s="90" t="str">
        <x:f>IF(E389="","",IF(COUNTIFS(Counters!$A$6:$A$105,E389)=1,INDEX(Counters!$B$6:$B$105,MATCH(E389,Counters!$A$6:$A$105,0)),""))</x:f>
      </x:c>
      <x:c r="G389" s="107"/>
      <x:c r="H389" s="98" t="str">
        <x:f>IF(C389="","",IF(COUNTIFS('Route List'!$F$6:$F$205,C389)=1,IF(COUNTIFS('Route List'!$F$6:$F$205,C389,'Route List'!$G$6:$G$205,"&lt;&gt;")=1,INDEX('Route List'!$G$6:$G$205,MATCH(C389,'Route List'!$F$6:$F$205,0)),"Enter route fare"),"Enter route fare"))</x:f>
      </x:c>
      <x:c r="I389" s="98" t="str">
        <x:f>IF(F389="","",IF(F389="Own",0,50))</x:f>
      </x:c>
      <x:c r="J389" s="98" t="str">
        <x:f>IF(OR(D389="",E389=""),"",IF(AND(ISNUMBER(G389),ISNUMBER(H389)),ROUND(G389*H389,2),""))</x:f>
      </x:c>
      <x:c r="K389" s="98" t="str">
        <x:f>IF(OR(D389="",E389=""),"",IF(AND(ISNUMBER(G389),ISNUMBER(I389)),ROUND(G389*I389,2),""))</x:f>
      </x:c>
      <x:c r="L389" s="98" t="str">
        <x:f>IF(OR(D389="",E389=""),"",IF(AND(ISNUMBER(J389),ISNUMBER(K389)),J389-K389,""))</x:f>
      </x:c>
      <x:c r="M389" s="114"/>
      <x:c r="N389" s="98" t="str">
        <x:f>IF(OR(D389="",E389=""),"",IF(COUNTIFS($D$6:D389,D389,$E$6:E389,E389)=1,MAX(SUMIFS($L$6:$L$505,$D$6:$D$505,D389,$E$6:$E$505,E389)-SUMIFS($M$6:$M$505,$D$6:$D$505,D389,$E$6:$E$505,E389),0),""))</x:f>
      </x:c>
    </x:row>
    <x:row r="390" ht="28" customHeight="1">
      <x:c r="A390" s="113" t="str">
        <x:f>IF(D390="","",IF(COUNTIFS(Trips!$A$6:$A$105,D390)=1,INDEX(Trips!$C$6:$C$105,MATCH(D390,Trips!$A$6:$A$105,0)),""))</x:f>
      </x:c>
      <x:c r="B390" s="90" t="str">
        <x:f>IF(D390="","",IF(COUNTIFS(Trips!$A$6:$A$105,D390)=1,INDEX(Trips!$B$6:$B$105,MATCH(D390,Trips!$A$6:$A$105,0)),""))</x:f>
      </x:c>
      <x:c r="C390" s="90" t="str">
        <x:f>IF(D390="","",IF(COUNTIFS(Trips!$A$6:$A$105,D390)=1,INDEX(Trips!$D$6:$D$105,MATCH(D390,Trips!$A$6:$A$105,0)),""))</x:f>
      </x:c>
      <x:c r="D390" s="107"/>
      <x:c r="E390" s="107"/>
      <x:c r="F390" s="90" t="str">
        <x:f>IF(E390="","",IF(COUNTIFS(Counters!$A$6:$A$105,E390)=1,INDEX(Counters!$B$6:$B$105,MATCH(E390,Counters!$A$6:$A$105,0)),""))</x:f>
      </x:c>
      <x:c r="G390" s="107"/>
      <x:c r="H390" s="98" t="str">
        <x:f>IF(C390="","",IF(COUNTIFS('Route List'!$F$6:$F$205,C390)=1,IF(COUNTIFS('Route List'!$F$6:$F$205,C390,'Route List'!$G$6:$G$205,"&lt;&gt;")=1,INDEX('Route List'!$G$6:$G$205,MATCH(C390,'Route List'!$F$6:$F$205,0)),"Enter route fare"),"Enter route fare"))</x:f>
      </x:c>
      <x:c r="I390" s="98" t="str">
        <x:f>IF(F390="","",IF(F390="Own",0,50))</x:f>
      </x:c>
      <x:c r="J390" s="98" t="str">
        <x:f>IF(OR(D390="",E390=""),"",IF(AND(ISNUMBER(G390),ISNUMBER(H390)),ROUND(G390*H390,2),""))</x:f>
      </x:c>
      <x:c r="K390" s="98" t="str">
        <x:f>IF(OR(D390="",E390=""),"",IF(AND(ISNUMBER(G390),ISNUMBER(I390)),ROUND(G390*I390,2),""))</x:f>
      </x:c>
      <x:c r="L390" s="98" t="str">
        <x:f>IF(OR(D390="",E390=""),"",IF(AND(ISNUMBER(J390),ISNUMBER(K390)),J390-K390,""))</x:f>
      </x:c>
      <x:c r="M390" s="114"/>
      <x:c r="N390" s="98" t="str">
        <x:f>IF(OR(D390="",E390=""),"",IF(COUNTIFS($D$6:D390,D390,$E$6:E390,E390)=1,MAX(SUMIFS($L$6:$L$505,$D$6:$D$505,D390,$E$6:$E$505,E390)-SUMIFS($M$6:$M$505,$D$6:$D$505,D390,$E$6:$E$505,E390),0),""))</x:f>
      </x:c>
    </x:row>
    <x:row r="391" ht="28" customHeight="1">
      <x:c r="A391" s="113" t="str">
        <x:f>IF(D391="","",IF(COUNTIFS(Trips!$A$6:$A$105,D391)=1,INDEX(Trips!$C$6:$C$105,MATCH(D391,Trips!$A$6:$A$105,0)),""))</x:f>
      </x:c>
      <x:c r="B391" s="90" t="str">
        <x:f>IF(D391="","",IF(COUNTIFS(Trips!$A$6:$A$105,D391)=1,INDEX(Trips!$B$6:$B$105,MATCH(D391,Trips!$A$6:$A$105,0)),""))</x:f>
      </x:c>
      <x:c r="C391" s="90" t="str">
        <x:f>IF(D391="","",IF(COUNTIFS(Trips!$A$6:$A$105,D391)=1,INDEX(Trips!$D$6:$D$105,MATCH(D391,Trips!$A$6:$A$105,0)),""))</x:f>
      </x:c>
      <x:c r="D391" s="107"/>
      <x:c r="E391" s="107"/>
      <x:c r="F391" s="90" t="str">
        <x:f>IF(E391="","",IF(COUNTIFS(Counters!$A$6:$A$105,E391)=1,INDEX(Counters!$B$6:$B$105,MATCH(E391,Counters!$A$6:$A$105,0)),""))</x:f>
      </x:c>
      <x:c r="G391" s="107"/>
      <x:c r="H391" s="98" t="str">
        <x:f>IF(C391="","",IF(COUNTIFS('Route List'!$F$6:$F$205,C391)=1,IF(COUNTIFS('Route List'!$F$6:$F$205,C391,'Route List'!$G$6:$G$205,"&lt;&gt;")=1,INDEX('Route List'!$G$6:$G$205,MATCH(C391,'Route List'!$F$6:$F$205,0)),"Enter route fare"),"Enter route fare"))</x:f>
      </x:c>
      <x:c r="I391" s="98" t="str">
        <x:f>IF(F391="","",IF(F391="Own",0,50))</x:f>
      </x:c>
      <x:c r="J391" s="98" t="str">
        <x:f>IF(OR(D391="",E391=""),"",IF(AND(ISNUMBER(G391),ISNUMBER(H391)),ROUND(G391*H391,2),""))</x:f>
      </x:c>
      <x:c r="K391" s="98" t="str">
        <x:f>IF(OR(D391="",E391=""),"",IF(AND(ISNUMBER(G391),ISNUMBER(I391)),ROUND(G391*I391,2),""))</x:f>
      </x:c>
      <x:c r="L391" s="98" t="str">
        <x:f>IF(OR(D391="",E391=""),"",IF(AND(ISNUMBER(J391),ISNUMBER(K391)),J391-K391,""))</x:f>
      </x:c>
      <x:c r="M391" s="114"/>
      <x:c r="N391" s="98" t="str">
        <x:f>IF(OR(D391="",E391=""),"",IF(COUNTIFS($D$6:D391,D391,$E$6:E391,E391)=1,MAX(SUMIFS($L$6:$L$505,$D$6:$D$505,D391,$E$6:$E$505,E391)-SUMIFS($M$6:$M$505,$D$6:$D$505,D391,$E$6:$E$505,E391),0),""))</x:f>
      </x:c>
    </x:row>
    <x:row r="392" ht="28" customHeight="1">
      <x:c r="A392" s="113" t="str">
        <x:f>IF(D392="","",IF(COUNTIFS(Trips!$A$6:$A$105,D392)=1,INDEX(Trips!$C$6:$C$105,MATCH(D392,Trips!$A$6:$A$105,0)),""))</x:f>
      </x:c>
      <x:c r="B392" s="90" t="str">
        <x:f>IF(D392="","",IF(COUNTIFS(Trips!$A$6:$A$105,D392)=1,INDEX(Trips!$B$6:$B$105,MATCH(D392,Trips!$A$6:$A$105,0)),""))</x:f>
      </x:c>
      <x:c r="C392" s="90" t="str">
        <x:f>IF(D392="","",IF(COUNTIFS(Trips!$A$6:$A$105,D392)=1,INDEX(Trips!$D$6:$D$105,MATCH(D392,Trips!$A$6:$A$105,0)),""))</x:f>
      </x:c>
      <x:c r="D392" s="107"/>
      <x:c r="E392" s="107"/>
      <x:c r="F392" s="90" t="str">
        <x:f>IF(E392="","",IF(COUNTIFS(Counters!$A$6:$A$105,E392)=1,INDEX(Counters!$B$6:$B$105,MATCH(E392,Counters!$A$6:$A$105,0)),""))</x:f>
      </x:c>
      <x:c r="G392" s="107"/>
      <x:c r="H392" s="98" t="str">
        <x:f>IF(C392="","",IF(COUNTIFS('Route List'!$F$6:$F$205,C392)=1,IF(COUNTIFS('Route List'!$F$6:$F$205,C392,'Route List'!$G$6:$G$205,"&lt;&gt;")=1,INDEX('Route List'!$G$6:$G$205,MATCH(C392,'Route List'!$F$6:$F$205,0)),"Enter route fare"),"Enter route fare"))</x:f>
      </x:c>
      <x:c r="I392" s="98" t="str">
        <x:f>IF(F392="","",IF(F392="Own",0,50))</x:f>
      </x:c>
      <x:c r="J392" s="98" t="str">
        <x:f>IF(OR(D392="",E392=""),"",IF(AND(ISNUMBER(G392),ISNUMBER(H392)),ROUND(G392*H392,2),""))</x:f>
      </x:c>
      <x:c r="K392" s="98" t="str">
        <x:f>IF(OR(D392="",E392=""),"",IF(AND(ISNUMBER(G392),ISNUMBER(I392)),ROUND(G392*I392,2),""))</x:f>
      </x:c>
      <x:c r="L392" s="98" t="str">
        <x:f>IF(OR(D392="",E392=""),"",IF(AND(ISNUMBER(J392),ISNUMBER(K392)),J392-K392,""))</x:f>
      </x:c>
      <x:c r="M392" s="114"/>
      <x:c r="N392" s="98" t="str">
        <x:f>IF(OR(D392="",E392=""),"",IF(COUNTIFS($D$6:D392,D392,$E$6:E392,E392)=1,MAX(SUMIFS($L$6:$L$505,$D$6:$D$505,D392,$E$6:$E$505,E392)-SUMIFS($M$6:$M$505,$D$6:$D$505,D392,$E$6:$E$505,E392),0),""))</x:f>
      </x:c>
    </x:row>
    <x:row r="393" ht="28" customHeight="1">
      <x:c r="A393" s="113" t="str">
        <x:f>IF(D393="","",IF(COUNTIFS(Trips!$A$6:$A$105,D393)=1,INDEX(Trips!$C$6:$C$105,MATCH(D393,Trips!$A$6:$A$105,0)),""))</x:f>
      </x:c>
      <x:c r="B393" s="90" t="str">
        <x:f>IF(D393="","",IF(COUNTIFS(Trips!$A$6:$A$105,D393)=1,INDEX(Trips!$B$6:$B$105,MATCH(D393,Trips!$A$6:$A$105,0)),""))</x:f>
      </x:c>
      <x:c r="C393" s="90" t="str">
        <x:f>IF(D393="","",IF(COUNTIFS(Trips!$A$6:$A$105,D393)=1,INDEX(Trips!$D$6:$D$105,MATCH(D393,Trips!$A$6:$A$105,0)),""))</x:f>
      </x:c>
      <x:c r="D393" s="107"/>
      <x:c r="E393" s="107"/>
      <x:c r="F393" s="90" t="str">
        <x:f>IF(E393="","",IF(COUNTIFS(Counters!$A$6:$A$105,E393)=1,INDEX(Counters!$B$6:$B$105,MATCH(E393,Counters!$A$6:$A$105,0)),""))</x:f>
      </x:c>
      <x:c r="G393" s="107"/>
      <x:c r="H393" s="98" t="str">
        <x:f>IF(C393="","",IF(COUNTIFS('Route List'!$F$6:$F$205,C393)=1,IF(COUNTIFS('Route List'!$F$6:$F$205,C393,'Route List'!$G$6:$G$205,"&lt;&gt;")=1,INDEX('Route List'!$G$6:$G$205,MATCH(C393,'Route List'!$F$6:$F$205,0)),"Enter route fare"),"Enter route fare"))</x:f>
      </x:c>
      <x:c r="I393" s="98" t="str">
        <x:f>IF(F393="","",IF(F393="Own",0,50))</x:f>
      </x:c>
      <x:c r="J393" s="98" t="str">
        <x:f>IF(OR(D393="",E393=""),"",IF(AND(ISNUMBER(G393),ISNUMBER(H393)),ROUND(G393*H393,2),""))</x:f>
      </x:c>
      <x:c r="K393" s="98" t="str">
        <x:f>IF(OR(D393="",E393=""),"",IF(AND(ISNUMBER(G393),ISNUMBER(I393)),ROUND(G393*I393,2),""))</x:f>
      </x:c>
      <x:c r="L393" s="98" t="str">
        <x:f>IF(OR(D393="",E393=""),"",IF(AND(ISNUMBER(J393),ISNUMBER(K393)),J393-K393,""))</x:f>
      </x:c>
      <x:c r="M393" s="114"/>
      <x:c r="N393" s="98" t="str">
        <x:f>IF(OR(D393="",E393=""),"",IF(COUNTIFS($D$6:D393,D393,$E$6:E393,E393)=1,MAX(SUMIFS($L$6:$L$505,$D$6:$D$505,D393,$E$6:$E$505,E393)-SUMIFS($M$6:$M$505,$D$6:$D$505,D393,$E$6:$E$505,E393),0),""))</x:f>
      </x:c>
    </x:row>
    <x:row r="394" ht="28" customHeight="1">
      <x:c r="A394" s="113" t="str">
        <x:f>IF(D394="","",IF(COUNTIFS(Trips!$A$6:$A$105,D394)=1,INDEX(Trips!$C$6:$C$105,MATCH(D394,Trips!$A$6:$A$105,0)),""))</x:f>
      </x:c>
      <x:c r="B394" s="90" t="str">
        <x:f>IF(D394="","",IF(COUNTIFS(Trips!$A$6:$A$105,D394)=1,INDEX(Trips!$B$6:$B$105,MATCH(D394,Trips!$A$6:$A$105,0)),""))</x:f>
      </x:c>
      <x:c r="C394" s="90" t="str">
        <x:f>IF(D394="","",IF(COUNTIFS(Trips!$A$6:$A$105,D394)=1,INDEX(Trips!$D$6:$D$105,MATCH(D394,Trips!$A$6:$A$105,0)),""))</x:f>
      </x:c>
      <x:c r="D394" s="107"/>
      <x:c r="E394" s="107"/>
      <x:c r="F394" s="90" t="str">
        <x:f>IF(E394="","",IF(COUNTIFS(Counters!$A$6:$A$105,E394)=1,INDEX(Counters!$B$6:$B$105,MATCH(E394,Counters!$A$6:$A$105,0)),""))</x:f>
      </x:c>
      <x:c r="G394" s="107"/>
      <x:c r="H394" s="98" t="str">
        <x:f>IF(C394="","",IF(COUNTIFS('Route List'!$F$6:$F$205,C394)=1,IF(COUNTIFS('Route List'!$F$6:$F$205,C394,'Route List'!$G$6:$G$205,"&lt;&gt;")=1,INDEX('Route List'!$G$6:$G$205,MATCH(C394,'Route List'!$F$6:$F$205,0)),"Enter route fare"),"Enter route fare"))</x:f>
      </x:c>
      <x:c r="I394" s="98" t="str">
        <x:f>IF(F394="","",IF(F394="Own",0,50))</x:f>
      </x:c>
      <x:c r="J394" s="98" t="str">
        <x:f>IF(OR(D394="",E394=""),"",IF(AND(ISNUMBER(G394),ISNUMBER(H394)),ROUND(G394*H394,2),""))</x:f>
      </x:c>
      <x:c r="K394" s="98" t="str">
        <x:f>IF(OR(D394="",E394=""),"",IF(AND(ISNUMBER(G394),ISNUMBER(I394)),ROUND(G394*I394,2),""))</x:f>
      </x:c>
      <x:c r="L394" s="98" t="str">
        <x:f>IF(OR(D394="",E394=""),"",IF(AND(ISNUMBER(J394),ISNUMBER(K394)),J394-K394,""))</x:f>
      </x:c>
      <x:c r="M394" s="114"/>
      <x:c r="N394" s="98" t="str">
        <x:f>IF(OR(D394="",E394=""),"",IF(COUNTIFS($D$6:D394,D394,$E$6:E394,E394)=1,MAX(SUMIFS($L$6:$L$505,$D$6:$D$505,D394,$E$6:$E$505,E394)-SUMIFS($M$6:$M$505,$D$6:$D$505,D394,$E$6:$E$505,E394),0),""))</x:f>
      </x:c>
    </x:row>
    <x:row r="395" ht="28" customHeight="1">
      <x:c r="A395" s="113" t="str">
        <x:f>IF(D395="","",IF(COUNTIFS(Trips!$A$6:$A$105,D395)=1,INDEX(Trips!$C$6:$C$105,MATCH(D395,Trips!$A$6:$A$105,0)),""))</x:f>
      </x:c>
      <x:c r="B395" s="90" t="str">
        <x:f>IF(D395="","",IF(COUNTIFS(Trips!$A$6:$A$105,D395)=1,INDEX(Trips!$B$6:$B$105,MATCH(D395,Trips!$A$6:$A$105,0)),""))</x:f>
      </x:c>
      <x:c r="C395" s="90" t="str">
        <x:f>IF(D395="","",IF(COUNTIFS(Trips!$A$6:$A$105,D395)=1,INDEX(Trips!$D$6:$D$105,MATCH(D395,Trips!$A$6:$A$105,0)),""))</x:f>
      </x:c>
      <x:c r="D395" s="107"/>
      <x:c r="E395" s="107"/>
      <x:c r="F395" s="90" t="str">
        <x:f>IF(E395="","",IF(COUNTIFS(Counters!$A$6:$A$105,E395)=1,INDEX(Counters!$B$6:$B$105,MATCH(E395,Counters!$A$6:$A$105,0)),""))</x:f>
      </x:c>
      <x:c r="G395" s="107"/>
      <x:c r="H395" s="98" t="str">
        <x:f>IF(C395="","",IF(COUNTIFS('Route List'!$F$6:$F$205,C395)=1,IF(COUNTIFS('Route List'!$F$6:$F$205,C395,'Route List'!$G$6:$G$205,"&lt;&gt;")=1,INDEX('Route List'!$G$6:$G$205,MATCH(C395,'Route List'!$F$6:$F$205,0)),"Enter route fare"),"Enter route fare"))</x:f>
      </x:c>
      <x:c r="I395" s="98" t="str">
        <x:f>IF(F395="","",IF(F395="Own",0,50))</x:f>
      </x:c>
      <x:c r="J395" s="98" t="str">
        <x:f>IF(OR(D395="",E395=""),"",IF(AND(ISNUMBER(G395),ISNUMBER(H395)),ROUND(G395*H395,2),""))</x:f>
      </x:c>
      <x:c r="K395" s="98" t="str">
        <x:f>IF(OR(D395="",E395=""),"",IF(AND(ISNUMBER(G395),ISNUMBER(I395)),ROUND(G395*I395,2),""))</x:f>
      </x:c>
      <x:c r="L395" s="98" t="str">
        <x:f>IF(OR(D395="",E395=""),"",IF(AND(ISNUMBER(J395),ISNUMBER(K395)),J395-K395,""))</x:f>
      </x:c>
      <x:c r="M395" s="114"/>
      <x:c r="N395" s="98" t="str">
        <x:f>IF(OR(D395="",E395=""),"",IF(COUNTIFS($D$6:D395,D395,$E$6:E395,E395)=1,MAX(SUMIFS($L$6:$L$505,$D$6:$D$505,D395,$E$6:$E$505,E395)-SUMIFS($M$6:$M$505,$D$6:$D$505,D395,$E$6:$E$505,E395),0),""))</x:f>
      </x:c>
    </x:row>
    <x:row r="396" ht="28" customHeight="1">
      <x:c r="A396" s="113" t="str">
        <x:f>IF(D396="","",IF(COUNTIFS(Trips!$A$6:$A$105,D396)=1,INDEX(Trips!$C$6:$C$105,MATCH(D396,Trips!$A$6:$A$105,0)),""))</x:f>
      </x:c>
      <x:c r="B396" s="90" t="str">
        <x:f>IF(D396="","",IF(COUNTIFS(Trips!$A$6:$A$105,D396)=1,INDEX(Trips!$B$6:$B$105,MATCH(D396,Trips!$A$6:$A$105,0)),""))</x:f>
      </x:c>
      <x:c r="C396" s="90" t="str">
        <x:f>IF(D396="","",IF(COUNTIFS(Trips!$A$6:$A$105,D396)=1,INDEX(Trips!$D$6:$D$105,MATCH(D396,Trips!$A$6:$A$105,0)),""))</x:f>
      </x:c>
      <x:c r="D396" s="107"/>
      <x:c r="E396" s="107"/>
      <x:c r="F396" s="90" t="str">
        <x:f>IF(E396="","",IF(COUNTIFS(Counters!$A$6:$A$105,E396)=1,INDEX(Counters!$B$6:$B$105,MATCH(E396,Counters!$A$6:$A$105,0)),""))</x:f>
      </x:c>
      <x:c r="G396" s="107"/>
      <x:c r="H396" s="98" t="str">
        <x:f>IF(C396="","",IF(COUNTIFS('Route List'!$F$6:$F$205,C396)=1,IF(COUNTIFS('Route List'!$F$6:$F$205,C396,'Route List'!$G$6:$G$205,"&lt;&gt;")=1,INDEX('Route List'!$G$6:$G$205,MATCH(C396,'Route List'!$F$6:$F$205,0)),"Enter route fare"),"Enter route fare"))</x:f>
      </x:c>
      <x:c r="I396" s="98" t="str">
        <x:f>IF(F396="","",IF(F396="Own",0,50))</x:f>
      </x:c>
      <x:c r="J396" s="98" t="str">
        <x:f>IF(OR(D396="",E396=""),"",IF(AND(ISNUMBER(G396),ISNUMBER(H396)),ROUND(G396*H396,2),""))</x:f>
      </x:c>
      <x:c r="K396" s="98" t="str">
        <x:f>IF(OR(D396="",E396=""),"",IF(AND(ISNUMBER(G396),ISNUMBER(I396)),ROUND(G396*I396,2),""))</x:f>
      </x:c>
      <x:c r="L396" s="98" t="str">
        <x:f>IF(OR(D396="",E396=""),"",IF(AND(ISNUMBER(J396),ISNUMBER(K396)),J396-K396,""))</x:f>
      </x:c>
      <x:c r="M396" s="114"/>
      <x:c r="N396" s="98" t="str">
        <x:f>IF(OR(D396="",E396=""),"",IF(COUNTIFS($D$6:D396,D396,$E$6:E396,E396)=1,MAX(SUMIFS($L$6:$L$505,$D$6:$D$505,D396,$E$6:$E$505,E396)-SUMIFS($M$6:$M$505,$D$6:$D$505,D396,$E$6:$E$505,E396),0),""))</x:f>
      </x:c>
    </x:row>
    <x:row r="397" ht="28" customHeight="1">
      <x:c r="A397" s="113" t="str">
        <x:f>IF(D397="","",IF(COUNTIFS(Trips!$A$6:$A$105,D397)=1,INDEX(Trips!$C$6:$C$105,MATCH(D397,Trips!$A$6:$A$105,0)),""))</x:f>
      </x:c>
      <x:c r="B397" s="90" t="str">
        <x:f>IF(D397="","",IF(COUNTIFS(Trips!$A$6:$A$105,D397)=1,INDEX(Trips!$B$6:$B$105,MATCH(D397,Trips!$A$6:$A$105,0)),""))</x:f>
      </x:c>
      <x:c r="C397" s="90" t="str">
        <x:f>IF(D397="","",IF(COUNTIFS(Trips!$A$6:$A$105,D397)=1,INDEX(Trips!$D$6:$D$105,MATCH(D397,Trips!$A$6:$A$105,0)),""))</x:f>
      </x:c>
      <x:c r="D397" s="107"/>
      <x:c r="E397" s="107"/>
      <x:c r="F397" s="90" t="str">
        <x:f>IF(E397="","",IF(COUNTIFS(Counters!$A$6:$A$105,E397)=1,INDEX(Counters!$B$6:$B$105,MATCH(E397,Counters!$A$6:$A$105,0)),""))</x:f>
      </x:c>
      <x:c r="G397" s="107"/>
      <x:c r="H397" s="98" t="str">
        <x:f>IF(C397="","",IF(COUNTIFS('Route List'!$F$6:$F$205,C397)=1,IF(COUNTIFS('Route List'!$F$6:$F$205,C397,'Route List'!$G$6:$G$205,"&lt;&gt;")=1,INDEX('Route List'!$G$6:$G$205,MATCH(C397,'Route List'!$F$6:$F$205,0)),"Enter route fare"),"Enter route fare"))</x:f>
      </x:c>
      <x:c r="I397" s="98" t="str">
        <x:f>IF(F397="","",IF(F397="Own",0,50))</x:f>
      </x:c>
      <x:c r="J397" s="98" t="str">
        <x:f>IF(OR(D397="",E397=""),"",IF(AND(ISNUMBER(G397),ISNUMBER(H397)),ROUND(G397*H397,2),""))</x:f>
      </x:c>
      <x:c r="K397" s="98" t="str">
        <x:f>IF(OR(D397="",E397=""),"",IF(AND(ISNUMBER(G397),ISNUMBER(I397)),ROUND(G397*I397,2),""))</x:f>
      </x:c>
      <x:c r="L397" s="98" t="str">
        <x:f>IF(OR(D397="",E397=""),"",IF(AND(ISNUMBER(J397),ISNUMBER(K397)),J397-K397,""))</x:f>
      </x:c>
      <x:c r="M397" s="114"/>
      <x:c r="N397" s="98" t="str">
        <x:f>IF(OR(D397="",E397=""),"",IF(COUNTIFS($D$6:D397,D397,$E$6:E397,E397)=1,MAX(SUMIFS($L$6:$L$505,$D$6:$D$505,D397,$E$6:$E$505,E397)-SUMIFS($M$6:$M$505,$D$6:$D$505,D397,$E$6:$E$505,E397),0),""))</x:f>
      </x:c>
    </x:row>
    <x:row r="398" ht="28" customHeight="1">
      <x:c r="A398" s="113" t="str">
        <x:f>IF(D398="","",IF(COUNTIFS(Trips!$A$6:$A$105,D398)=1,INDEX(Trips!$C$6:$C$105,MATCH(D398,Trips!$A$6:$A$105,0)),""))</x:f>
      </x:c>
      <x:c r="B398" s="90" t="str">
        <x:f>IF(D398="","",IF(COUNTIFS(Trips!$A$6:$A$105,D398)=1,INDEX(Trips!$B$6:$B$105,MATCH(D398,Trips!$A$6:$A$105,0)),""))</x:f>
      </x:c>
      <x:c r="C398" s="90" t="str">
        <x:f>IF(D398="","",IF(COUNTIFS(Trips!$A$6:$A$105,D398)=1,INDEX(Trips!$D$6:$D$105,MATCH(D398,Trips!$A$6:$A$105,0)),""))</x:f>
      </x:c>
      <x:c r="D398" s="107"/>
      <x:c r="E398" s="107"/>
      <x:c r="F398" s="90" t="str">
        <x:f>IF(E398="","",IF(COUNTIFS(Counters!$A$6:$A$105,E398)=1,INDEX(Counters!$B$6:$B$105,MATCH(E398,Counters!$A$6:$A$105,0)),""))</x:f>
      </x:c>
      <x:c r="G398" s="107"/>
      <x:c r="H398" s="98" t="str">
        <x:f>IF(C398="","",IF(COUNTIFS('Route List'!$F$6:$F$205,C398)=1,IF(COUNTIFS('Route List'!$F$6:$F$205,C398,'Route List'!$G$6:$G$205,"&lt;&gt;")=1,INDEX('Route List'!$G$6:$G$205,MATCH(C398,'Route List'!$F$6:$F$205,0)),"Enter route fare"),"Enter route fare"))</x:f>
      </x:c>
      <x:c r="I398" s="98" t="str">
        <x:f>IF(F398="","",IF(F398="Own",0,50))</x:f>
      </x:c>
      <x:c r="J398" s="98" t="str">
        <x:f>IF(OR(D398="",E398=""),"",IF(AND(ISNUMBER(G398),ISNUMBER(H398)),ROUND(G398*H398,2),""))</x:f>
      </x:c>
      <x:c r="K398" s="98" t="str">
        <x:f>IF(OR(D398="",E398=""),"",IF(AND(ISNUMBER(G398),ISNUMBER(I398)),ROUND(G398*I398,2),""))</x:f>
      </x:c>
      <x:c r="L398" s="98" t="str">
        <x:f>IF(OR(D398="",E398=""),"",IF(AND(ISNUMBER(J398),ISNUMBER(K398)),J398-K398,""))</x:f>
      </x:c>
      <x:c r="M398" s="114"/>
      <x:c r="N398" s="98" t="str">
        <x:f>IF(OR(D398="",E398=""),"",IF(COUNTIFS($D$6:D398,D398,$E$6:E398,E398)=1,MAX(SUMIFS($L$6:$L$505,$D$6:$D$505,D398,$E$6:$E$505,E398)-SUMIFS($M$6:$M$505,$D$6:$D$505,D398,$E$6:$E$505,E398),0),""))</x:f>
      </x:c>
    </x:row>
    <x:row r="399" ht="28" customHeight="1">
      <x:c r="A399" s="113" t="str">
        <x:f>IF(D399="","",IF(COUNTIFS(Trips!$A$6:$A$105,D399)=1,INDEX(Trips!$C$6:$C$105,MATCH(D399,Trips!$A$6:$A$105,0)),""))</x:f>
      </x:c>
      <x:c r="B399" s="90" t="str">
        <x:f>IF(D399="","",IF(COUNTIFS(Trips!$A$6:$A$105,D399)=1,INDEX(Trips!$B$6:$B$105,MATCH(D399,Trips!$A$6:$A$105,0)),""))</x:f>
      </x:c>
      <x:c r="C399" s="90" t="str">
        <x:f>IF(D399="","",IF(COUNTIFS(Trips!$A$6:$A$105,D399)=1,INDEX(Trips!$D$6:$D$105,MATCH(D399,Trips!$A$6:$A$105,0)),""))</x:f>
      </x:c>
      <x:c r="D399" s="107"/>
      <x:c r="E399" s="107"/>
      <x:c r="F399" s="90" t="str">
        <x:f>IF(E399="","",IF(COUNTIFS(Counters!$A$6:$A$105,E399)=1,INDEX(Counters!$B$6:$B$105,MATCH(E399,Counters!$A$6:$A$105,0)),""))</x:f>
      </x:c>
      <x:c r="G399" s="107"/>
      <x:c r="H399" s="98" t="str">
        <x:f>IF(C399="","",IF(COUNTIFS('Route List'!$F$6:$F$205,C399)=1,IF(COUNTIFS('Route List'!$F$6:$F$205,C399,'Route List'!$G$6:$G$205,"&lt;&gt;")=1,INDEX('Route List'!$G$6:$G$205,MATCH(C399,'Route List'!$F$6:$F$205,0)),"Enter route fare"),"Enter route fare"))</x:f>
      </x:c>
      <x:c r="I399" s="98" t="str">
        <x:f>IF(F399="","",IF(F399="Own",0,50))</x:f>
      </x:c>
      <x:c r="J399" s="98" t="str">
        <x:f>IF(OR(D399="",E399=""),"",IF(AND(ISNUMBER(G399),ISNUMBER(H399)),ROUND(G399*H399,2),""))</x:f>
      </x:c>
      <x:c r="K399" s="98" t="str">
        <x:f>IF(OR(D399="",E399=""),"",IF(AND(ISNUMBER(G399),ISNUMBER(I399)),ROUND(G399*I399,2),""))</x:f>
      </x:c>
      <x:c r="L399" s="98" t="str">
        <x:f>IF(OR(D399="",E399=""),"",IF(AND(ISNUMBER(J399),ISNUMBER(K399)),J399-K399,""))</x:f>
      </x:c>
      <x:c r="M399" s="114"/>
      <x:c r="N399" s="98" t="str">
        <x:f>IF(OR(D399="",E399=""),"",IF(COUNTIFS($D$6:D399,D399,$E$6:E399,E399)=1,MAX(SUMIFS($L$6:$L$505,$D$6:$D$505,D399,$E$6:$E$505,E399)-SUMIFS($M$6:$M$505,$D$6:$D$505,D399,$E$6:$E$505,E399),0),""))</x:f>
      </x:c>
    </x:row>
    <x:row r="400" ht="28" customHeight="1">
      <x:c r="A400" s="113" t="str">
        <x:f>IF(D400="","",IF(COUNTIFS(Trips!$A$6:$A$105,D400)=1,INDEX(Trips!$C$6:$C$105,MATCH(D400,Trips!$A$6:$A$105,0)),""))</x:f>
      </x:c>
      <x:c r="B400" s="90" t="str">
        <x:f>IF(D400="","",IF(COUNTIFS(Trips!$A$6:$A$105,D400)=1,INDEX(Trips!$B$6:$B$105,MATCH(D400,Trips!$A$6:$A$105,0)),""))</x:f>
      </x:c>
      <x:c r="C400" s="90" t="str">
        <x:f>IF(D400="","",IF(COUNTIFS(Trips!$A$6:$A$105,D400)=1,INDEX(Trips!$D$6:$D$105,MATCH(D400,Trips!$A$6:$A$105,0)),""))</x:f>
      </x:c>
      <x:c r="D400" s="107"/>
      <x:c r="E400" s="107"/>
      <x:c r="F400" s="90" t="str">
        <x:f>IF(E400="","",IF(COUNTIFS(Counters!$A$6:$A$105,E400)=1,INDEX(Counters!$B$6:$B$105,MATCH(E400,Counters!$A$6:$A$105,0)),""))</x:f>
      </x:c>
      <x:c r="G400" s="107"/>
      <x:c r="H400" s="98" t="str">
        <x:f>IF(C400="","",IF(COUNTIFS('Route List'!$F$6:$F$205,C400)=1,IF(COUNTIFS('Route List'!$F$6:$F$205,C400,'Route List'!$G$6:$G$205,"&lt;&gt;")=1,INDEX('Route List'!$G$6:$G$205,MATCH(C400,'Route List'!$F$6:$F$205,0)),"Enter route fare"),"Enter route fare"))</x:f>
      </x:c>
      <x:c r="I400" s="98" t="str">
        <x:f>IF(F400="","",IF(F400="Own",0,50))</x:f>
      </x:c>
      <x:c r="J400" s="98" t="str">
        <x:f>IF(OR(D400="",E400=""),"",IF(AND(ISNUMBER(G400),ISNUMBER(H400)),ROUND(G400*H400,2),""))</x:f>
      </x:c>
      <x:c r="K400" s="98" t="str">
        <x:f>IF(OR(D400="",E400=""),"",IF(AND(ISNUMBER(G400),ISNUMBER(I400)),ROUND(G400*I400,2),""))</x:f>
      </x:c>
      <x:c r="L400" s="98" t="str">
        <x:f>IF(OR(D400="",E400=""),"",IF(AND(ISNUMBER(J400),ISNUMBER(K400)),J400-K400,""))</x:f>
      </x:c>
      <x:c r="M400" s="114"/>
      <x:c r="N400" s="98" t="str">
        <x:f>IF(OR(D400="",E400=""),"",IF(COUNTIFS($D$6:D400,D400,$E$6:E400,E400)=1,MAX(SUMIFS($L$6:$L$505,$D$6:$D$505,D400,$E$6:$E$505,E400)-SUMIFS($M$6:$M$505,$D$6:$D$505,D400,$E$6:$E$505,E400),0),""))</x:f>
      </x:c>
    </x:row>
    <x:row r="401" ht="28" customHeight="1">
      <x:c r="A401" s="113" t="str">
        <x:f>IF(D401="","",IF(COUNTIFS(Trips!$A$6:$A$105,D401)=1,INDEX(Trips!$C$6:$C$105,MATCH(D401,Trips!$A$6:$A$105,0)),""))</x:f>
      </x:c>
      <x:c r="B401" s="90" t="str">
        <x:f>IF(D401="","",IF(COUNTIFS(Trips!$A$6:$A$105,D401)=1,INDEX(Trips!$B$6:$B$105,MATCH(D401,Trips!$A$6:$A$105,0)),""))</x:f>
      </x:c>
      <x:c r="C401" s="90" t="str">
        <x:f>IF(D401="","",IF(COUNTIFS(Trips!$A$6:$A$105,D401)=1,INDEX(Trips!$D$6:$D$105,MATCH(D401,Trips!$A$6:$A$105,0)),""))</x:f>
      </x:c>
      <x:c r="D401" s="107"/>
      <x:c r="E401" s="107"/>
      <x:c r="F401" s="90" t="str">
        <x:f>IF(E401="","",IF(COUNTIFS(Counters!$A$6:$A$105,E401)=1,INDEX(Counters!$B$6:$B$105,MATCH(E401,Counters!$A$6:$A$105,0)),""))</x:f>
      </x:c>
      <x:c r="G401" s="107"/>
      <x:c r="H401" s="98" t="str">
        <x:f>IF(C401="","",IF(COUNTIFS('Route List'!$F$6:$F$205,C401)=1,IF(COUNTIFS('Route List'!$F$6:$F$205,C401,'Route List'!$G$6:$G$205,"&lt;&gt;")=1,INDEX('Route List'!$G$6:$G$205,MATCH(C401,'Route List'!$F$6:$F$205,0)),"Enter route fare"),"Enter route fare"))</x:f>
      </x:c>
      <x:c r="I401" s="98" t="str">
        <x:f>IF(F401="","",IF(F401="Own",0,50))</x:f>
      </x:c>
      <x:c r="J401" s="98" t="str">
        <x:f>IF(OR(D401="",E401=""),"",IF(AND(ISNUMBER(G401),ISNUMBER(H401)),ROUND(G401*H401,2),""))</x:f>
      </x:c>
      <x:c r="K401" s="98" t="str">
        <x:f>IF(OR(D401="",E401=""),"",IF(AND(ISNUMBER(G401),ISNUMBER(I401)),ROUND(G401*I401,2),""))</x:f>
      </x:c>
      <x:c r="L401" s="98" t="str">
        <x:f>IF(OR(D401="",E401=""),"",IF(AND(ISNUMBER(J401),ISNUMBER(K401)),J401-K401,""))</x:f>
      </x:c>
      <x:c r="M401" s="114"/>
      <x:c r="N401" s="98" t="str">
        <x:f>IF(OR(D401="",E401=""),"",IF(COUNTIFS($D$6:D401,D401,$E$6:E401,E401)=1,MAX(SUMIFS($L$6:$L$505,$D$6:$D$505,D401,$E$6:$E$505,E401)-SUMIFS($M$6:$M$505,$D$6:$D$505,D401,$E$6:$E$505,E401),0),""))</x:f>
      </x:c>
    </x:row>
    <x:row r="402" ht="28" customHeight="1">
      <x:c r="A402" s="113" t="str">
        <x:f>IF(D402="","",IF(COUNTIFS(Trips!$A$6:$A$105,D402)=1,INDEX(Trips!$C$6:$C$105,MATCH(D402,Trips!$A$6:$A$105,0)),""))</x:f>
      </x:c>
      <x:c r="B402" s="90" t="str">
        <x:f>IF(D402="","",IF(COUNTIFS(Trips!$A$6:$A$105,D402)=1,INDEX(Trips!$B$6:$B$105,MATCH(D402,Trips!$A$6:$A$105,0)),""))</x:f>
      </x:c>
      <x:c r="C402" s="90" t="str">
        <x:f>IF(D402="","",IF(COUNTIFS(Trips!$A$6:$A$105,D402)=1,INDEX(Trips!$D$6:$D$105,MATCH(D402,Trips!$A$6:$A$105,0)),""))</x:f>
      </x:c>
      <x:c r="D402" s="107"/>
      <x:c r="E402" s="107"/>
      <x:c r="F402" s="90" t="str">
        <x:f>IF(E402="","",IF(COUNTIFS(Counters!$A$6:$A$105,E402)=1,INDEX(Counters!$B$6:$B$105,MATCH(E402,Counters!$A$6:$A$105,0)),""))</x:f>
      </x:c>
      <x:c r="G402" s="107"/>
      <x:c r="H402" s="98" t="str">
        <x:f>IF(C402="","",IF(COUNTIFS('Route List'!$F$6:$F$205,C402)=1,IF(COUNTIFS('Route List'!$F$6:$F$205,C402,'Route List'!$G$6:$G$205,"&lt;&gt;")=1,INDEX('Route List'!$G$6:$G$205,MATCH(C402,'Route List'!$F$6:$F$205,0)),"Enter route fare"),"Enter route fare"))</x:f>
      </x:c>
      <x:c r="I402" s="98" t="str">
        <x:f>IF(F402="","",IF(F402="Own",0,50))</x:f>
      </x:c>
      <x:c r="J402" s="98" t="str">
        <x:f>IF(OR(D402="",E402=""),"",IF(AND(ISNUMBER(G402),ISNUMBER(H402)),ROUND(G402*H402,2),""))</x:f>
      </x:c>
      <x:c r="K402" s="98" t="str">
        <x:f>IF(OR(D402="",E402=""),"",IF(AND(ISNUMBER(G402),ISNUMBER(I402)),ROUND(G402*I402,2),""))</x:f>
      </x:c>
      <x:c r="L402" s="98" t="str">
        <x:f>IF(OR(D402="",E402=""),"",IF(AND(ISNUMBER(J402),ISNUMBER(K402)),J402-K402,""))</x:f>
      </x:c>
      <x:c r="M402" s="114"/>
      <x:c r="N402" s="98" t="str">
        <x:f>IF(OR(D402="",E402=""),"",IF(COUNTIFS($D$6:D402,D402,$E$6:E402,E402)=1,MAX(SUMIFS($L$6:$L$505,$D$6:$D$505,D402,$E$6:$E$505,E402)-SUMIFS($M$6:$M$505,$D$6:$D$505,D402,$E$6:$E$505,E402),0),""))</x:f>
      </x:c>
    </x:row>
    <x:row r="403" ht="28" customHeight="1">
      <x:c r="A403" s="113" t="str">
        <x:f>IF(D403="","",IF(COUNTIFS(Trips!$A$6:$A$105,D403)=1,INDEX(Trips!$C$6:$C$105,MATCH(D403,Trips!$A$6:$A$105,0)),""))</x:f>
      </x:c>
      <x:c r="B403" s="90" t="str">
        <x:f>IF(D403="","",IF(COUNTIFS(Trips!$A$6:$A$105,D403)=1,INDEX(Trips!$B$6:$B$105,MATCH(D403,Trips!$A$6:$A$105,0)),""))</x:f>
      </x:c>
      <x:c r="C403" s="90" t="str">
        <x:f>IF(D403="","",IF(COUNTIFS(Trips!$A$6:$A$105,D403)=1,INDEX(Trips!$D$6:$D$105,MATCH(D403,Trips!$A$6:$A$105,0)),""))</x:f>
      </x:c>
      <x:c r="D403" s="107"/>
      <x:c r="E403" s="107"/>
      <x:c r="F403" s="90" t="str">
        <x:f>IF(E403="","",IF(COUNTIFS(Counters!$A$6:$A$105,E403)=1,INDEX(Counters!$B$6:$B$105,MATCH(E403,Counters!$A$6:$A$105,0)),""))</x:f>
      </x:c>
      <x:c r="G403" s="107"/>
      <x:c r="H403" s="98" t="str">
        <x:f>IF(C403="","",IF(COUNTIFS('Route List'!$F$6:$F$205,C403)=1,IF(COUNTIFS('Route List'!$F$6:$F$205,C403,'Route List'!$G$6:$G$205,"&lt;&gt;")=1,INDEX('Route List'!$G$6:$G$205,MATCH(C403,'Route List'!$F$6:$F$205,0)),"Enter route fare"),"Enter route fare"))</x:f>
      </x:c>
      <x:c r="I403" s="98" t="str">
        <x:f>IF(F403="","",IF(F403="Own",0,50))</x:f>
      </x:c>
      <x:c r="J403" s="98" t="str">
        <x:f>IF(OR(D403="",E403=""),"",IF(AND(ISNUMBER(G403),ISNUMBER(H403)),ROUND(G403*H403,2),""))</x:f>
      </x:c>
      <x:c r="K403" s="98" t="str">
        <x:f>IF(OR(D403="",E403=""),"",IF(AND(ISNUMBER(G403),ISNUMBER(I403)),ROUND(G403*I403,2),""))</x:f>
      </x:c>
      <x:c r="L403" s="98" t="str">
        <x:f>IF(OR(D403="",E403=""),"",IF(AND(ISNUMBER(J403),ISNUMBER(K403)),J403-K403,""))</x:f>
      </x:c>
      <x:c r="M403" s="114"/>
      <x:c r="N403" s="98" t="str">
        <x:f>IF(OR(D403="",E403=""),"",IF(COUNTIFS($D$6:D403,D403,$E$6:E403,E403)=1,MAX(SUMIFS($L$6:$L$505,$D$6:$D$505,D403,$E$6:$E$505,E403)-SUMIFS($M$6:$M$505,$D$6:$D$505,D403,$E$6:$E$505,E403),0),""))</x:f>
      </x:c>
    </x:row>
    <x:row r="404" ht="28" customHeight="1">
      <x:c r="A404" s="113" t="str">
        <x:f>IF(D404="","",IF(COUNTIFS(Trips!$A$6:$A$105,D404)=1,INDEX(Trips!$C$6:$C$105,MATCH(D404,Trips!$A$6:$A$105,0)),""))</x:f>
      </x:c>
      <x:c r="B404" s="90" t="str">
        <x:f>IF(D404="","",IF(COUNTIFS(Trips!$A$6:$A$105,D404)=1,INDEX(Trips!$B$6:$B$105,MATCH(D404,Trips!$A$6:$A$105,0)),""))</x:f>
      </x:c>
      <x:c r="C404" s="90" t="str">
        <x:f>IF(D404="","",IF(COUNTIFS(Trips!$A$6:$A$105,D404)=1,INDEX(Trips!$D$6:$D$105,MATCH(D404,Trips!$A$6:$A$105,0)),""))</x:f>
      </x:c>
      <x:c r="D404" s="107"/>
      <x:c r="E404" s="107"/>
      <x:c r="F404" s="90" t="str">
        <x:f>IF(E404="","",IF(COUNTIFS(Counters!$A$6:$A$105,E404)=1,INDEX(Counters!$B$6:$B$105,MATCH(E404,Counters!$A$6:$A$105,0)),""))</x:f>
      </x:c>
      <x:c r="G404" s="107"/>
      <x:c r="H404" s="98" t="str">
        <x:f>IF(C404="","",IF(COUNTIFS('Route List'!$F$6:$F$205,C404)=1,IF(COUNTIFS('Route List'!$F$6:$F$205,C404,'Route List'!$G$6:$G$205,"&lt;&gt;")=1,INDEX('Route List'!$G$6:$G$205,MATCH(C404,'Route List'!$F$6:$F$205,0)),"Enter route fare"),"Enter route fare"))</x:f>
      </x:c>
      <x:c r="I404" s="98" t="str">
        <x:f>IF(F404="","",IF(F404="Own",0,50))</x:f>
      </x:c>
      <x:c r="J404" s="98" t="str">
        <x:f>IF(OR(D404="",E404=""),"",IF(AND(ISNUMBER(G404),ISNUMBER(H404)),ROUND(G404*H404,2),""))</x:f>
      </x:c>
      <x:c r="K404" s="98" t="str">
        <x:f>IF(OR(D404="",E404=""),"",IF(AND(ISNUMBER(G404),ISNUMBER(I404)),ROUND(G404*I404,2),""))</x:f>
      </x:c>
      <x:c r="L404" s="98" t="str">
        <x:f>IF(OR(D404="",E404=""),"",IF(AND(ISNUMBER(J404),ISNUMBER(K404)),J404-K404,""))</x:f>
      </x:c>
      <x:c r="M404" s="114"/>
      <x:c r="N404" s="98" t="str">
        <x:f>IF(OR(D404="",E404=""),"",IF(COUNTIFS($D$6:D404,D404,$E$6:E404,E404)=1,MAX(SUMIFS($L$6:$L$505,$D$6:$D$505,D404,$E$6:$E$505,E404)-SUMIFS($M$6:$M$505,$D$6:$D$505,D404,$E$6:$E$505,E404),0),""))</x:f>
      </x:c>
    </x:row>
    <x:row r="405" ht="28" customHeight="1">
      <x:c r="A405" s="113" t="str">
        <x:f>IF(D405="","",IF(COUNTIFS(Trips!$A$6:$A$105,D405)=1,INDEX(Trips!$C$6:$C$105,MATCH(D405,Trips!$A$6:$A$105,0)),""))</x:f>
      </x:c>
      <x:c r="B405" s="90" t="str">
        <x:f>IF(D405="","",IF(COUNTIFS(Trips!$A$6:$A$105,D405)=1,INDEX(Trips!$B$6:$B$105,MATCH(D405,Trips!$A$6:$A$105,0)),""))</x:f>
      </x:c>
      <x:c r="C405" s="90" t="str">
        <x:f>IF(D405="","",IF(COUNTIFS(Trips!$A$6:$A$105,D405)=1,INDEX(Trips!$D$6:$D$105,MATCH(D405,Trips!$A$6:$A$105,0)),""))</x:f>
      </x:c>
      <x:c r="D405" s="107"/>
      <x:c r="E405" s="107"/>
      <x:c r="F405" s="90" t="str">
        <x:f>IF(E405="","",IF(COUNTIFS(Counters!$A$6:$A$105,E405)=1,INDEX(Counters!$B$6:$B$105,MATCH(E405,Counters!$A$6:$A$105,0)),""))</x:f>
      </x:c>
      <x:c r="G405" s="107"/>
      <x:c r="H405" s="98" t="str">
        <x:f>IF(C405="","",IF(COUNTIFS('Route List'!$F$6:$F$205,C405)=1,IF(COUNTIFS('Route List'!$F$6:$F$205,C405,'Route List'!$G$6:$G$205,"&lt;&gt;")=1,INDEX('Route List'!$G$6:$G$205,MATCH(C405,'Route List'!$F$6:$F$205,0)),"Enter route fare"),"Enter route fare"))</x:f>
      </x:c>
      <x:c r="I405" s="98" t="str">
        <x:f>IF(F405="","",IF(F405="Own",0,50))</x:f>
      </x:c>
      <x:c r="J405" s="98" t="str">
        <x:f>IF(OR(D405="",E405=""),"",IF(AND(ISNUMBER(G405),ISNUMBER(H405)),ROUND(G405*H405,2),""))</x:f>
      </x:c>
      <x:c r="K405" s="98" t="str">
        <x:f>IF(OR(D405="",E405=""),"",IF(AND(ISNUMBER(G405),ISNUMBER(I405)),ROUND(G405*I405,2),""))</x:f>
      </x:c>
      <x:c r="L405" s="98" t="str">
        <x:f>IF(OR(D405="",E405=""),"",IF(AND(ISNUMBER(J405),ISNUMBER(K405)),J405-K405,""))</x:f>
      </x:c>
      <x:c r="M405" s="114"/>
      <x:c r="N405" s="98" t="str">
        <x:f>IF(OR(D405="",E405=""),"",IF(COUNTIFS($D$6:D405,D405,$E$6:E405,E405)=1,MAX(SUMIFS($L$6:$L$505,$D$6:$D$505,D405,$E$6:$E$505,E405)-SUMIFS($M$6:$M$505,$D$6:$D$505,D405,$E$6:$E$505,E405),0),""))</x:f>
      </x:c>
    </x:row>
    <x:row r="406" ht="28" customHeight="1">
      <x:c r="A406" s="113" t="str">
        <x:f>IF(D406="","",IF(COUNTIFS(Trips!$A$6:$A$105,D406)=1,INDEX(Trips!$C$6:$C$105,MATCH(D406,Trips!$A$6:$A$105,0)),""))</x:f>
      </x:c>
      <x:c r="B406" s="90" t="str">
        <x:f>IF(D406="","",IF(COUNTIFS(Trips!$A$6:$A$105,D406)=1,INDEX(Trips!$B$6:$B$105,MATCH(D406,Trips!$A$6:$A$105,0)),""))</x:f>
      </x:c>
      <x:c r="C406" s="90" t="str">
        <x:f>IF(D406="","",IF(COUNTIFS(Trips!$A$6:$A$105,D406)=1,INDEX(Trips!$D$6:$D$105,MATCH(D406,Trips!$A$6:$A$105,0)),""))</x:f>
      </x:c>
      <x:c r="D406" s="107"/>
      <x:c r="E406" s="107"/>
      <x:c r="F406" s="90" t="str">
        <x:f>IF(E406="","",IF(COUNTIFS(Counters!$A$6:$A$105,E406)=1,INDEX(Counters!$B$6:$B$105,MATCH(E406,Counters!$A$6:$A$105,0)),""))</x:f>
      </x:c>
      <x:c r="G406" s="107"/>
      <x:c r="H406" s="98" t="str">
        <x:f>IF(C406="","",IF(COUNTIFS('Route List'!$F$6:$F$205,C406)=1,IF(COUNTIFS('Route List'!$F$6:$F$205,C406,'Route List'!$G$6:$G$205,"&lt;&gt;")=1,INDEX('Route List'!$G$6:$G$205,MATCH(C406,'Route List'!$F$6:$F$205,0)),"Enter route fare"),"Enter route fare"))</x:f>
      </x:c>
      <x:c r="I406" s="98" t="str">
        <x:f>IF(F406="","",IF(F406="Own",0,50))</x:f>
      </x:c>
      <x:c r="J406" s="98" t="str">
        <x:f>IF(OR(D406="",E406=""),"",IF(AND(ISNUMBER(G406),ISNUMBER(H406)),ROUND(G406*H406,2),""))</x:f>
      </x:c>
      <x:c r="K406" s="98" t="str">
        <x:f>IF(OR(D406="",E406=""),"",IF(AND(ISNUMBER(G406),ISNUMBER(I406)),ROUND(G406*I406,2),""))</x:f>
      </x:c>
      <x:c r="L406" s="98" t="str">
        <x:f>IF(OR(D406="",E406=""),"",IF(AND(ISNUMBER(J406),ISNUMBER(K406)),J406-K406,""))</x:f>
      </x:c>
      <x:c r="M406" s="114"/>
      <x:c r="N406" s="98" t="str">
        <x:f>IF(OR(D406="",E406=""),"",IF(COUNTIFS($D$6:D406,D406,$E$6:E406,E406)=1,MAX(SUMIFS($L$6:$L$505,$D$6:$D$505,D406,$E$6:$E$505,E406)-SUMIFS($M$6:$M$505,$D$6:$D$505,D406,$E$6:$E$505,E406),0),""))</x:f>
      </x:c>
    </x:row>
    <x:row r="407" ht="28" customHeight="1">
      <x:c r="A407" s="113" t="str">
        <x:f>IF(D407="","",IF(COUNTIFS(Trips!$A$6:$A$105,D407)=1,INDEX(Trips!$C$6:$C$105,MATCH(D407,Trips!$A$6:$A$105,0)),""))</x:f>
      </x:c>
      <x:c r="B407" s="90" t="str">
        <x:f>IF(D407="","",IF(COUNTIFS(Trips!$A$6:$A$105,D407)=1,INDEX(Trips!$B$6:$B$105,MATCH(D407,Trips!$A$6:$A$105,0)),""))</x:f>
      </x:c>
      <x:c r="C407" s="90" t="str">
        <x:f>IF(D407="","",IF(COUNTIFS(Trips!$A$6:$A$105,D407)=1,INDEX(Trips!$D$6:$D$105,MATCH(D407,Trips!$A$6:$A$105,0)),""))</x:f>
      </x:c>
      <x:c r="D407" s="107"/>
      <x:c r="E407" s="107"/>
      <x:c r="F407" s="90" t="str">
        <x:f>IF(E407="","",IF(COUNTIFS(Counters!$A$6:$A$105,E407)=1,INDEX(Counters!$B$6:$B$105,MATCH(E407,Counters!$A$6:$A$105,0)),""))</x:f>
      </x:c>
      <x:c r="G407" s="107"/>
      <x:c r="H407" s="98" t="str">
        <x:f>IF(C407="","",IF(COUNTIFS('Route List'!$F$6:$F$205,C407)=1,IF(COUNTIFS('Route List'!$F$6:$F$205,C407,'Route List'!$G$6:$G$205,"&lt;&gt;")=1,INDEX('Route List'!$G$6:$G$205,MATCH(C407,'Route List'!$F$6:$F$205,0)),"Enter route fare"),"Enter route fare"))</x:f>
      </x:c>
      <x:c r="I407" s="98" t="str">
        <x:f>IF(F407="","",IF(F407="Own",0,50))</x:f>
      </x:c>
      <x:c r="J407" s="98" t="str">
        <x:f>IF(OR(D407="",E407=""),"",IF(AND(ISNUMBER(G407),ISNUMBER(H407)),ROUND(G407*H407,2),""))</x:f>
      </x:c>
      <x:c r="K407" s="98" t="str">
        <x:f>IF(OR(D407="",E407=""),"",IF(AND(ISNUMBER(G407),ISNUMBER(I407)),ROUND(G407*I407,2),""))</x:f>
      </x:c>
      <x:c r="L407" s="98" t="str">
        <x:f>IF(OR(D407="",E407=""),"",IF(AND(ISNUMBER(J407),ISNUMBER(K407)),J407-K407,""))</x:f>
      </x:c>
      <x:c r="M407" s="114"/>
      <x:c r="N407" s="98" t="str">
        <x:f>IF(OR(D407="",E407=""),"",IF(COUNTIFS($D$6:D407,D407,$E$6:E407,E407)=1,MAX(SUMIFS($L$6:$L$505,$D$6:$D$505,D407,$E$6:$E$505,E407)-SUMIFS($M$6:$M$505,$D$6:$D$505,D407,$E$6:$E$505,E407),0),""))</x:f>
      </x:c>
    </x:row>
    <x:row r="408" ht="28" customHeight="1">
      <x:c r="A408" s="113" t="str">
        <x:f>IF(D408="","",IF(COUNTIFS(Trips!$A$6:$A$105,D408)=1,INDEX(Trips!$C$6:$C$105,MATCH(D408,Trips!$A$6:$A$105,0)),""))</x:f>
      </x:c>
      <x:c r="B408" s="90" t="str">
        <x:f>IF(D408="","",IF(COUNTIFS(Trips!$A$6:$A$105,D408)=1,INDEX(Trips!$B$6:$B$105,MATCH(D408,Trips!$A$6:$A$105,0)),""))</x:f>
      </x:c>
      <x:c r="C408" s="90" t="str">
        <x:f>IF(D408="","",IF(COUNTIFS(Trips!$A$6:$A$105,D408)=1,INDEX(Trips!$D$6:$D$105,MATCH(D408,Trips!$A$6:$A$105,0)),""))</x:f>
      </x:c>
      <x:c r="D408" s="107"/>
      <x:c r="E408" s="107"/>
      <x:c r="F408" s="90" t="str">
        <x:f>IF(E408="","",IF(COUNTIFS(Counters!$A$6:$A$105,E408)=1,INDEX(Counters!$B$6:$B$105,MATCH(E408,Counters!$A$6:$A$105,0)),""))</x:f>
      </x:c>
      <x:c r="G408" s="107"/>
      <x:c r="H408" s="98" t="str">
        <x:f>IF(C408="","",IF(COUNTIFS('Route List'!$F$6:$F$205,C408)=1,IF(COUNTIFS('Route List'!$F$6:$F$205,C408,'Route List'!$G$6:$G$205,"&lt;&gt;")=1,INDEX('Route List'!$G$6:$G$205,MATCH(C408,'Route List'!$F$6:$F$205,0)),"Enter route fare"),"Enter route fare"))</x:f>
      </x:c>
      <x:c r="I408" s="98" t="str">
        <x:f>IF(F408="","",IF(F408="Own",0,50))</x:f>
      </x:c>
      <x:c r="J408" s="98" t="str">
        <x:f>IF(OR(D408="",E408=""),"",IF(AND(ISNUMBER(G408),ISNUMBER(H408)),ROUND(G408*H408,2),""))</x:f>
      </x:c>
      <x:c r="K408" s="98" t="str">
        <x:f>IF(OR(D408="",E408=""),"",IF(AND(ISNUMBER(G408),ISNUMBER(I408)),ROUND(G408*I408,2),""))</x:f>
      </x:c>
      <x:c r="L408" s="98" t="str">
        <x:f>IF(OR(D408="",E408=""),"",IF(AND(ISNUMBER(J408),ISNUMBER(K408)),J408-K408,""))</x:f>
      </x:c>
      <x:c r="M408" s="114"/>
      <x:c r="N408" s="98" t="str">
        <x:f>IF(OR(D408="",E408=""),"",IF(COUNTIFS($D$6:D408,D408,$E$6:E408,E408)=1,MAX(SUMIFS($L$6:$L$505,$D$6:$D$505,D408,$E$6:$E$505,E408)-SUMIFS($M$6:$M$505,$D$6:$D$505,D408,$E$6:$E$505,E408),0),""))</x:f>
      </x:c>
    </x:row>
    <x:row r="409" ht="28" customHeight="1">
      <x:c r="A409" s="113" t="str">
        <x:f>IF(D409="","",IF(COUNTIFS(Trips!$A$6:$A$105,D409)=1,INDEX(Trips!$C$6:$C$105,MATCH(D409,Trips!$A$6:$A$105,0)),""))</x:f>
      </x:c>
      <x:c r="B409" s="90" t="str">
        <x:f>IF(D409="","",IF(COUNTIFS(Trips!$A$6:$A$105,D409)=1,INDEX(Trips!$B$6:$B$105,MATCH(D409,Trips!$A$6:$A$105,0)),""))</x:f>
      </x:c>
      <x:c r="C409" s="90" t="str">
        <x:f>IF(D409="","",IF(COUNTIFS(Trips!$A$6:$A$105,D409)=1,INDEX(Trips!$D$6:$D$105,MATCH(D409,Trips!$A$6:$A$105,0)),""))</x:f>
      </x:c>
      <x:c r="D409" s="107"/>
      <x:c r="E409" s="107"/>
      <x:c r="F409" s="90" t="str">
        <x:f>IF(E409="","",IF(COUNTIFS(Counters!$A$6:$A$105,E409)=1,INDEX(Counters!$B$6:$B$105,MATCH(E409,Counters!$A$6:$A$105,0)),""))</x:f>
      </x:c>
      <x:c r="G409" s="107"/>
      <x:c r="H409" s="98" t="str">
        <x:f>IF(C409="","",IF(COUNTIFS('Route List'!$F$6:$F$205,C409)=1,IF(COUNTIFS('Route List'!$F$6:$F$205,C409,'Route List'!$G$6:$G$205,"&lt;&gt;")=1,INDEX('Route List'!$G$6:$G$205,MATCH(C409,'Route List'!$F$6:$F$205,0)),"Enter route fare"),"Enter route fare"))</x:f>
      </x:c>
      <x:c r="I409" s="98" t="str">
        <x:f>IF(F409="","",IF(F409="Own",0,50))</x:f>
      </x:c>
      <x:c r="J409" s="98" t="str">
        <x:f>IF(OR(D409="",E409=""),"",IF(AND(ISNUMBER(G409),ISNUMBER(H409)),ROUND(G409*H409,2),""))</x:f>
      </x:c>
      <x:c r="K409" s="98" t="str">
        <x:f>IF(OR(D409="",E409=""),"",IF(AND(ISNUMBER(G409),ISNUMBER(I409)),ROUND(G409*I409,2),""))</x:f>
      </x:c>
      <x:c r="L409" s="98" t="str">
        <x:f>IF(OR(D409="",E409=""),"",IF(AND(ISNUMBER(J409),ISNUMBER(K409)),J409-K409,""))</x:f>
      </x:c>
      <x:c r="M409" s="114"/>
      <x:c r="N409" s="98" t="str">
        <x:f>IF(OR(D409="",E409=""),"",IF(COUNTIFS($D$6:D409,D409,$E$6:E409,E409)=1,MAX(SUMIFS($L$6:$L$505,$D$6:$D$505,D409,$E$6:$E$505,E409)-SUMIFS($M$6:$M$505,$D$6:$D$505,D409,$E$6:$E$505,E409),0),""))</x:f>
      </x:c>
    </x:row>
    <x:row r="410" ht="28" customHeight="1">
      <x:c r="A410" s="113" t="str">
        <x:f>IF(D410="","",IF(COUNTIFS(Trips!$A$6:$A$105,D410)=1,INDEX(Trips!$C$6:$C$105,MATCH(D410,Trips!$A$6:$A$105,0)),""))</x:f>
      </x:c>
      <x:c r="B410" s="90" t="str">
        <x:f>IF(D410="","",IF(COUNTIFS(Trips!$A$6:$A$105,D410)=1,INDEX(Trips!$B$6:$B$105,MATCH(D410,Trips!$A$6:$A$105,0)),""))</x:f>
      </x:c>
      <x:c r="C410" s="90" t="str">
        <x:f>IF(D410="","",IF(COUNTIFS(Trips!$A$6:$A$105,D410)=1,INDEX(Trips!$D$6:$D$105,MATCH(D410,Trips!$A$6:$A$105,0)),""))</x:f>
      </x:c>
      <x:c r="D410" s="107"/>
      <x:c r="E410" s="107"/>
      <x:c r="F410" s="90" t="str">
        <x:f>IF(E410="","",IF(COUNTIFS(Counters!$A$6:$A$105,E410)=1,INDEX(Counters!$B$6:$B$105,MATCH(E410,Counters!$A$6:$A$105,0)),""))</x:f>
      </x:c>
      <x:c r="G410" s="107"/>
      <x:c r="H410" s="98" t="str">
        <x:f>IF(C410="","",IF(COUNTIFS('Route List'!$F$6:$F$205,C410)=1,IF(COUNTIFS('Route List'!$F$6:$F$205,C410,'Route List'!$G$6:$G$205,"&lt;&gt;")=1,INDEX('Route List'!$G$6:$G$205,MATCH(C410,'Route List'!$F$6:$F$205,0)),"Enter route fare"),"Enter route fare"))</x:f>
      </x:c>
      <x:c r="I410" s="98" t="str">
        <x:f>IF(F410="","",IF(F410="Own",0,50))</x:f>
      </x:c>
      <x:c r="J410" s="98" t="str">
        <x:f>IF(OR(D410="",E410=""),"",IF(AND(ISNUMBER(G410),ISNUMBER(H410)),ROUND(G410*H410,2),""))</x:f>
      </x:c>
      <x:c r="K410" s="98" t="str">
        <x:f>IF(OR(D410="",E410=""),"",IF(AND(ISNUMBER(G410),ISNUMBER(I410)),ROUND(G410*I410,2),""))</x:f>
      </x:c>
      <x:c r="L410" s="98" t="str">
        <x:f>IF(OR(D410="",E410=""),"",IF(AND(ISNUMBER(J410),ISNUMBER(K410)),J410-K410,""))</x:f>
      </x:c>
      <x:c r="M410" s="114"/>
      <x:c r="N410" s="98" t="str">
        <x:f>IF(OR(D410="",E410=""),"",IF(COUNTIFS($D$6:D410,D410,$E$6:E410,E410)=1,MAX(SUMIFS($L$6:$L$505,$D$6:$D$505,D410,$E$6:$E$505,E410)-SUMIFS($M$6:$M$505,$D$6:$D$505,D410,$E$6:$E$505,E410),0),""))</x:f>
      </x:c>
    </x:row>
    <x:row r="411" ht="28" customHeight="1">
      <x:c r="A411" s="113" t="str">
        <x:f>IF(D411="","",IF(COUNTIFS(Trips!$A$6:$A$105,D411)=1,INDEX(Trips!$C$6:$C$105,MATCH(D411,Trips!$A$6:$A$105,0)),""))</x:f>
      </x:c>
      <x:c r="B411" s="90" t="str">
        <x:f>IF(D411="","",IF(COUNTIFS(Trips!$A$6:$A$105,D411)=1,INDEX(Trips!$B$6:$B$105,MATCH(D411,Trips!$A$6:$A$105,0)),""))</x:f>
      </x:c>
      <x:c r="C411" s="90" t="str">
        <x:f>IF(D411="","",IF(COUNTIFS(Trips!$A$6:$A$105,D411)=1,INDEX(Trips!$D$6:$D$105,MATCH(D411,Trips!$A$6:$A$105,0)),""))</x:f>
      </x:c>
      <x:c r="D411" s="107"/>
      <x:c r="E411" s="107"/>
      <x:c r="F411" s="90" t="str">
        <x:f>IF(E411="","",IF(COUNTIFS(Counters!$A$6:$A$105,E411)=1,INDEX(Counters!$B$6:$B$105,MATCH(E411,Counters!$A$6:$A$105,0)),""))</x:f>
      </x:c>
      <x:c r="G411" s="107"/>
      <x:c r="H411" s="98" t="str">
        <x:f>IF(C411="","",IF(COUNTIFS('Route List'!$F$6:$F$205,C411)=1,IF(COUNTIFS('Route List'!$F$6:$F$205,C411,'Route List'!$G$6:$G$205,"&lt;&gt;")=1,INDEX('Route List'!$G$6:$G$205,MATCH(C411,'Route List'!$F$6:$F$205,0)),"Enter route fare"),"Enter route fare"))</x:f>
      </x:c>
      <x:c r="I411" s="98" t="str">
        <x:f>IF(F411="","",IF(F411="Own",0,50))</x:f>
      </x:c>
      <x:c r="J411" s="98" t="str">
        <x:f>IF(OR(D411="",E411=""),"",IF(AND(ISNUMBER(G411),ISNUMBER(H411)),ROUND(G411*H411,2),""))</x:f>
      </x:c>
      <x:c r="K411" s="98" t="str">
        <x:f>IF(OR(D411="",E411=""),"",IF(AND(ISNUMBER(G411),ISNUMBER(I411)),ROUND(G411*I411,2),""))</x:f>
      </x:c>
      <x:c r="L411" s="98" t="str">
        <x:f>IF(OR(D411="",E411=""),"",IF(AND(ISNUMBER(J411),ISNUMBER(K411)),J411-K411,""))</x:f>
      </x:c>
      <x:c r="M411" s="114"/>
      <x:c r="N411" s="98" t="str">
        <x:f>IF(OR(D411="",E411=""),"",IF(COUNTIFS($D$6:D411,D411,$E$6:E411,E411)=1,MAX(SUMIFS($L$6:$L$505,$D$6:$D$505,D411,$E$6:$E$505,E411)-SUMIFS($M$6:$M$505,$D$6:$D$505,D411,$E$6:$E$505,E411),0),""))</x:f>
      </x:c>
    </x:row>
    <x:row r="412" ht="28" customHeight="1">
      <x:c r="A412" s="113" t="str">
        <x:f>IF(D412="","",IF(COUNTIFS(Trips!$A$6:$A$105,D412)=1,INDEX(Trips!$C$6:$C$105,MATCH(D412,Trips!$A$6:$A$105,0)),""))</x:f>
      </x:c>
      <x:c r="B412" s="90" t="str">
        <x:f>IF(D412="","",IF(COUNTIFS(Trips!$A$6:$A$105,D412)=1,INDEX(Trips!$B$6:$B$105,MATCH(D412,Trips!$A$6:$A$105,0)),""))</x:f>
      </x:c>
      <x:c r="C412" s="90" t="str">
        <x:f>IF(D412="","",IF(COUNTIFS(Trips!$A$6:$A$105,D412)=1,INDEX(Trips!$D$6:$D$105,MATCH(D412,Trips!$A$6:$A$105,0)),""))</x:f>
      </x:c>
      <x:c r="D412" s="107"/>
      <x:c r="E412" s="107"/>
      <x:c r="F412" s="90" t="str">
        <x:f>IF(E412="","",IF(COUNTIFS(Counters!$A$6:$A$105,E412)=1,INDEX(Counters!$B$6:$B$105,MATCH(E412,Counters!$A$6:$A$105,0)),""))</x:f>
      </x:c>
      <x:c r="G412" s="107"/>
      <x:c r="H412" s="98" t="str">
        <x:f>IF(C412="","",IF(COUNTIFS('Route List'!$F$6:$F$205,C412)=1,IF(COUNTIFS('Route List'!$F$6:$F$205,C412,'Route List'!$G$6:$G$205,"&lt;&gt;")=1,INDEX('Route List'!$G$6:$G$205,MATCH(C412,'Route List'!$F$6:$F$205,0)),"Enter route fare"),"Enter route fare"))</x:f>
      </x:c>
      <x:c r="I412" s="98" t="str">
        <x:f>IF(F412="","",IF(F412="Own",0,50))</x:f>
      </x:c>
      <x:c r="J412" s="98" t="str">
        <x:f>IF(OR(D412="",E412=""),"",IF(AND(ISNUMBER(G412),ISNUMBER(H412)),ROUND(G412*H412,2),""))</x:f>
      </x:c>
      <x:c r="K412" s="98" t="str">
        <x:f>IF(OR(D412="",E412=""),"",IF(AND(ISNUMBER(G412),ISNUMBER(I412)),ROUND(G412*I412,2),""))</x:f>
      </x:c>
      <x:c r="L412" s="98" t="str">
        <x:f>IF(OR(D412="",E412=""),"",IF(AND(ISNUMBER(J412),ISNUMBER(K412)),J412-K412,""))</x:f>
      </x:c>
      <x:c r="M412" s="114"/>
      <x:c r="N412" s="98" t="str">
        <x:f>IF(OR(D412="",E412=""),"",IF(COUNTIFS($D$6:D412,D412,$E$6:E412,E412)=1,MAX(SUMIFS($L$6:$L$505,$D$6:$D$505,D412,$E$6:$E$505,E412)-SUMIFS($M$6:$M$505,$D$6:$D$505,D412,$E$6:$E$505,E412),0),""))</x:f>
      </x:c>
    </x:row>
    <x:row r="413" ht="28" customHeight="1">
      <x:c r="A413" s="113" t="str">
        <x:f>IF(D413="","",IF(COUNTIFS(Trips!$A$6:$A$105,D413)=1,INDEX(Trips!$C$6:$C$105,MATCH(D413,Trips!$A$6:$A$105,0)),""))</x:f>
      </x:c>
      <x:c r="B413" s="90" t="str">
        <x:f>IF(D413="","",IF(COUNTIFS(Trips!$A$6:$A$105,D413)=1,INDEX(Trips!$B$6:$B$105,MATCH(D413,Trips!$A$6:$A$105,0)),""))</x:f>
      </x:c>
      <x:c r="C413" s="90" t="str">
        <x:f>IF(D413="","",IF(COUNTIFS(Trips!$A$6:$A$105,D413)=1,INDEX(Trips!$D$6:$D$105,MATCH(D413,Trips!$A$6:$A$105,0)),""))</x:f>
      </x:c>
      <x:c r="D413" s="107"/>
      <x:c r="E413" s="107"/>
      <x:c r="F413" s="90" t="str">
        <x:f>IF(E413="","",IF(COUNTIFS(Counters!$A$6:$A$105,E413)=1,INDEX(Counters!$B$6:$B$105,MATCH(E413,Counters!$A$6:$A$105,0)),""))</x:f>
      </x:c>
      <x:c r="G413" s="107"/>
      <x:c r="H413" s="98" t="str">
        <x:f>IF(C413="","",IF(COUNTIFS('Route List'!$F$6:$F$205,C413)=1,IF(COUNTIFS('Route List'!$F$6:$F$205,C413,'Route List'!$G$6:$G$205,"&lt;&gt;")=1,INDEX('Route List'!$G$6:$G$205,MATCH(C413,'Route List'!$F$6:$F$205,0)),"Enter route fare"),"Enter route fare"))</x:f>
      </x:c>
      <x:c r="I413" s="98" t="str">
        <x:f>IF(F413="","",IF(F413="Own",0,50))</x:f>
      </x:c>
      <x:c r="J413" s="98" t="str">
        <x:f>IF(OR(D413="",E413=""),"",IF(AND(ISNUMBER(G413),ISNUMBER(H413)),ROUND(G413*H413,2),""))</x:f>
      </x:c>
      <x:c r="K413" s="98" t="str">
        <x:f>IF(OR(D413="",E413=""),"",IF(AND(ISNUMBER(G413),ISNUMBER(I413)),ROUND(G413*I413,2),""))</x:f>
      </x:c>
      <x:c r="L413" s="98" t="str">
        <x:f>IF(OR(D413="",E413=""),"",IF(AND(ISNUMBER(J413),ISNUMBER(K413)),J413-K413,""))</x:f>
      </x:c>
      <x:c r="M413" s="114"/>
      <x:c r="N413" s="98" t="str">
        <x:f>IF(OR(D413="",E413=""),"",IF(COUNTIFS($D$6:D413,D413,$E$6:E413,E413)=1,MAX(SUMIFS($L$6:$L$505,$D$6:$D$505,D413,$E$6:$E$505,E413)-SUMIFS($M$6:$M$505,$D$6:$D$505,D413,$E$6:$E$505,E413),0),""))</x:f>
      </x:c>
    </x:row>
    <x:row r="414" ht="28" customHeight="1">
      <x:c r="A414" s="113" t="str">
        <x:f>IF(D414="","",IF(COUNTIFS(Trips!$A$6:$A$105,D414)=1,INDEX(Trips!$C$6:$C$105,MATCH(D414,Trips!$A$6:$A$105,0)),""))</x:f>
      </x:c>
      <x:c r="B414" s="90" t="str">
        <x:f>IF(D414="","",IF(COUNTIFS(Trips!$A$6:$A$105,D414)=1,INDEX(Trips!$B$6:$B$105,MATCH(D414,Trips!$A$6:$A$105,0)),""))</x:f>
      </x:c>
      <x:c r="C414" s="90" t="str">
        <x:f>IF(D414="","",IF(COUNTIFS(Trips!$A$6:$A$105,D414)=1,INDEX(Trips!$D$6:$D$105,MATCH(D414,Trips!$A$6:$A$105,0)),""))</x:f>
      </x:c>
      <x:c r="D414" s="107"/>
      <x:c r="E414" s="107"/>
      <x:c r="F414" s="90" t="str">
        <x:f>IF(E414="","",IF(COUNTIFS(Counters!$A$6:$A$105,E414)=1,INDEX(Counters!$B$6:$B$105,MATCH(E414,Counters!$A$6:$A$105,0)),""))</x:f>
      </x:c>
      <x:c r="G414" s="107"/>
      <x:c r="H414" s="98" t="str">
        <x:f>IF(C414="","",IF(COUNTIFS('Route List'!$F$6:$F$205,C414)=1,IF(COUNTIFS('Route List'!$F$6:$F$205,C414,'Route List'!$G$6:$G$205,"&lt;&gt;")=1,INDEX('Route List'!$G$6:$G$205,MATCH(C414,'Route List'!$F$6:$F$205,0)),"Enter route fare"),"Enter route fare"))</x:f>
      </x:c>
      <x:c r="I414" s="98" t="str">
        <x:f>IF(F414="","",IF(F414="Own",0,50))</x:f>
      </x:c>
      <x:c r="J414" s="98" t="str">
        <x:f>IF(OR(D414="",E414=""),"",IF(AND(ISNUMBER(G414),ISNUMBER(H414)),ROUND(G414*H414,2),""))</x:f>
      </x:c>
      <x:c r="K414" s="98" t="str">
        <x:f>IF(OR(D414="",E414=""),"",IF(AND(ISNUMBER(G414),ISNUMBER(I414)),ROUND(G414*I414,2),""))</x:f>
      </x:c>
      <x:c r="L414" s="98" t="str">
        <x:f>IF(OR(D414="",E414=""),"",IF(AND(ISNUMBER(J414),ISNUMBER(K414)),J414-K414,""))</x:f>
      </x:c>
      <x:c r="M414" s="114"/>
      <x:c r="N414" s="98" t="str">
        <x:f>IF(OR(D414="",E414=""),"",IF(COUNTIFS($D$6:D414,D414,$E$6:E414,E414)=1,MAX(SUMIFS($L$6:$L$505,$D$6:$D$505,D414,$E$6:$E$505,E414)-SUMIFS($M$6:$M$505,$D$6:$D$505,D414,$E$6:$E$505,E414),0),""))</x:f>
      </x:c>
    </x:row>
    <x:row r="415" ht="28" customHeight="1">
      <x:c r="A415" s="113" t="str">
        <x:f>IF(D415="","",IF(COUNTIFS(Trips!$A$6:$A$105,D415)=1,INDEX(Trips!$C$6:$C$105,MATCH(D415,Trips!$A$6:$A$105,0)),""))</x:f>
      </x:c>
      <x:c r="B415" s="90" t="str">
        <x:f>IF(D415="","",IF(COUNTIFS(Trips!$A$6:$A$105,D415)=1,INDEX(Trips!$B$6:$B$105,MATCH(D415,Trips!$A$6:$A$105,0)),""))</x:f>
      </x:c>
      <x:c r="C415" s="90" t="str">
        <x:f>IF(D415="","",IF(COUNTIFS(Trips!$A$6:$A$105,D415)=1,INDEX(Trips!$D$6:$D$105,MATCH(D415,Trips!$A$6:$A$105,0)),""))</x:f>
      </x:c>
      <x:c r="D415" s="107"/>
      <x:c r="E415" s="107"/>
      <x:c r="F415" s="90" t="str">
        <x:f>IF(E415="","",IF(COUNTIFS(Counters!$A$6:$A$105,E415)=1,INDEX(Counters!$B$6:$B$105,MATCH(E415,Counters!$A$6:$A$105,0)),""))</x:f>
      </x:c>
      <x:c r="G415" s="107"/>
      <x:c r="H415" s="98" t="str">
        <x:f>IF(C415="","",IF(COUNTIFS('Route List'!$F$6:$F$205,C415)=1,IF(COUNTIFS('Route List'!$F$6:$F$205,C415,'Route List'!$G$6:$G$205,"&lt;&gt;")=1,INDEX('Route List'!$G$6:$G$205,MATCH(C415,'Route List'!$F$6:$F$205,0)),"Enter route fare"),"Enter route fare"))</x:f>
      </x:c>
      <x:c r="I415" s="98" t="str">
        <x:f>IF(F415="","",IF(F415="Own",0,50))</x:f>
      </x:c>
      <x:c r="J415" s="98" t="str">
        <x:f>IF(OR(D415="",E415=""),"",IF(AND(ISNUMBER(G415),ISNUMBER(H415)),ROUND(G415*H415,2),""))</x:f>
      </x:c>
      <x:c r="K415" s="98" t="str">
        <x:f>IF(OR(D415="",E415=""),"",IF(AND(ISNUMBER(G415),ISNUMBER(I415)),ROUND(G415*I415,2),""))</x:f>
      </x:c>
      <x:c r="L415" s="98" t="str">
        <x:f>IF(OR(D415="",E415=""),"",IF(AND(ISNUMBER(J415),ISNUMBER(K415)),J415-K415,""))</x:f>
      </x:c>
      <x:c r="M415" s="114"/>
      <x:c r="N415" s="98" t="str">
        <x:f>IF(OR(D415="",E415=""),"",IF(COUNTIFS($D$6:D415,D415,$E$6:E415,E415)=1,MAX(SUMIFS($L$6:$L$505,$D$6:$D$505,D415,$E$6:$E$505,E415)-SUMIFS($M$6:$M$505,$D$6:$D$505,D415,$E$6:$E$505,E415),0),""))</x:f>
      </x:c>
    </x:row>
    <x:row r="416" ht="28" customHeight="1">
      <x:c r="A416" s="113" t="str">
        <x:f>IF(D416="","",IF(COUNTIFS(Trips!$A$6:$A$105,D416)=1,INDEX(Trips!$C$6:$C$105,MATCH(D416,Trips!$A$6:$A$105,0)),""))</x:f>
      </x:c>
      <x:c r="B416" s="90" t="str">
        <x:f>IF(D416="","",IF(COUNTIFS(Trips!$A$6:$A$105,D416)=1,INDEX(Trips!$B$6:$B$105,MATCH(D416,Trips!$A$6:$A$105,0)),""))</x:f>
      </x:c>
      <x:c r="C416" s="90" t="str">
        <x:f>IF(D416="","",IF(COUNTIFS(Trips!$A$6:$A$105,D416)=1,INDEX(Trips!$D$6:$D$105,MATCH(D416,Trips!$A$6:$A$105,0)),""))</x:f>
      </x:c>
      <x:c r="D416" s="107"/>
      <x:c r="E416" s="107"/>
      <x:c r="F416" s="90" t="str">
        <x:f>IF(E416="","",IF(COUNTIFS(Counters!$A$6:$A$105,E416)=1,INDEX(Counters!$B$6:$B$105,MATCH(E416,Counters!$A$6:$A$105,0)),""))</x:f>
      </x:c>
      <x:c r="G416" s="107"/>
      <x:c r="H416" s="98" t="str">
        <x:f>IF(C416="","",IF(COUNTIFS('Route List'!$F$6:$F$205,C416)=1,IF(COUNTIFS('Route List'!$F$6:$F$205,C416,'Route List'!$G$6:$G$205,"&lt;&gt;")=1,INDEX('Route List'!$G$6:$G$205,MATCH(C416,'Route List'!$F$6:$F$205,0)),"Enter route fare"),"Enter route fare"))</x:f>
      </x:c>
      <x:c r="I416" s="98" t="str">
        <x:f>IF(F416="","",IF(F416="Own",0,50))</x:f>
      </x:c>
      <x:c r="J416" s="98" t="str">
        <x:f>IF(OR(D416="",E416=""),"",IF(AND(ISNUMBER(G416),ISNUMBER(H416)),ROUND(G416*H416,2),""))</x:f>
      </x:c>
      <x:c r="K416" s="98" t="str">
        <x:f>IF(OR(D416="",E416=""),"",IF(AND(ISNUMBER(G416),ISNUMBER(I416)),ROUND(G416*I416,2),""))</x:f>
      </x:c>
      <x:c r="L416" s="98" t="str">
        <x:f>IF(OR(D416="",E416=""),"",IF(AND(ISNUMBER(J416),ISNUMBER(K416)),J416-K416,""))</x:f>
      </x:c>
      <x:c r="M416" s="114"/>
      <x:c r="N416" s="98" t="str">
        <x:f>IF(OR(D416="",E416=""),"",IF(COUNTIFS($D$6:D416,D416,$E$6:E416,E416)=1,MAX(SUMIFS($L$6:$L$505,$D$6:$D$505,D416,$E$6:$E$505,E416)-SUMIFS($M$6:$M$505,$D$6:$D$505,D416,$E$6:$E$505,E416),0),""))</x:f>
      </x:c>
    </x:row>
    <x:row r="417" ht="28" customHeight="1">
      <x:c r="A417" s="113" t="str">
        <x:f>IF(D417="","",IF(COUNTIFS(Trips!$A$6:$A$105,D417)=1,INDEX(Trips!$C$6:$C$105,MATCH(D417,Trips!$A$6:$A$105,0)),""))</x:f>
      </x:c>
      <x:c r="B417" s="90" t="str">
        <x:f>IF(D417="","",IF(COUNTIFS(Trips!$A$6:$A$105,D417)=1,INDEX(Trips!$B$6:$B$105,MATCH(D417,Trips!$A$6:$A$105,0)),""))</x:f>
      </x:c>
      <x:c r="C417" s="90" t="str">
        <x:f>IF(D417="","",IF(COUNTIFS(Trips!$A$6:$A$105,D417)=1,INDEX(Trips!$D$6:$D$105,MATCH(D417,Trips!$A$6:$A$105,0)),""))</x:f>
      </x:c>
      <x:c r="D417" s="107"/>
      <x:c r="E417" s="107"/>
      <x:c r="F417" s="90" t="str">
        <x:f>IF(E417="","",IF(COUNTIFS(Counters!$A$6:$A$105,E417)=1,INDEX(Counters!$B$6:$B$105,MATCH(E417,Counters!$A$6:$A$105,0)),""))</x:f>
      </x:c>
      <x:c r="G417" s="107"/>
      <x:c r="H417" s="98" t="str">
        <x:f>IF(C417="","",IF(COUNTIFS('Route List'!$F$6:$F$205,C417)=1,IF(COUNTIFS('Route List'!$F$6:$F$205,C417,'Route List'!$G$6:$G$205,"&lt;&gt;")=1,INDEX('Route List'!$G$6:$G$205,MATCH(C417,'Route List'!$F$6:$F$205,0)),"Enter route fare"),"Enter route fare"))</x:f>
      </x:c>
      <x:c r="I417" s="98" t="str">
        <x:f>IF(F417="","",IF(F417="Own",0,50))</x:f>
      </x:c>
      <x:c r="J417" s="98" t="str">
        <x:f>IF(OR(D417="",E417=""),"",IF(AND(ISNUMBER(G417),ISNUMBER(H417)),ROUND(G417*H417,2),""))</x:f>
      </x:c>
      <x:c r="K417" s="98" t="str">
        <x:f>IF(OR(D417="",E417=""),"",IF(AND(ISNUMBER(G417),ISNUMBER(I417)),ROUND(G417*I417,2),""))</x:f>
      </x:c>
      <x:c r="L417" s="98" t="str">
        <x:f>IF(OR(D417="",E417=""),"",IF(AND(ISNUMBER(J417),ISNUMBER(K417)),J417-K417,""))</x:f>
      </x:c>
      <x:c r="M417" s="114"/>
      <x:c r="N417" s="98" t="str">
        <x:f>IF(OR(D417="",E417=""),"",IF(COUNTIFS($D$6:D417,D417,$E$6:E417,E417)=1,MAX(SUMIFS($L$6:$L$505,$D$6:$D$505,D417,$E$6:$E$505,E417)-SUMIFS($M$6:$M$505,$D$6:$D$505,D417,$E$6:$E$505,E417),0),""))</x:f>
      </x:c>
    </x:row>
    <x:row r="418" ht="28" customHeight="1">
      <x:c r="A418" s="113" t="str">
        <x:f>IF(D418="","",IF(COUNTIFS(Trips!$A$6:$A$105,D418)=1,INDEX(Trips!$C$6:$C$105,MATCH(D418,Trips!$A$6:$A$105,0)),""))</x:f>
      </x:c>
      <x:c r="B418" s="90" t="str">
        <x:f>IF(D418="","",IF(COUNTIFS(Trips!$A$6:$A$105,D418)=1,INDEX(Trips!$B$6:$B$105,MATCH(D418,Trips!$A$6:$A$105,0)),""))</x:f>
      </x:c>
      <x:c r="C418" s="90" t="str">
        <x:f>IF(D418="","",IF(COUNTIFS(Trips!$A$6:$A$105,D418)=1,INDEX(Trips!$D$6:$D$105,MATCH(D418,Trips!$A$6:$A$105,0)),""))</x:f>
      </x:c>
      <x:c r="D418" s="107"/>
      <x:c r="E418" s="107"/>
      <x:c r="F418" s="90" t="str">
        <x:f>IF(E418="","",IF(COUNTIFS(Counters!$A$6:$A$105,E418)=1,INDEX(Counters!$B$6:$B$105,MATCH(E418,Counters!$A$6:$A$105,0)),""))</x:f>
      </x:c>
      <x:c r="G418" s="107"/>
      <x:c r="H418" s="98" t="str">
        <x:f>IF(C418="","",IF(COUNTIFS('Route List'!$F$6:$F$205,C418)=1,IF(COUNTIFS('Route List'!$F$6:$F$205,C418,'Route List'!$G$6:$G$205,"&lt;&gt;")=1,INDEX('Route List'!$G$6:$G$205,MATCH(C418,'Route List'!$F$6:$F$205,0)),"Enter route fare"),"Enter route fare"))</x:f>
      </x:c>
      <x:c r="I418" s="98" t="str">
        <x:f>IF(F418="","",IF(F418="Own",0,50))</x:f>
      </x:c>
      <x:c r="J418" s="98" t="str">
        <x:f>IF(OR(D418="",E418=""),"",IF(AND(ISNUMBER(G418),ISNUMBER(H418)),ROUND(G418*H418,2),""))</x:f>
      </x:c>
      <x:c r="K418" s="98" t="str">
        <x:f>IF(OR(D418="",E418=""),"",IF(AND(ISNUMBER(G418),ISNUMBER(I418)),ROUND(G418*I418,2),""))</x:f>
      </x:c>
      <x:c r="L418" s="98" t="str">
        <x:f>IF(OR(D418="",E418=""),"",IF(AND(ISNUMBER(J418),ISNUMBER(K418)),J418-K418,""))</x:f>
      </x:c>
      <x:c r="M418" s="114"/>
      <x:c r="N418" s="98" t="str">
        <x:f>IF(OR(D418="",E418=""),"",IF(COUNTIFS($D$6:D418,D418,$E$6:E418,E418)=1,MAX(SUMIFS($L$6:$L$505,$D$6:$D$505,D418,$E$6:$E$505,E418)-SUMIFS($M$6:$M$505,$D$6:$D$505,D418,$E$6:$E$505,E418),0),""))</x:f>
      </x:c>
    </x:row>
    <x:row r="419" ht="28" customHeight="1">
      <x:c r="A419" s="113" t="str">
        <x:f>IF(D419="","",IF(COUNTIFS(Trips!$A$6:$A$105,D419)=1,INDEX(Trips!$C$6:$C$105,MATCH(D419,Trips!$A$6:$A$105,0)),""))</x:f>
      </x:c>
      <x:c r="B419" s="90" t="str">
        <x:f>IF(D419="","",IF(COUNTIFS(Trips!$A$6:$A$105,D419)=1,INDEX(Trips!$B$6:$B$105,MATCH(D419,Trips!$A$6:$A$105,0)),""))</x:f>
      </x:c>
      <x:c r="C419" s="90" t="str">
        <x:f>IF(D419="","",IF(COUNTIFS(Trips!$A$6:$A$105,D419)=1,INDEX(Trips!$D$6:$D$105,MATCH(D419,Trips!$A$6:$A$105,0)),""))</x:f>
      </x:c>
      <x:c r="D419" s="107"/>
      <x:c r="E419" s="107"/>
      <x:c r="F419" s="90" t="str">
        <x:f>IF(E419="","",IF(COUNTIFS(Counters!$A$6:$A$105,E419)=1,INDEX(Counters!$B$6:$B$105,MATCH(E419,Counters!$A$6:$A$105,0)),""))</x:f>
      </x:c>
      <x:c r="G419" s="107"/>
      <x:c r="H419" s="98" t="str">
        <x:f>IF(C419="","",IF(COUNTIFS('Route List'!$F$6:$F$205,C419)=1,IF(COUNTIFS('Route List'!$F$6:$F$205,C419,'Route List'!$G$6:$G$205,"&lt;&gt;")=1,INDEX('Route List'!$G$6:$G$205,MATCH(C419,'Route List'!$F$6:$F$205,0)),"Enter route fare"),"Enter route fare"))</x:f>
      </x:c>
      <x:c r="I419" s="98" t="str">
        <x:f>IF(F419="","",IF(F419="Own",0,50))</x:f>
      </x:c>
      <x:c r="J419" s="98" t="str">
        <x:f>IF(OR(D419="",E419=""),"",IF(AND(ISNUMBER(G419),ISNUMBER(H419)),ROUND(G419*H419,2),""))</x:f>
      </x:c>
      <x:c r="K419" s="98" t="str">
        <x:f>IF(OR(D419="",E419=""),"",IF(AND(ISNUMBER(G419),ISNUMBER(I419)),ROUND(G419*I419,2),""))</x:f>
      </x:c>
      <x:c r="L419" s="98" t="str">
        <x:f>IF(OR(D419="",E419=""),"",IF(AND(ISNUMBER(J419),ISNUMBER(K419)),J419-K419,""))</x:f>
      </x:c>
      <x:c r="M419" s="114"/>
      <x:c r="N419" s="98" t="str">
        <x:f>IF(OR(D419="",E419=""),"",IF(COUNTIFS($D$6:D419,D419,$E$6:E419,E419)=1,MAX(SUMIFS($L$6:$L$505,$D$6:$D$505,D419,$E$6:$E$505,E419)-SUMIFS($M$6:$M$505,$D$6:$D$505,D419,$E$6:$E$505,E419),0),""))</x:f>
      </x:c>
    </x:row>
    <x:row r="420" ht="28" customHeight="1">
      <x:c r="A420" s="113" t="str">
        <x:f>IF(D420="","",IF(COUNTIFS(Trips!$A$6:$A$105,D420)=1,INDEX(Trips!$C$6:$C$105,MATCH(D420,Trips!$A$6:$A$105,0)),""))</x:f>
      </x:c>
      <x:c r="B420" s="90" t="str">
        <x:f>IF(D420="","",IF(COUNTIFS(Trips!$A$6:$A$105,D420)=1,INDEX(Trips!$B$6:$B$105,MATCH(D420,Trips!$A$6:$A$105,0)),""))</x:f>
      </x:c>
      <x:c r="C420" s="90" t="str">
        <x:f>IF(D420="","",IF(COUNTIFS(Trips!$A$6:$A$105,D420)=1,INDEX(Trips!$D$6:$D$105,MATCH(D420,Trips!$A$6:$A$105,0)),""))</x:f>
      </x:c>
      <x:c r="D420" s="107"/>
      <x:c r="E420" s="107"/>
      <x:c r="F420" s="90" t="str">
        <x:f>IF(E420="","",IF(COUNTIFS(Counters!$A$6:$A$105,E420)=1,INDEX(Counters!$B$6:$B$105,MATCH(E420,Counters!$A$6:$A$105,0)),""))</x:f>
      </x:c>
      <x:c r="G420" s="107"/>
      <x:c r="H420" s="98" t="str">
        <x:f>IF(C420="","",IF(COUNTIFS('Route List'!$F$6:$F$205,C420)=1,IF(COUNTIFS('Route List'!$F$6:$F$205,C420,'Route List'!$G$6:$G$205,"&lt;&gt;")=1,INDEX('Route List'!$G$6:$G$205,MATCH(C420,'Route List'!$F$6:$F$205,0)),"Enter route fare"),"Enter route fare"))</x:f>
      </x:c>
      <x:c r="I420" s="98" t="str">
        <x:f>IF(F420="","",IF(F420="Own",0,50))</x:f>
      </x:c>
      <x:c r="J420" s="98" t="str">
        <x:f>IF(OR(D420="",E420=""),"",IF(AND(ISNUMBER(G420),ISNUMBER(H420)),ROUND(G420*H420,2),""))</x:f>
      </x:c>
      <x:c r="K420" s="98" t="str">
        <x:f>IF(OR(D420="",E420=""),"",IF(AND(ISNUMBER(G420),ISNUMBER(I420)),ROUND(G420*I420,2),""))</x:f>
      </x:c>
      <x:c r="L420" s="98" t="str">
        <x:f>IF(OR(D420="",E420=""),"",IF(AND(ISNUMBER(J420),ISNUMBER(K420)),J420-K420,""))</x:f>
      </x:c>
      <x:c r="M420" s="114"/>
      <x:c r="N420" s="98" t="str">
        <x:f>IF(OR(D420="",E420=""),"",IF(COUNTIFS($D$6:D420,D420,$E$6:E420,E420)=1,MAX(SUMIFS($L$6:$L$505,$D$6:$D$505,D420,$E$6:$E$505,E420)-SUMIFS($M$6:$M$505,$D$6:$D$505,D420,$E$6:$E$505,E420),0),""))</x:f>
      </x:c>
    </x:row>
    <x:row r="421" ht="28" customHeight="1">
      <x:c r="A421" s="113" t="str">
        <x:f>IF(D421="","",IF(COUNTIFS(Trips!$A$6:$A$105,D421)=1,INDEX(Trips!$C$6:$C$105,MATCH(D421,Trips!$A$6:$A$105,0)),""))</x:f>
      </x:c>
      <x:c r="B421" s="90" t="str">
        <x:f>IF(D421="","",IF(COUNTIFS(Trips!$A$6:$A$105,D421)=1,INDEX(Trips!$B$6:$B$105,MATCH(D421,Trips!$A$6:$A$105,0)),""))</x:f>
      </x:c>
      <x:c r="C421" s="90" t="str">
        <x:f>IF(D421="","",IF(COUNTIFS(Trips!$A$6:$A$105,D421)=1,INDEX(Trips!$D$6:$D$105,MATCH(D421,Trips!$A$6:$A$105,0)),""))</x:f>
      </x:c>
      <x:c r="D421" s="107"/>
      <x:c r="E421" s="107"/>
      <x:c r="F421" s="90" t="str">
        <x:f>IF(E421="","",IF(COUNTIFS(Counters!$A$6:$A$105,E421)=1,INDEX(Counters!$B$6:$B$105,MATCH(E421,Counters!$A$6:$A$105,0)),""))</x:f>
      </x:c>
      <x:c r="G421" s="107"/>
      <x:c r="H421" s="98" t="str">
        <x:f>IF(C421="","",IF(COUNTIFS('Route List'!$F$6:$F$205,C421)=1,IF(COUNTIFS('Route List'!$F$6:$F$205,C421,'Route List'!$G$6:$G$205,"&lt;&gt;")=1,INDEX('Route List'!$G$6:$G$205,MATCH(C421,'Route List'!$F$6:$F$205,0)),"Enter route fare"),"Enter route fare"))</x:f>
      </x:c>
      <x:c r="I421" s="98" t="str">
        <x:f>IF(F421="","",IF(F421="Own",0,50))</x:f>
      </x:c>
      <x:c r="J421" s="98" t="str">
        <x:f>IF(OR(D421="",E421=""),"",IF(AND(ISNUMBER(G421),ISNUMBER(H421)),ROUND(G421*H421,2),""))</x:f>
      </x:c>
      <x:c r="K421" s="98" t="str">
        <x:f>IF(OR(D421="",E421=""),"",IF(AND(ISNUMBER(G421),ISNUMBER(I421)),ROUND(G421*I421,2),""))</x:f>
      </x:c>
      <x:c r="L421" s="98" t="str">
        <x:f>IF(OR(D421="",E421=""),"",IF(AND(ISNUMBER(J421),ISNUMBER(K421)),J421-K421,""))</x:f>
      </x:c>
      <x:c r="M421" s="114"/>
      <x:c r="N421" s="98" t="str">
        <x:f>IF(OR(D421="",E421=""),"",IF(COUNTIFS($D$6:D421,D421,$E$6:E421,E421)=1,MAX(SUMIFS($L$6:$L$505,$D$6:$D$505,D421,$E$6:$E$505,E421)-SUMIFS($M$6:$M$505,$D$6:$D$505,D421,$E$6:$E$505,E421),0),""))</x:f>
      </x:c>
    </x:row>
    <x:row r="422" ht="28" customHeight="1">
      <x:c r="A422" s="113" t="str">
        <x:f>IF(D422="","",IF(COUNTIFS(Trips!$A$6:$A$105,D422)=1,INDEX(Trips!$C$6:$C$105,MATCH(D422,Trips!$A$6:$A$105,0)),""))</x:f>
      </x:c>
      <x:c r="B422" s="90" t="str">
        <x:f>IF(D422="","",IF(COUNTIFS(Trips!$A$6:$A$105,D422)=1,INDEX(Trips!$B$6:$B$105,MATCH(D422,Trips!$A$6:$A$105,0)),""))</x:f>
      </x:c>
      <x:c r="C422" s="90" t="str">
        <x:f>IF(D422="","",IF(COUNTIFS(Trips!$A$6:$A$105,D422)=1,INDEX(Trips!$D$6:$D$105,MATCH(D422,Trips!$A$6:$A$105,0)),""))</x:f>
      </x:c>
      <x:c r="D422" s="107"/>
      <x:c r="E422" s="107"/>
      <x:c r="F422" s="90" t="str">
        <x:f>IF(E422="","",IF(COUNTIFS(Counters!$A$6:$A$105,E422)=1,INDEX(Counters!$B$6:$B$105,MATCH(E422,Counters!$A$6:$A$105,0)),""))</x:f>
      </x:c>
      <x:c r="G422" s="107"/>
      <x:c r="H422" s="98" t="str">
        <x:f>IF(C422="","",IF(COUNTIFS('Route List'!$F$6:$F$205,C422)=1,IF(COUNTIFS('Route List'!$F$6:$F$205,C422,'Route List'!$G$6:$G$205,"&lt;&gt;")=1,INDEX('Route List'!$G$6:$G$205,MATCH(C422,'Route List'!$F$6:$F$205,0)),"Enter route fare"),"Enter route fare"))</x:f>
      </x:c>
      <x:c r="I422" s="98" t="str">
        <x:f>IF(F422="","",IF(F422="Own",0,50))</x:f>
      </x:c>
      <x:c r="J422" s="98" t="str">
        <x:f>IF(OR(D422="",E422=""),"",IF(AND(ISNUMBER(G422),ISNUMBER(H422)),ROUND(G422*H422,2),""))</x:f>
      </x:c>
      <x:c r="K422" s="98" t="str">
        <x:f>IF(OR(D422="",E422=""),"",IF(AND(ISNUMBER(G422),ISNUMBER(I422)),ROUND(G422*I422,2),""))</x:f>
      </x:c>
      <x:c r="L422" s="98" t="str">
        <x:f>IF(OR(D422="",E422=""),"",IF(AND(ISNUMBER(J422),ISNUMBER(K422)),J422-K422,""))</x:f>
      </x:c>
      <x:c r="M422" s="114"/>
      <x:c r="N422" s="98" t="str">
        <x:f>IF(OR(D422="",E422=""),"",IF(COUNTIFS($D$6:D422,D422,$E$6:E422,E422)=1,MAX(SUMIFS($L$6:$L$505,$D$6:$D$505,D422,$E$6:$E$505,E422)-SUMIFS($M$6:$M$505,$D$6:$D$505,D422,$E$6:$E$505,E422),0),""))</x:f>
      </x:c>
    </x:row>
    <x:row r="423" ht="28" customHeight="1">
      <x:c r="A423" s="113" t="str">
        <x:f>IF(D423="","",IF(COUNTIFS(Trips!$A$6:$A$105,D423)=1,INDEX(Trips!$C$6:$C$105,MATCH(D423,Trips!$A$6:$A$105,0)),""))</x:f>
      </x:c>
      <x:c r="B423" s="90" t="str">
        <x:f>IF(D423="","",IF(COUNTIFS(Trips!$A$6:$A$105,D423)=1,INDEX(Trips!$B$6:$B$105,MATCH(D423,Trips!$A$6:$A$105,0)),""))</x:f>
      </x:c>
      <x:c r="C423" s="90" t="str">
        <x:f>IF(D423="","",IF(COUNTIFS(Trips!$A$6:$A$105,D423)=1,INDEX(Trips!$D$6:$D$105,MATCH(D423,Trips!$A$6:$A$105,0)),""))</x:f>
      </x:c>
      <x:c r="D423" s="107"/>
      <x:c r="E423" s="107"/>
      <x:c r="F423" s="90" t="str">
        <x:f>IF(E423="","",IF(COUNTIFS(Counters!$A$6:$A$105,E423)=1,INDEX(Counters!$B$6:$B$105,MATCH(E423,Counters!$A$6:$A$105,0)),""))</x:f>
      </x:c>
      <x:c r="G423" s="107"/>
      <x:c r="H423" s="98" t="str">
        <x:f>IF(C423="","",IF(COUNTIFS('Route List'!$F$6:$F$205,C423)=1,IF(COUNTIFS('Route List'!$F$6:$F$205,C423,'Route List'!$G$6:$G$205,"&lt;&gt;")=1,INDEX('Route List'!$G$6:$G$205,MATCH(C423,'Route List'!$F$6:$F$205,0)),"Enter route fare"),"Enter route fare"))</x:f>
      </x:c>
      <x:c r="I423" s="98" t="str">
        <x:f>IF(F423="","",IF(F423="Own",0,50))</x:f>
      </x:c>
      <x:c r="J423" s="98" t="str">
        <x:f>IF(OR(D423="",E423=""),"",IF(AND(ISNUMBER(G423),ISNUMBER(H423)),ROUND(G423*H423,2),""))</x:f>
      </x:c>
      <x:c r="K423" s="98" t="str">
        <x:f>IF(OR(D423="",E423=""),"",IF(AND(ISNUMBER(G423),ISNUMBER(I423)),ROUND(G423*I423,2),""))</x:f>
      </x:c>
      <x:c r="L423" s="98" t="str">
        <x:f>IF(OR(D423="",E423=""),"",IF(AND(ISNUMBER(J423),ISNUMBER(K423)),J423-K423,""))</x:f>
      </x:c>
      <x:c r="M423" s="114"/>
      <x:c r="N423" s="98" t="str">
        <x:f>IF(OR(D423="",E423=""),"",IF(COUNTIFS($D$6:D423,D423,$E$6:E423,E423)=1,MAX(SUMIFS($L$6:$L$505,$D$6:$D$505,D423,$E$6:$E$505,E423)-SUMIFS($M$6:$M$505,$D$6:$D$505,D423,$E$6:$E$505,E423),0),""))</x:f>
      </x:c>
    </x:row>
    <x:row r="424" ht="28" customHeight="1">
      <x:c r="A424" s="113" t="str">
        <x:f>IF(D424="","",IF(COUNTIFS(Trips!$A$6:$A$105,D424)=1,INDEX(Trips!$C$6:$C$105,MATCH(D424,Trips!$A$6:$A$105,0)),""))</x:f>
      </x:c>
      <x:c r="B424" s="90" t="str">
        <x:f>IF(D424="","",IF(COUNTIFS(Trips!$A$6:$A$105,D424)=1,INDEX(Trips!$B$6:$B$105,MATCH(D424,Trips!$A$6:$A$105,0)),""))</x:f>
      </x:c>
      <x:c r="C424" s="90" t="str">
        <x:f>IF(D424="","",IF(COUNTIFS(Trips!$A$6:$A$105,D424)=1,INDEX(Trips!$D$6:$D$105,MATCH(D424,Trips!$A$6:$A$105,0)),""))</x:f>
      </x:c>
      <x:c r="D424" s="107"/>
      <x:c r="E424" s="107"/>
      <x:c r="F424" s="90" t="str">
        <x:f>IF(E424="","",IF(COUNTIFS(Counters!$A$6:$A$105,E424)=1,INDEX(Counters!$B$6:$B$105,MATCH(E424,Counters!$A$6:$A$105,0)),""))</x:f>
      </x:c>
      <x:c r="G424" s="107"/>
      <x:c r="H424" s="98" t="str">
        <x:f>IF(C424="","",IF(COUNTIFS('Route List'!$F$6:$F$205,C424)=1,IF(COUNTIFS('Route List'!$F$6:$F$205,C424,'Route List'!$G$6:$G$205,"&lt;&gt;")=1,INDEX('Route List'!$G$6:$G$205,MATCH(C424,'Route List'!$F$6:$F$205,0)),"Enter route fare"),"Enter route fare"))</x:f>
      </x:c>
      <x:c r="I424" s="98" t="str">
        <x:f>IF(F424="","",IF(F424="Own",0,50))</x:f>
      </x:c>
      <x:c r="J424" s="98" t="str">
        <x:f>IF(OR(D424="",E424=""),"",IF(AND(ISNUMBER(G424),ISNUMBER(H424)),ROUND(G424*H424,2),""))</x:f>
      </x:c>
      <x:c r="K424" s="98" t="str">
        <x:f>IF(OR(D424="",E424=""),"",IF(AND(ISNUMBER(G424),ISNUMBER(I424)),ROUND(G424*I424,2),""))</x:f>
      </x:c>
      <x:c r="L424" s="98" t="str">
        <x:f>IF(OR(D424="",E424=""),"",IF(AND(ISNUMBER(J424),ISNUMBER(K424)),J424-K424,""))</x:f>
      </x:c>
      <x:c r="M424" s="114"/>
      <x:c r="N424" s="98" t="str">
        <x:f>IF(OR(D424="",E424=""),"",IF(COUNTIFS($D$6:D424,D424,$E$6:E424,E424)=1,MAX(SUMIFS($L$6:$L$505,$D$6:$D$505,D424,$E$6:$E$505,E424)-SUMIFS($M$6:$M$505,$D$6:$D$505,D424,$E$6:$E$505,E424),0),""))</x:f>
      </x:c>
    </x:row>
    <x:row r="425" ht="28" customHeight="1">
      <x:c r="A425" s="113" t="str">
        <x:f>IF(D425="","",IF(COUNTIFS(Trips!$A$6:$A$105,D425)=1,INDEX(Trips!$C$6:$C$105,MATCH(D425,Trips!$A$6:$A$105,0)),""))</x:f>
      </x:c>
      <x:c r="B425" s="90" t="str">
        <x:f>IF(D425="","",IF(COUNTIFS(Trips!$A$6:$A$105,D425)=1,INDEX(Trips!$B$6:$B$105,MATCH(D425,Trips!$A$6:$A$105,0)),""))</x:f>
      </x:c>
      <x:c r="C425" s="90" t="str">
        <x:f>IF(D425="","",IF(COUNTIFS(Trips!$A$6:$A$105,D425)=1,INDEX(Trips!$D$6:$D$105,MATCH(D425,Trips!$A$6:$A$105,0)),""))</x:f>
      </x:c>
      <x:c r="D425" s="107"/>
      <x:c r="E425" s="107"/>
      <x:c r="F425" s="90" t="str">
        <x:f>IF(E425="","",IF(COUNTIFS(Counters!$A$6:$A$105,E425)=1,INDEX(Counters!$B$6:$B$105,MATCH(E425,Counters!$A$6:$A$105,0)),""))</x:f>
      </x:c>
      <x:c r="G425" s="107"/>
      <x:c r="H425" s="98" t="str">
        <x:f>IF(C425="","",IF(COUNTIFS('Route List'!$F$6:$F$205,C425)=1,IF(COUNTIFS('Route List'!$F$6:$F$205,C425,'Route List'!$G$6:$G$205,"&lt;&gt;")=1,INDEX('Route List'!$G$6:$G$205,MATCH(C425,'Route List'!$F$6:$F$205,0)),"Enter route fare"),"Enter route fare"))</x:f>
      </x:c>
      <x:c r="I425" s="98" t="str">
        <x:f>IF(F425="","",IF(F425="Own",0,50))</x:f>
      </x:c>
      <x:c r="J425" s="98" t="str">
        <x:f>IF(OR(D425="",E425=""),"",IF(AND(ISNUMBER(G425),ISNUMBER(H425)),ROUND(G425*H425,2),""))</x:f>
      </x:c>
      <x:c r="K425" s="98" t="str">
        <x:f>IF(OR(D425="",E425=""),"",IF(AND(ISNUMBER(G425),ISNUMBER(I425)),ROUND(G425*I425,2),""))</x:f>
      </x:c>
      <x:c r="L425" s="98" t="str">
        <x:f>IF(OR(D425="",E425=""),"",IF(AND(ISNUMBER(J425),ISNUMBER(K425)),J425-K425,""))</x:f>
      </x:c>
      <x:c r="M425" s="114"/>
      <x:c r="N425" s="98" t="str">
        <x:f>IF(OR(D425="",E425=""),"",IF(COUNTIFS($D$6:D425,D425,$E$6:E425,E425)=1,MAX(SUMIFS($L$6:$L$505,$D$6:$D$505,D425,$E$6:$E$505,E425)-SUMIFS($M$6:$M$505,$D$6:$D$505,D425,$E$6:$E$505,E425),0),""))</x:f>
      </x:c>
    </x:row>
    <x:row r="426" ht="28" customHeight="1">
      <x:c r="A426" s="113" t="str">
        <x:f>IF(D426="","",IF(COUNTIFS(Trips!$A$6:$A$105,D426)=1,INDEX(Trips!$C$6:$C$105,MATCH(D426,Trips!$A$6:$A$105,0)),""))</x:f>
      </x:c>
      <x:c r="B426" s="90" t="str">
        <x:f>IF(D426="","",IF(COUNTIFS(Trips!$A$6:$A$105,D426)=1,INDEX(Trips!$B$6:$B$105,MATCH(D426,Trips!$A$6:$A$105,0)),""))</x:f>
      </x:c>
      <x:c r="C426" s="90" t="str">
        <x:f>IF(D426="","",IF(COUNTIFS(Trips!$A$6:$A$105,D426)=1,INDEX(Trips!$D$6:$D$105,MATCH(D426,Trips!$A$6:$A$105,0)),""))</x:f>
      </x:c>
      <x:c r="D426" s="107"/>
      <x:c r="E426" s="107"/>
      <x:c r="F426" s="90" t="str">
        <x:f>IF(E426="","",IF(COUNTIFS(Counters!$A$6:$A$105,E426)=1,INDEX(Counters!$B$6:$B$105,MATCH(E426,Counters!$A$6:$A$105,0)),""))</x:f>
      </x:c>
      <x:c r="G426" s="107"/>
      <x:c r="H426" s="98" t="str">
        <x:f>IF(C426="","",IF(COUNTIFS('Route List'!$F$6:$F$205,C426)=1,IF(COUNTIFS('Route List'!$F$6:$F$205,C426,'Route List'!$G$6:$G$205,"&lt;&gt;")=1,INDEX('Route List'!$G$6:$G$205,MATCH(C426,'Route List'!$F$6:$F$205,0)),"Enter route fare"),"Enter route fare"))</x:f>
      </x:c>
      <x:c r="I426" s="98" t="str">
        <x:f>IF(F426="","",IF(F426="Own",0,50))</x:f>
      </x:c>
      <x:c r="J426" s="98" t="str">
        <x:f>IF(OR(D426="",E426=""),"",IF(AND(ISNUMBER(G426),ISNUMBER(H426)),ROUND(G426*H426,2),""))</x:f>
      </x:c>
      <x:c r="K426" s="98" t="str">
        <x:f>IF(OR(D426="",E426=""),"",IF(AND(ISNUMBER(G426),ISNUMBER(I426)),ROUND(G426*I426,2),""))</x:f>
      </x:c>
      <x:c r="L426" s="98" t="str">
        <x:f>IF(OR(D426="",E426=""),"",IF(AND(ISNUMBER(J426),ISNUMBER(K426)),J426-K426,""))</x:f>
      </x:c>
      <x:c r="M426" s="114"/>
      <x:c r="N426" s="98" t="str">
        <x:f>IF(OR(D426="",E426=""),"",IF(COUNTIFS($D$6:D426,D426,$E$6:E426,E426)=1,MAX(SUMIFS($L$6:$L$505,$D$6:$D$505,D426,$E$6:$E$505,E426)-SUMIFS($M$6:$M$505,$D$6:$D$505,D426,$E$6:$E$505,E426),0),""))</x:f>
      </x:c>
    </x:row>
    <x:row r="427" ht="28" customHeight="1">
      <x:c r="A427" s="113" t="str">
        <x:f>IF(D427="","",IF(COUNTIFS(Trips!$A$6:$A$105,D427)=1,INDEX(Trips!$C$6:$C$105,MATCH(D427,Trips!$A$6:$A$105,0)),""))</x:f>
      </x:c>
      <x:c r="B427" s="90" t="str">
        <x:f>IF(D427="","",IF(COUNTIFS(Trips!$A$6:$A$105,D427)=1,INDEX(Trips!$B$6:$B$105,MATCH(D427,Trips!$A$6:$A$105,0)),""))</x:f>
      </x:c>
      <x:c r="C427" s="90" t="str">
        <x:f>IF(D427="","",IF(COUNTIFS(Trips!$A$6:$A$105,D427)=1,INDEX(Trips!$D$6:$D$105,MATCH(D427,Trips!$A$6:$A$105,0)),""))</x:f>
      </x:c>
      <x:c r="D427" s="107"/>
      <x:c r="E427" s="107"/>
      <x:c r="F427" s="90" t="str">
        <x:f>IF(E427="","",IF(COUNTIFS(Counters!$A$6:$A$105,E427)=1,INDEX(Counters!$B$6:$B$105,MATCH(E427,Counters!$A$6:$A$105,0)),""))</x:f>
      </x:c>
      <x:c r="G427" s="107"/>
      <x:c r="H427" s="98" t="str">
        <x:f>IF(C427="","",IF(COUNTIFS('Route List'!$F$6:$F$205,C427)=1,IF(COUNTIFS('Route List'!$F$6:$F$205,C427,'Route List'!$G$6:$G$205,"&lt;&gt;")=1,INDEX('Route List'!$G$6:$G$205,MATCH(C427,'Route List'!$F$6:$F$205,0)),"Enter route fare"),"Enter route fare"))</x:f>
      </x:c>
      <x:c r="I427" s="98" t="str">
        <x:f>IF(F427="","",IF(F427="Own",0,50))</x:f>
      </x:c>
      <x:c r="J427" s="98" t="str">
        <x:f>IF(OR(D427="",E427=""),"",IF(AND(ISNUMBER(G427),ISNUMBER(H427)),ROUND(G427*H427,2),""))</x:f>
      </x:c>
      <x:c r="K427" s="98" t="str">
        <x:f>IF(OR(D427="",E427=""),"",IF(AND(ISNUMBER(G427),ISNUMBER(I427)),ROUND(G427*I427,2),""))</x:f>
      </x:c>
      <x:c r="L427" s="98" t="str">
        <x:f>IF(OR(D427="",E427=""),"",IF(AND(ISNUMBER(J427),ISNUMBER(K427)),J427-K427,""))</x:f>
      </x:c>
      <x:c r="M427" s="114"/>
      <x:c r="N427" s="98" t="str">
        <x:f>IF(OR(D427="",E427=""),"",IF(COUNTIFS($D$6:D427,D427,$E$6:E427,E427)=1,MAX(SUMIFS($L$6:$L$505,$D$6:$D$505,D427,$E$6:$E$505,E427)-SUMIFS($M$6:$M$505,$D$6:$D$505,D427,$E$6:$E$505,E427),0),""))</x:f>
      </x:c>
    </x:row>
    <x:row r="428" ht="28" customHeight="1">
      <x:c r="A428" s="113" t="str">
        <x:f>IF(D428="","",IF(COUNTIFS(Trips!$A$6:$A$105,D428)=1,INDEX(Trips!$C$6:$C$105,MATCH(D428,Trips!$A$6:$A$105,0)),""))</x:f>
      </x:c>
      <x:c r="B428" s="90" t="str">
        <x:f>IF(D428="","",IF(COUNTIFS(Trips!$A$6:$A$105,D428)=1,INDEX(Trips!$B$6:$B$105,MATCH(D428,Trips!$A$6:$A$105,0)),""))</x:f>
      </x:c>
      <x:c r="C428" s="90" t="str">
        <x:f>IF(D428="","",IF(COUNTIFS(Trips!$A$6:$A$105,D428)=1,INDEX(Trips!$D$6:$D$105,MATCH(D428,Trips!$A$6:$A$105,0)),""))</x:f>
      </x:c>
      <x:c r="D428" s="107"/>
      <x:c r="E428" s="107"/>
      <x:c r="F428" s="90" t="str">
        <x:f>IF(E428="","",IF(COUNTIFS(Counters!$A$6:$A$105,E428)=1,INDEX(Counters!$B$6:$B$105,MATCH(E428,Counters!$A$6:$A$105,0)),""))</x:f>
      </x:c>
      <x:c r="G428" s="107"/>
      <x:c r="H428" s="98" t="str">
        <x:f>IF(C428="","",IF(COUNTIFS('Route List'!$F$6:$F$205,C428)=1,IF(COUNTIFS('Route List'!$F$6:$F$205,C428,'Route List'!$G$6:$G$205,"&lt;&gt;")=1,INDEX('Route List'!$G$6:$G$205,MATCH(C428,'Route List'!$F$6:$F$205,0)),"Enter route fare"),"Enter route fare"))</x:f>
      </x:c>
      <x:c r="I428" s="98" t="str">
        <x:f>IF(F428="","",IF(F428="Own",0,50))</x:f>
      </x:c>
      <x:c r="J428" s="98" t="str">
        <x:f>IF(OR(D428="",E428=""),"",IF(AND(ISNUMBER(G428),ISNUMBER(H428)),ROUND(G428*H428,2),""))</x:f>
      </x:c>
      <x:c r="K428" s="98" t="str">
        <x:f>IF(OR(D428="",E428=""),"",IF(AND(ISNUMBER(G428),ISNUMBER(I428)),ROUND(G428*I428,2),""))</x:f>
      </x:c>
      <x:c r="L428" s="98" t="str">
        <x:f>IF(OR(D428="",E428=""),"",IF(AND(ISNUMBER(J428),ISNUMBER(K428)),J428-K428,""))</x:f>
      </x:c>
      <x:c r="M428" s="114"/>
      <x:c r="N428" s="98" t="str">
        <x:f>IF(OR(D428="",E428=""),"",IF(COUNTIFS($D$6:D428,D428,$E$6:E428,E428)=1,MAX(SUMIFS($L$6:$L$505,$D$6:$D$505,D428,$E$6:$E$505,E428)-SUMIFS($M$6:$M$505,$D$6:$D$505,D428,$E$6:$E$505,E428),0),""))</x:f>
      </x:c>
    </x:row>
    <x:row r="429" ht="28" customHeight="1">
      <x:c r="A429" s="113" t="str">
        <x:f>IF(D429="","",IF(COUNTIFS(Trips!$A$6:$A$105,D429)=1,INDEX(Trips!$C$6:$C$105,MATCH(D429,Trips!$A$6:$A$105,0)),""))</x:f>
      </x:c>
      <x:c r="B429" s="90" t="str">
        <x:f>IF(D429="","",IF(COUNTIFS(Trips!$A$6:$A$105,D429)=1,INDEX(Trips!$B$6:$B$105,MATCH(D429,Trips!$A$6:$A$105,0)),""))</x:f>
      </x:c>
      <x:c r="C429" s="90" t="str">
        <x:f>IF(D429="","",IF(COUNTIFS(Trips!$A$6:$A$105,D429)=1,INDEX(Trips!$D$6:$D$105,MATCH(D429,Trips!$A$6:$A$105,0)),""))</x:f>
      </x:c>
      <x:c r="D429" s="107"/>
      <x:c r="E429" s="107"/>
      <x:c r="F429" s="90" t="str">
        <x:f>IF(E429="","",IF(COUNTIFS(Counters!$A$6:$A$105,E429)=1,INDEX(Counters!$B$6:$B$105,MATCH(E429,Counters!$A$6:$A$105,0)),""))</x:f>
      </x:c>
      <x:c r="G429" s="107"/>
      <x:c r="H429" s="98" t="str">
        <x:f>IF(C429="","",IF(COUNTIFS('Route List'!$F$6:$F$205,C429)=1,IF(COUNTIFS('Route List'!$F$6:$F$205,C429,'Route List'!$G$6:$G$205,"&lt;&gt;")=1,INDEX('Route List'!$G$6:$G$205,MATCH(C429,'Route List'!$F$6:$F$205,0)),"Enter route fare"),"Enter route fare"))</x:f>
      </x:c>
      <x:c r="I429" s="98" t="str">
        <x:f>IF(F429="","",IF(F429="Own",0,50))</x:f>
      </x:c>
      <x:c r="J429" s="98" t="str">
        <x:f>IF(OR(D429="",E429=""),"",IF(AND(ISNUMBER(G429),ISNUMBER(H429)),ROUND(G429*H429,2),""))</x:f>
      </x:c>
      <x:c r="K429" s="98" t="str">
        <x:f>IF(OR(D429="",E429=""),"",IF(AND(ISNUMBER(G429),ISNUMBER(I429)),ROUND(G429*I429,2),""))</x:f>
      </x:c>
      <x:c r="L429" s="98" t="str">
        <x:f>IF(OR(D429="",E429=""),"",IF(AND(ISNUMBER(J429),ISNUMBER(K429)),J429-K429,""))</x:f>
      </x:c>
      <x:c r="M429" s="114"/>
      <x:c r="N429" s="98" t="str">
        <x:f>IF(OR(D429="",E429=""),"",IF(COUNTIFS($D$6:D429,D429,$E$6:E429,E429)=1,MAX(SUMIFS($L$6:$L$505,$D$6:$D$505,D429,$E$6:$E$505,E429)-SUMIFS($M$6:$M$505,$D$6:$D$505,D429,$E$6:$E$505,E429),0),""))</x:f>
      </x:c>
    </x:row>
    <x:row r="430" ht="28" customHeight="1">
      <x:c r="A430" s="113" t="str">
        <x:f>IF(D430="","",IF(COUNTIFS(Trips!$A$6:$A$105,D430)=1,INDEX(Trips!$C$6:$C$105,MATCH(D430,Trips!$A$6:$A$105,0)),""))</x:f>
      </x:c>
      <x:c r="B430" s="90" t="str">
        <x:f>IF(D430="","",IF(COUNTIFS(Trips!$A$6:$A$105,D430)=1,INDEX(Trips!$B$6:$B$105,MATCH(D430,Trips!$A$6:$A$105,0)),""))</x:f>
      </x:c>
      <x:c r="C430" s="90" t="str">
        <x:f>IF(D430="","",IF(COUNTIFS(Trips!$A$6:$A$105,D430)=1,INDEX(Trips!$D$6:$D$105,MATCH(D430,Trips!$A$6:$A$105,0)),""))</x:f>
      </x:c>
      <x:c r="D430" s="107"/>
      <x:c r="E430" s="107"/>
      <x:c r="F430" s="90" t="str">
        <x:f>IF(E430="","",IF(COUNTIFS(Counters!$A$6:$A$105,E430)=1,INDEX(Counters!$B$6:$B$105,MATCH(E430,Counters!$A$6:$A$105,0)),""))</x:f>
      </x:c>
      <x:c r="G430" s="107"/>
      <x:c r="H430" s="98" t="str">
        <x:f>IF(C430="","",IF(COUNTIFS('Route List'!$F$6:$F$205,C430)=1,IF(COUNTIFS('Route List'!$F$6:$F$205,C430,'Route List'!$G$6:$G$205,"&lt;&gt;")=1,INDEX('Route List'!$G$6:$G$205,MATCH(C430,'Route List'!$F$6:$F$205,0)),"Enter route fare"),"Enter route fare"))</x:f>
      </x:c>
      <x:c r="I430" s="98" t="str">
        <x:f>IF(F430="","",IF(F430="Own",0,50))</x:f>
      </x:c>
      <x:c r="J430" s="98" t="str">
        <x:f>IF(OR(D430="",E430=""),"",IF(AND(ISNUMBER(G430),ISNUMBER(H430)),ROUND(G430*H430,2),""))</x:f>
      </x:c>
      <x:c r="K430" s="98" t="str">
        <x:f>IF(OR(D430="",E430=""),"",IF(AND(ISNUMBER(G430),ISNUMBER(I430)),ROUND(G430*I430,2),""))</x:f>
      </x:c>
      <x:c r="L430" s="98" t="str">
        <x:f>IF(OR(D430="",E430=""),"",IF(AND(ISNUMBER(J430),ISNUMBER(K430)),J430-K430,""))</x:f>
      </x:c>
      <x:c r="M430" s="114"/>
      <x:c r="N430" s="98" t="str">
        <x:f>IF(OR(D430="",E430=""),"",IF(COUNTIFS($D$6:D430,D430,$E$6:E430,E430)=1,MAX(SUMIFS($L$6:$L$505,$D$6:$D$505,D430,$E$6:$E$505,E430)-SUMIFS($M$6:$M$505,$D$6:$D$505,D430,$E$6:$E$505,E430),0),""))</x:f>
      </x:c>
    </x:row>
    <x:row r="431" ht="28" customHeight="1">
      <x:c r="A431" s="113" t="str">
        <x:f>IF(D431="","",IF(COUNTIFS(Trips!$A$6:$A$105,D431)=1,INDEX(Trips!$C$6:$C$105,MATCH(D431,Trips!$A$6:$A$105,0)),""))</x:f>
      </x:c>
      <x:c r="B431" s="90" t="str">
        <x:f>IF(D431="","",IF(COUNTIFS(Trips!$A$6:$A$105,D431)=1,INDEX(Trips!$B$6:$B$105,MATCH(D431,Trips!$A$6:$A$105,0)),""))</x:f>
      </x:c>
      <x:c r="C431" s="90" t="str">
        <x:f>IF(D431="","",IF(COUNTIFS(Trips!$A$6:$A$105,D431)=1,INDEX(Trips!$D$6:$D$105,MATCH(D431,Trips!$A$6:$A$105,0)),""))</x:f>
      </x:c>
      <x:c r="D431" s="107"/>
      <x:c r="E431" s="107"/>
      <x:c r="F431" s="90" t="str">
        <x:f>IF(E431="","",IF(COUNTIFS(Counters!$A$6:$A$105,E431)=1,INDEX(Counters!$B$6:$B$105,MATCH(E431,Counters!$A$6:$A$105,0)),""))</x:f>
      </x:c>
      <x:c r="G431" s="107"/>
      <x:c r="H431" s="98" t="str">
        <x:f>IF(C431="","",IF(COUNTIFS('Route List'!$F$6:$F$205,C431)=1,IF(COUNTIFS('Route List'!$F$6:$F$205,C431,'Route List'!$G$6:$G$205,"&lt;&gt;")=1,INDEX('Route List'!$G$6:$G$205,MATCH(C431,'Route List'!$F$6:$F$205,0)),"Enter route fare"),"Enter route fare"))</x:f>
      </x:c>
      <x:c r="I431" s="98" t="str">
        <x:f>IF(F431="","",IF(F431="Own",0,50))</x:f>
      </x:c>
      <x:c r="J431" s="98" t="str">
        <x:f>IF(OR(D431="",E431=""),"",IF(AND(ISNUMBER(G431),ISNUMBER(H431)),ROUND(G431*H431,2),""))</x:f>
      </x:c>
      <x:c r="K431" s="98" t="str">
        <x:f>IF(OR(D431="",E431=""),"",IF(AND(ISNUMBER(G431),ISNUMBER(I431)),ROUND(G431*I431,2),""))</x:f>
      </x:c>
      <x:c r="L431" s="98" t="str">
        <x:f>IF(OR(D431="",E431=""),"",IF(AND(ISNUMBER(J431),ISNUMBER(K431)),J431-K431,""))</x:f>
      </x:c>
      <x:c r="M431" s="114"/>
      <x:c r="N431" s="98" t="str">
        <x:f>IF(OR(D431="",E431=""),"",IF(COUNTIFS($D$6:D431,D431,$E$6:E431,E431)=1,MAX(SUMIFS($L$6:$L$505,$D$6:$D$505,D431,$E$6:$E$505,E431)-SUMIFS($M$6:$M$505,$D$6:$D$505,D431,$E$6:$E$505,E431),0),""))</x:f>
      </x:c>
    </x:row>
    <x:row r="432" ht="28" customHeight="1">
      <x:c r="A432" s="113" t="str">
        <x:f>IF(D432="","",IF(COUNTIFS(Trips!$A$6:$A$105,D432)=1,INDEX(Trips!$C$6:$C$105,MATCH(D432,Trips!$A$6:$A$105,0)),""))</x:f>
      </x:c>
      <x:c r="B432" s="90" t="str">
        <x:f>IF(D432="","",IF(COUNTIFS(Trips!$A$6:$A$105,D432)=1,INDEX(Trips!$B$6:$B$105,MATCH(D432,Trips!$A$6:$A$105,0)),""))</x:f>
      </x:c>
      <x:c r="C432" s="90" t="str">
        <x:f>IF(D432="","",IF(COUNTIFS(Trips!$A$6:$A$105,D432)=1,INDEX(Trips!$D$6:$D$105,MATCH(D432,Trips!$A$6:$A$105,0)),""))</x:f>
      </x:c>
      <x:c r="D432" s="107"/>
      <x:c r="E432" s="107"/>
      <x:c r="F432" s="90" t="str">
        <x:f>IF(E432="","",IF(COUNTIFS(Counters!$A$6:$A$105,E432)=1,INDEX(Counters!$B$6:$B$105,MATCH(E432,Counters!$A$6:$A$105,0)),""))</x:f>
      </x:c>
      <x:c r="G432" s="107"/>
      <x:c r="H432" s="98" t="str">
        <x:f>IF(C432="","",IF(COUNTIFS('Route List'!$F$6:$F$205,C432)=1,IF(COUNTIFS('Route List'!$F$6:$F$205,C432,'Route List'!$G$6:$G$205,"&lt;&gt;")=1,INDEX('Route List'!$G$6:$G$205,MATCH(C432,'Route List'!$F$6:$F$205,0)),"Enter route fare"),"Enter route fare"))</x:f>
      </x:c>
      <x:c r="I432" s="98" t="str">
        <x:f>IF(F432="","",IF(F432="Own",0,50))</x:f>
      </x:c>
      <x:c r="J432" s="98" t="str">
        <x:f>IF(OR(D432="",E432=""),"",IF(AND(ISNUMBER(G432),ISNUMBER(H432)),ROUND(G432*H432,2),""))</x:f>
      </x:c>
      <x:c r="K432" s="98" t="str">
        <x:f>IF(OR(D432="",E432=""),"",IF(AND(ISNUMBER(G432),ISNUMBER(I432)),ROUND(G432*I432,2),""))</x:f>
      </x:c>
      <x:c r="L432" s="98" t="str">
        <x:f>IF(OR(D432="",E432=""),"",IF(AND(ISNUMBER(J432),ISNUMBER(K432)),J432-K432,""))</x:f>
      </x:c>
      <x:c r="M432" s="114"/>
      <x:c r="N432" s="98" t="str">
        <x:f>IF(OR(D432="",E432=""),"",IF(COUNTIFS($D$6:D432,D432,$E$6:E432,E432)=1,MAX(SUMIFS($L$6:$L$505,$D$6:$D$505,D432,$E$6:$E$505,E432)-SUMIFS($M$6:$M$505,$D$6:$D$505,D432,$E$6:$E$505,E432),0),""))</x:f>
      </x:c>
    </x:row>
    <x:row r="433" ht="28" customHeight="1">
      <x:c r="A433" s="113" t="str">
        <x:f>IF(D433="","",IF(COUNTIFS(Trips!$A$6:$A$105,D433)=1,INDEX(Trips!$C$6:$C$105,MATCH(D433,Trips!$A$6:$A$105,0)),""))</x:f>
      </x:c>
      <x:c r="B433" s="90" t="str">
        <x:f>IF(D433="","",IF(COUNTIFS(Trips!$A$6:$A$105,D433)=1,INDEX(Trips!$B$6:$B$105,MATCH(D433,Trips!$A$6:$A$105,0)),""))</x:f>
      </x:c>
      <x:c r="C433" s="90" t="str">
        <x:f>IF(D433="","",IF(COUNTIFS(Trips!$A$6:$A$105,D433)=1,INDEX(Trips!$D$6:$D$105,MATCH(D433,Trips!$A$6:$A$105,0)),""))</x:f>
      </x:c>
      <x:c r="D433" s="107"/>
      <x:c r="E433" s="107"/>
      <x:c r="F433" s="90" t="str">
        <x:f>IF(E433="","",IF(COUNTIFS(Counters!$A$6:$A$105,E433)=1,INDEX(Counters!$B$6:$B$105,MATCH(E433,Counters!$A$6:$A$105,0)),""))</x:f>
      </x:c>
      <x:c r="G433" s="107"/>
      <x:c r="H433" s="98" t="str">
        <x:f>IF(C433="","",IF(COUNTIFS('Route List'!$F$6:$F$205,C433)=1,IF(COUNTIFS('Route List'!$F$6:$F$205,C433,'Route List'!$G$6:$G$205,"&lt;&gt;")=1,INDEX('Route List'!$G$6:$G$205,MATCH(C433,'Route List'!$F$6:$F$205,0)),"Enter route fare"),"Enter route fare"))</x:f>
      </x:c>
      <x:c r="I433" s="98" t="str">
        <x:f>IF(F433="","",IF(F433="Own",0,50))</x:f>
      </x:c>
      <x:c r="J433" s="98" t="str">
        <x:f>IF(OR(D433="",E433=""),"",IF(AND(ISNUMBER(G433),ISNUMBER(H433)),ROUND(G433*H433,2),""))</x:f>
      </x:c>
      <x:c r="K433" s="98" t="str">
        <x:f>IF(OR(D433="",E433=""),"",IF(AND(ISNUMBER(G433),ISNUMBER(I433)),ROUND(G433*I433,2),""))</x:f>
      </x:c>
      <x:c r="L433" s="98" t="str">
        <x:f>IF(OR(D433="",E433=""),"",IF(AND(ISNUMBER(J433),ISNUMBER(K433)),J433-K433,""))</x:f>
      </x:c>
      <x:c r="M433" s="114"/>
      <x:c r="N433" s="98" t="str">
        <x:f>IF(OR(D433="",E433=""),"",IF(COUNTIFS($D$6:D433,D433,$E$6:E433,E433)=1,MAX(SUMIFS($L$6:$L$505,$D$6:$D$505,D433,$E$6:$E$505,E433)-SUMIFS($M$6:$M$505,$D$6:$D$505,D433,$E$6:$E$505,E433),0),""))</x:f>
      </x:c>
    </x:row>
    <x:row r="434" ht="28" customHeight="1">
      <x:c r="A434" s="113" t="str">
        <x:f>IF(D434="","",IF(COUNTIFS(Trips!$A$6:$A$105,D434)=1,INDEX(Trips!$C$6:$C$105,MATCH(D434,Trips!$A$6:$A$105,0)),""))</x:f>
      </x:c>
      <x:c r="B434" s="90" t="str">
        <x:f>IF(D434="","",IF(COUNTIFS(Trips!$A$6:$A$105,D434)=1,INDEX(Trips!$B$6:$B$105,MATCH(D434,Trips!$A$6:$A$105,0)),""))</x:f>
      </x:c>
      <x:c r="C434" s="90" t="str">
        <x:f>IF(D434="","",IF(COUNTIFS(Trips!$A$6:$A$105,D434)=1,INDEX(Trips!$D$6:$D$105,MATCH(D434,Trips!$A$6:$A$105,0)),""))</x:f>
      </x:c>
      <x:c r="D434" s="107"/>
      <x:c r="E434" s="107"/>
      <x:c r="F434" s="90" t="str">
        <x:f>IF(E434="","",IF(COUNTIFS(Counters!$A$6:$A$105,E434)=1,INDEX(Counters!$B$6:$B$105,MATCH(E434,Counters!$A$6:$A$105,0)),""))</x:f>
      </x:c>
      <x:c r="G434" s="107"/>
      <x:c r="H434" s="98" t="str">
        <x:f>IF(C434="","",IF(COUNTIFS('Route List'!$F$6:$F$205,C434)=1,IF(COUNTIFS('Route List'!$F$6:$F$205,C434,'Route List'!$G$6:$G$205,"&lt;&gt;")=1,INDEX('Route List'!$G$6:$G$205,MATCH(C434,'Route List'!$F$6:$F$205,0)),"Enter route fare"),"Enter route fare"))</x:f>
      </x:c>
      <x:c r="I434" s="98" t="str">
        <x:f>IF(F434="","",IF(F434="Own",0,50))</x:f>
      </x:c>
      <x:c r="J434" s="98" t="str">
        <x:f>IF(OR(D434="",E434=""),"",IF(AND(ISNUMBER(G434),ISNUMBER(H434)),ROUND(G434*H434,2),""))</x:f>
      </x:c>
      <x:c r="K434" s="98" t="str">
        <x:f>IF(OR(D434="",E434=""),"",IF(AND(ISNUMBER(G434),ISNUMBER(I434)),ROUND(G434*I434,2),""))</x:f>
      </x:c>
      <x:c r="L434" s="98" t="str">
        <x:f>IF(OR(D434="",E434=""),"",IF(AND(ISNUMBER(J434),ISNUMBER(K434)),J434-K434,""))</x:f>
      </x:c>
      <x:c r="M434" s="114"/>
      <x:c r="N434" s="98" t="str">
        <x:f>IF(OR(D434="",E434=""),"",IF(COUNTIFS($D$6:D434,D434,$E$6:E434,E434)=1,MAX(SUMIFS($L$6:$L$505,$D$6:$D$505,D434,$E$6:$E$505,E434)-SUMIFS($M$6:$M$505,$D$6:$D$505,D434,$E$6:$E$505,E434),0),""))</x:f>
      </x:c>
    </x:row>
    <x:row r="435" ht="28" customHeight="1">
      <x:c r="A435" s="113" t="str">
        <x:f>IF(D435="","",IF(COUNTIFS(Trips!$A$6:$A$105,D435)=1,INDEX(Trips!$C$6:$C$105,MATCH(D435,Trips!$A$6:$A$105,0)),""))</x:f>
      </x:c>
      <x:c r="B435" s="90" t="str">
        <x:f>IF(D435="","",IF(COUNTIFS(Trips!$A$6:$A$105,D435)=1,INDEX(Trips!$B$6:$B$105,MATCH(D435,Trips!$A$6:$A$105,0)),""))</x:f>
      </x:c>
      <x:c r="C435" s="90" t="str">
        <x:f>IF(D435="","",IF(COUNTIFS(Trips!$A$6:$A$105,D435)=1,INDEX(Trips!$D$6:$D$105,MATCH(D435,Trips!$A$6:$A$105,0)),""))</x:f>
      </x:c>
      <x:c r="D435" s="107"/>
      <x:c r="E435" s="107"/>
      <x:c r="F435" s="90" t="str">
        <x:f>IF(E435="","",IF(COUNTIFS(Counters!$A$6:$A$105,E435)=1,INDEX(Counters!$B$6:$B$105,MATCH(E435,Counters!$A$6:$A$105,0)),""))</x:f>
      </x:c>
      <x:c r="G435" s="107"/>
      <x:c r="H435" s="98" t="str">
        <x:f>IF(C435="","",IF(COUNTIFS('Route List'!$F$6:$F$205,C435)=1,IF(COUNTIFS('Route List'!$F$6:$F$205,C435,'Route List'!$G$6:$G$205,"&lt;&gt;")=1,INDEX('Route List'!$G$6:$G$205,MATCH(C435,'Route List'!$F$6:$F$205,0)),"Enter route fare"),"Enter route fare"))</x:f>
      </x:c>
      <x:c r="I435" s="98" t="str">
        <x:f>IF(F435="","",IF(F435="Own",0,50))</x:f>
      </x:c>
      <x:c r="J435" s="98" t="str">
        <x:f>IF(OR(D435="",E435=""),"",IF(AND(ISNUMBER(G435),ISNUMBER(H435)),ROUND(G435*H435,2),""))</x:f>
      </x:c>
      <x:c r="K435" s="98" t="str">
        <x:f>IF(OR(D435="",E435=""),"",IF(AND(ISNUMBER(G435),ISNUMBER(I435)),ROUND(G435*I435,2),""))</x:f>
      </x:c>
      <x:c r="L435" s="98" t="str">
        <x:f>IF(OR(D435="",E435=""),"",IF(AND(ISNUMBER(J435),ISNUMBER(K435)),J435-K435,""))</x:f>
      </x:c>
      <x:c r="M435" s="114"/>
      <x:c r="N435" s="98" t="str">
        <x:f>IF(OR(D435="",E435=""),"",IF(COUNTIFS($D$6:D435,D435,$E$6:E435,E435)=1,MAX(SUMIFS($L$6:$L$505,$D$6:$D$505,D435,$E$6:$E$505,E435)-SUMIFS($M$6:$M$505,$D$6:$D$505,D435,$E$6:$E$505,E435),0),""))</x:f>
      </x:c>
    </x:row>
    <x:row r="436" ht="28" customHeight="1">
      <x:c r="A436" s="113" t="str">
        <x:f>IF(D436="","",IF(COUNTIFS(Trips!$A$6:$A$105,D436)=1,INDEX(Trips!$C$6:$C$105,MATCH(D436,Trips!$A$6:$A$105,0)),""))</x:f>
      </x:c>
      <x:c r="B436" s="90" t="str">
        <x:f>IF(D436="","",IF(COUNTIFS(Trips!$A$6:$A$105,D436)=1,INDEX(Trips!$B$6:$B$105,MATCH(D436,Trips!$A$6:$A$105,0)),""))</x:f>
      </x:c>
      <x:c r="C436" s="90" t="str">
        <x:f>IF(D436="","",IF(COUNTIFS(Trips!$A$6:$A$105,D436)=1,INDEX(Trips!$D$6:$D$105,MATCH(D436,Trips!$A$6:$A$105,0)),""))</x:f>
      </x:c>
      <x:c r="D436" s="107"/>
      <x:c r="E436" s="107"/>
      <x:c r="F436" s="90" t="str">
        <x:f>IF(E436="","",IF(COUNTIFS(Counters!$A$6:$A$105,E436)=1,INDEX(Counters!$B$6:$B$105,MATCH(E436,Counters!$A$6:$A$105,0)),""))</x:f>
      </x:c>
      <x:c r="G436" s="107"/>
      <x:c r="H436" s="98" t="str">
        <x:f>IF(C436="","",IF(COUNTIFS('Route List'!$F$6:$F$205,C436)=1,IF(COUNTIFS('Route List'!$F$6:$F$205,C436,'Route List'!$G$6:$G$205,"&lt;&gt;")=1,INDEX('Route List'!$G$6:$G$205,MATCH(C436,'Route List'!$F$6:$F$205,0)),"Enter route fare"),"Enter route fare"))</x:f>
      </x:c>
      <x:c r="I436" s="98" t="str">
        <x:f>IF(F436="","",IF(F436="Own",0,50))</x:f>
      </x:c>
      <x:c r="J436" s="98" t="str">
        <x:f>IF(OR(D436="",E436=""),"",IF(AND(ISNUMBER(G436),ISNUMBER(H436)),ROUND(G436*H436,2),""))</x:f>
      </x:c>
      <x:c r="K436" s="98" t="str">
        <x:f>IF(OR(D436="",E436=""),"",IF(AND(ISNUMBER(G436),ISNUMBER(I436)),ROUND(G436*I436,2),""))</x:f>
      </x:c>
      <x:c r="L436" s="98" t="str">
        <x:f>IF(OR(D436="",E436=""),"",IF(AND(ISNUMBER(J436),ISNUMBER(K436)),J436-K436,""))</x:f>
      </x:c>
      <x:c r="M436" s="114"/>
      <x:c r="N436" s="98" t="str">
        <x:f>IF(OR(D436="",E436=""),"",IF(COUNTIFS($D$6:D436,D436,$E$6:E436,E436)=1,MAX(SUMIFS($L$6:$L$505,$D$6:$D$505,D436,$E$6:$E$505,E436)-SUMIFS($M$6:$M$505,$D$6:$D$505,D436,$E$6:$E$505,E436),0),""))</x:f>
      </x:c>
    </x:row>
    <x:row r="437" ht="28" customHeight="1">
      <x:c r="A437" s="113" t="str">
        <x:f>IF(D437="","",IF(COUNTIFS(Trips!$A$6:$A$105,D437)=1,INDEX(Trips!$C$6:$C$105,MATCH(D437,Trips!$A$6:$A$105,0)),""))</x:f>
      </x:c>
      <x:c r="B437" s="90" t="str">
        <x:f>IF(D437="","",IF(COUNTIFS(Trips!$A$6:$A$105,D437)=1,INDEX(Trips!$B$6:$B$105,MATCH(D437,Trips!$A$6:$A$105,0)),""))</x:f>
      </x:c>
      <x:c r="C437" s="90" t="str">
        <x:f>IF(D437="","",IF(COUNTIFS(Trips!$A$6:$A$105,D437)=1,INDEX(Trips!$D$6:$D$105,MATCH(D437,Trips!$A$6:$A$105,0)),""))</x:f>
      </x:c>
      <x:c r="D437" s="107"/>
      <x:c r="E437" s="107"/>
      <x:c r="F437" s="90" t="str">
        <x:f>IF(E437="","",IF(COUNTIFS(Counters!$A$6:$A$105,E437)=1,INDEX(Counters!$B$6:$B$105,MATCH(E437,Counters!$A$6:$A$105,0)),""))</x:f>
      </x:c>
      <x:c r="G437" s="107"/>
      <x:c r="H437" s="98" t="str">
        <x:f>IF(C437="","",IF(COUNTIFS('Route List'!$F$6:$F$205,C437)=1,IF(COUNTIFS('Route List'!$F$6:$F$205,C437,'Route List'!$G$6:$G$205,"&lt;&gt;")=1,INDEX('Route List'!$G$6:$G$205,MATCH(C437,'Route List'!$F$6:$F$205,0)),"Enter route fare"),"Enter route fare"))</x:f>
      </x:c>
      <x:c r="I437" s="98" t="str">
        <x:f>IF(F437="","",IF(F437="Own",0,50))</x:f>
      </x:c>
      <x:c r="J437" s="98" t="str">
        <x:f>IF(OR(D437="",E437=""),"",IF(AND(ISNUMBER(G437),ISNUMBER(H437)),ROUND(G437*H437,2),""))</x:f>
      </x:c>
      <x:c r="K437" s="98" t="str">
        <x:f>IF(OR(D437="",E437=""),"",IF(AND(ISNUMBER(G437),ISNUMBER(I437)),ROUND(G437*I437,2),""))</x:f>
      </x:c>
      <x:c r="L437" s="98" t="str">
        <x:f>IF(OR(D437="",E437=""),"",IF(AND(ISNUMBER(J437),ISNUMBER(K437)),J437-K437,""))</x:f>
      </x:c>
      <x:c r="M437" s="114"/>
      <x:c r="N437" s="98" t="str">
        <x:f>IF(OR(D437="",E437=""),"",IF(COUNTIFS($D$6:D437,D437,$E$6:E437,E437)=1,MAX(SUMIFS($L$6:$L$505,$D$6:$D$505,D437,$E$6:$E$505,E437)-SUMIFS($M$6:$M$505,$D$6:$D$505,D437,$E$6:$E$505,E437),0),""))</x:f>
      </x:c>
    </x:row>
    <x:row r="438" ht="28" customHeight="1">
      <x:c r="A438" s="113" t="str">
        <x:f>IF(D438="","",IF(COUNTIFS(Trips!$A$6:$A$105,D438)=1,INDEX(Trips!$C$6:$C$105,MATCH(D438,Trips!$A$6:$A$105,0)),""))</x:f>
      </x:c>
      <x:c r="B438" s="90" t="str">
        <x:f>IF(D438="","",IF(COUNTIFS(Trips!$A$6:$A$105,D438)=1,INDEX(Trips!$B$6:$B$105,MATCH(D438,Trips!$A$6:$A$105,0)),""))</x:f>
      </x:c>
      <x:c r="C438" s="90" t="str">
        <x:f>IF(D438="","",IF(COUNTIFS(Trips!$A$6:$A$105,D438)=1,INDEX(Trips!$D$6:$D$105,MATCH(D438,Trips!$A$6:$A$105,0)),""))</x:f>
      </x:c>
      <x:c r="D438" s="107"/>
      <x:c r="E438" s="107"/>
      <x:c r="F438" s="90" t="str">
        <x:f>IF(E438="","",IF(COUNTIFS(Counters!$A$6:$A$105,E438)=1,INDEX(Counters!$B$6:$B$105,MATCH(E438,Counters!$A$6:$A$105,0)),""))</x:f>
      </x:c>
      <x:c r="G438" s="107"/>
      <x:c r="H438" s="98" t="str">
        <x:f>IF(C438="","",IF(COUNTIFS('Route List'!$F$6:$F$205,C438)=1,IF(COUNTIFS('Route List'!$F$6:$F$205,C438,'Route List'!$G$6:$G$205,"&lt;&gt;")=1,INDEX('Route List'!$G$6:$G$205,MATCH(C438,'Route List'!$F$6:$F$205,0)),"Enter route fare"),"Enter route fare"))</x:f>
      </x:c>
      <x:c r="I438" s="98" t="str">
        <x:f>IF(F438="","",IF(F438="Own",0,50))</x:f>
      </x:c>
      <x:c r="J438" s="98" t="str">
        <x:f>IF(OR(D438="",E438=""),"",IF(AND(ISNUMBER(G438),ISNUMBER(H438)),ROUND(G438*H438,2),""))</x:f>
      </x:c>
      <x:c r="K438" s="98" t="str">
        <x:f>IF(OR(D438="",E438=""),"",IF(AND(ISNUMBER(G438),ISNUMBER(I438)),ROUND(G438*I438,2),""))</x:f>
      </x:c>
      <x:c r="L438" s="98" t="str">
        <x:f>IF(OR(D438="",E438=""),"",IF(AND(ISNUMBER(J438),ISNUMBER(K438)),J438-K438,""))</x:f>
      </x:c>
      <x:c r="M438" s="114"/>
      <x:c r="N438" s="98" t="str">
        <x:f>IF(OR(D438="",E438=""),"",IF(COUNTIFS($D$6:D438,D438,$E$6:E438,E438)=1,MAX(SUMIFS($L$6:$L$505,$D$6:$D$505,D438,$E$6:$E$505,E438)-SUMIFS($M$6:$M$505,$D$6:$D$505,D438,$E$6:$E$505,E438),0),""))</x:f>
      </x:c>
    </x:row>
    <x:row r="439" ht="28" customHeight="1">
      <x:c r="A439" s="113" t="str">
        <x:f>IF(D439="","",IF(COUNTIFS(Trips!$A$6:$A$105,D439)=1,INDEX(Trips!$C$6:$C$105,MATCH(D439,Trips!$A$6:$A$105,0)),""))</x:f>
      </x:c>
      <x:c r="B439" s="90" t="str">
        <x:f>IF(D439="","",IF(COUNTIFS(Trips!$A$6:$A$105,D439)=1,INDEX(Trips!$B$6:$B$105,MATCH(D439,Trips!$A$6:$A$105,0)),""))</x:f>
      </x:c>
      <x:c r="C439" s="90" t="str">
        <x:f>IF(D439="","",IF(COUNTIFS(Trips!$A$6:$A$105,D439)=1,INDEX(Trips!$D$6:$D$105,MATCH(D439,Trips!$A$6:$A$105,0)),""))</x:f>
      </x:c>
      <x:c r="D439" s="107"/>
      <x:c r="E439" s="107"/>
      <x:c r="F439" s="90" t="str">
        <x:f>IF(E439="","",IF(COUNTIFS(Counters!$A$6:$A$105,E439)=1,INDEX(Counters!$B$6:$B$105,MATCH(E439,Counters!$A$6:$A$105,0)),""))</x:f>
      </x:c>
      <x:c r="G439" s="107"/>
      <x:c r="H439" s="98" t="str">
        <x:f>IF(C439="","",IF(COUNTIFS('Route List'!$F$6:$F$205,C439)=1,IF(COUNTIFS('Route List'!$F$6:$F$205,C439,'Route List'!$G$6:$G$205,"&lt;&gt;")=1,INDEX('Route List'!$G$6:$G$205,MATCH(C439,'Route List'!$F$6:$F$205,0)),"Enter route fare"),"Enter route fare"))</x:f>
      </x:c>
      <x:c r="I439" s="98" t="str">
        <x:f>IF(F439="","",IF(F439="Own",0,50))</x:f>
      </x:c>
      <x:c r="J439" s="98" t="str">
        <x:f>IF(OR(D439="",E439=""),"",IF(AND(ISNUMBER(G439),ISNUMBER(H439)),ROUND(G439*H439,2),""))</x:f>
      </x:c>
      <x:c r="K439" s="98" t="str">
        <x:f>IF(OR(D439="",E439=""),"",IF(AND(ISNUMBER(G439),ISNUMBER(I439)),ROUND(G439*I439,2),""))</x:f>
      </x:c>
      <x:c r="L439" s="98" t="str">
        <x:f>IF(OR(D439="",E439=""),"",IF(AND(ISNUMBER(J439),ISNUMBER(K439)),J439-K439,""))</x:f>
      </x:c>
      <x:c r="M439" s="114"/>
      <x:c r="N439" s="98" t="str">
        <x:f>IF(OR(D439="",E439=""),"",IF(COUNTIFS($D$6:D439,D439,$E$6:E439,E439)=1,MAX(SUMIFS($L$6:$L$505,$D$6:$D$505,D439,$E$6:$E$505,E439)-SUMIFS($M$6:$M$505,$D$6:$D$505,D439,$E$6:$E$505,E439),0),""))</x:f>
      </x:c>
    </x:row>
    <x:row r="440" ht="28" customHeight="1">
      <x:c r="A440" s="113" t="str">
        <x:f>IF(D440="","",IF(COUNTIFS(Trips!$A$6:$A$105,D440)=1,INDEX(Trips!$C$6:$C$105,MATCH(D440,Trips!$A$6:$A$105,0)),""))</x:f>
      </x:c>
      <x:c r="B440" s="90" t="str">
        <x:f>IF(D440="","",IF(COUNTIFS(Trips!$A$6:$A$105,D440)=1,INDEX(Trips!$B$6:$B$105,MATCH(D440,Trips!$A$6:$A$105,0)),""))</x:f>
      </x:c>
      <x:c r="C440" s="90" t="str">
        <x:f>IF(D440="","",IF(COUNTIFS(Trips!$A$6:$A$105,D440)=1,INDEX(Trips!$D$6:$D$105,MATCH(D440,Trips!$A$6:$A$105,0)),""))</x:f>
      </x:c>
      <x:c r="D440" s="107"/>
      <x:c r="E440" s="107"/>
      <x:c r="F440" s="90" t="str">
        <x:f>IF(E440="","",IF(COUNTIFS(Counters!$A$6:$A$105,E440)=1,INDEX(Counters!$B$6:$B$105,MATCH(E440,Counters!$A$6:$A$105,0)),""))</x:f>
      </x:c>
      <x:c r="G440" s="107"/>
      <x:c r="H440" s="98" t="str">
        <x:f>IF(C440="","",IF(COUNTIFS('Route List'!$F$6:$F$205,C440)=1,IF(COUNTIFS('Route List'!$F$6:$F$205,C440,'Route List'!$G$6:$G$205,"&lt;&gt;")=1,INDEX('Route List'!$G$6:$G$205,MATCH(C440,'Route List'!$F$6:$F$205,0)),"Enter route fare"),"Enter route fare"))</x:f>
      </x:c>
      <x:c r="I440" s="98" t="str">
        <x:f>IF(F440="","",IF(F440="Own",0,50))</x:f>
      </x:c>
      <x:c r="J440" s="98" t="str">
        <x:f>IF(OR(D440="",E440=""),"",IF(AND(ISNUMBER(G440),ISNUMBER(H440)),ROUND(G440*H440,2),""))</x:f>
      </x:c>
      <x:c r="K440" s="98" t="str">
        <x:f>IF(OR(D440="",E440=""),"",IF(AND(ISNUMBER(G440),ISNUMBER(I440)),ROUND(G440*I440,2),""))</x:f>
      </x:c>
      <x:c r="L440" s="98" t="str">
        <x:f>IF(OR(D440="",E440=""),"",IF(AND(ISNUMBER(J440),ISNUMBER(K440)),J440-K440,""))</x:f>
      </x:c>
      <x:c r="M440" s="114"/>
      <x:c r="N440" s="98" t="str">
        <x:f>IF(OR(D440="",E440=""),"",IF(COUNTIFS($D$6:D440,D440,$E$6:E440,E440)=1,MAX(SUMIFS($L$6:$L$505,$D$6:$D$505,D440,$E$6:$E$505,E440)-SUMIFS($M$6:$M$505,$D$6:$D$505,D440,$E$6:$E$505,E440),0),""))</x:f>
      </x:c>
    </x:row>
    <x:row r="441" ht="28" customHeight="1">
      <x:c r="A441" s="113" t="str">
        <x:f>IF(D441="","",IF(COUNTIFS(Trips!$A$6:$A$105,D441)=1,INDEX(Trips!$C$6:$C$105,MATCH(D441,Trips!$A$6:$A$105,0)),""))</x:f>
      </x:c>
      <x:c r="B441" s="90" t="str">
        <x:f>IF(D441="","",IF(COUNTIFS(Trips!$A$6:$A$105,D441)=1,INDEX(Trips!$B$6:$B$105,MATCH(D441,Trips!$A$6:$A$105,0)),""))</x:f>
      </x:c>
      <x:c r="C441" s="90" t="str">
        <x:f>IF(D441="","",IF(COUNTIFS(Trips!$A$6:$A$105,D441)=1,INDEX(Trips!$D$6:$D$105,MATCH(D441,Trips!$A$6:$A$105,0)),""))</x:f>
      </x:c>
      <x:c r="D441" s="107"/>
      <x:c r="E441" s="107"/>
      <x:c r="F441" s="90" t="str">
        <x:f>IF(E441="","",IF(COUNTIFS(Counters!$A$6:$A$105,E441)=1,INDEX(Counters!$B$6:$B$105,MATCH(E441,Counters!$A$6:$A$105,0)),""))</x:f>
      </x:c>
      <x:c r="G441" s="107"/>
      <x:c r="H441" s="98" t="str">
        <x:f>IF(C441="","",IF(COUNTIFS('Route List'!$F$6:$F$205,C441)=1,IF(COUNTIFS('Route List'!$F$6:$F$205,C441,'Route List'!$G$6:$G$205,"&lt;&gt;")=1,INDEX('Route List'!$G$6:$G$205,MATCH(C441,'Route List'!$F$6:$F$205,0)),"Enter route fare"),"Enter route fare"))</x:f>
      </x:c>
      <x:c r="I441" s="98" t="str">
        <x:f>IF(F441="","",IF(F441="Own",0,50))</x:f>
      </x:c>
      <x:c r="J441" s="98" t="str">
        <x:f>IF(OR(D441="",E441=""),"",IF(AND(ISNUMBER(G441),ISNUMBER(H441)),ROUND(G441*H441,2),""))</x:f>
      </x:c>
      <x:c r="K441" s="98" t="str">
        <x:f>IF(OR(D441="",E441=""),"",IF(AND(ISNUMBER(G441),ISNUMBER(I441)),ROUND(G441*I441,2),""))</x:f>
      </x:c>
      <x:c r="L441" s="98" t="str">
        <x:f>IF(OR(D441="",E441=""),"",IF(AND(ISNUMBER(J441),ISNUMBER(K441)),J441-K441,""))</x:f>
      </x:c>
      <x:c r="M441" s="114"/>
      <x:c r="N441" s="98" t="str">
        <x:f>IF(OR(D441="",E441=""),"",IF(COUNTIFS($D$6:D441,D441,$E$6:E441,E441)=1,MAX(SUMIFS($L$6:$L$505,$D$6:$D$505,D441,$E$6:$E$505,E441)-SUMIFS($M$6:$M$505,$D$6:$D$505,D441,$E$6:$E$505,E441),0),""))</x:f>
      </x:c>
    </x:row>
    <x:row r="442" ht="28" customHeight="1">
      <x:c r="A442" s="113" t="str">
        <x:f>IF(D442="","",IF(COUNTIFS(Trips!$A$6:$A$105,D442)=1,INDEX(Trips!$C$6:$C$105,MATCH(D442,Trips!$A$6:$A$105,0)),""))</x:f>
      </x:c>
      <x:c r="B442" s="90" t="str">
        <x:f>IF(D442="","",IF(COUNTIFS(Trips!$A$6:$A$105,D442)=1,INDEX(Trips!$B$6:$B$105,MATCH(D442,Trips!$A$6:$A$105,0)),""))</x:f>
      </x:c>
      <x:c r="C442" s="90" t="str">
        <x:f>IF(D442="","",IF(COUNTIFS(Trips!$A$6:$A$105,D442)=1,INDEX(Trips!$D$6:$D$105,MATCH(D442,Trips!$A$6:$A$105,0)),""))</x:f>
      </x:c>
      <x:c r="D442" s="107"/>
      <x:c r="E442" s="107"/>
      <x:c r="F442" s="90" t="str">
        <x:f>IF(E442="","",IF(COUNTIFS(Counters!$A$6:$A$105,E442)=1,INDEX(Counters!$B$6:$B$105,MATCH(E442,Counters!$A$6:$A$105,0)),""))</x:f>
      </x:c>
      <x:c r="G442" s="107"/>
      <x:c r="H442" s="98" t="str">
        <x:f>IF(C442="","",IF(COUNTIFS('Route List'!$F$6:$F$205,C442)=1,IF(COUNTIFS('Route List'!$F$6:$F$205,C442,'Route List'!$G$6:$G$205,"&lt;&gt;")=1,INDEX('Route List'!$G$6:$G$205,MATCH(C442,'Route List'!$F$6:$F$205,0)),"Enter route fare"),"Enter route fare"))</x:f>
      </x:c>
      <x:c r="I442" s="98" t="str">
        <x:f>IF(F442="","",IF(F442="Own",0,50))</x:f>
      </x:c>
      <x:c r="J442" s="98" t="str">
        <x:f>IF(OR(D442="",E442=""),"",IF(AND(ISNUMBER(G442),ISNUMBER(H442)),ROUND(G442*H442,2),""))</x:f>
      </x:c>
      <x:c r="K442" s="98" t="str">
        <x:f>IF(OR(D442="",E442=""),"",IF(AND(ISNUMBER(G442),ISNUMBER(I442)),ROUND(G442*I442,2),""))</x:f>
      </x:c>
      <x:c r="L442" s="98" t="str">
        <x:f>IF(OR(D442="",E442=""),"",IF(AND(ISNUMBER(J442),ISNUMBER(K442)),J442-K442,""))</x:f>
      </x:c>
      <x:c r="M442" s="114"/>
      <x:c r="N442" s="98" t="str">
        <x:f>IF(OR(D442="",E442=""),"",IF(COUNTIFS($D$6:D442,D442,$E$6:E442,E442)=1,MAX(SUMIFS($L$6:$L$505,$D$6:$D$505,D442,$E$6:$E$505,E442)-SUMIFS($M$6:$M$505,$D$6:$D$505,D442,$E$6:$E$505,E442),0),""))</x:f>
      </x:c>
    </x:row>
    <x:row r="443" ht="28" customHeight="1">
      <x:c r="A443" s="113" t="str">
        <x:f>IF(D443="","",IF(COUNTIFS(Trips!$A$6:$A$105,D443)=1,INDEX(Trips!$C$6:$C$105,MATCH(D443,Trips!$A$6:$A$105,0)),""))</x:f>
      </x:c>
      <x:c r="B443" s="90" t="str">
        <x:f>IF(D443="","",IF(COUNTIFS(Trips!$A$6:$A$105,D443)=1,INDEX(Trips!$B$6:$B$105,MATCH(D443,Trips!$A$6:$A$105,0)),""))</x:f>
      </x:c>
      <x:c r="C443" s="90" t="str">
        <x:f>IF(D443="","",IF(COUNTIFS(Trips!$A$6:$A$105,D443)=1,INDEX(Trips!$D$6:$D$105,MATCH(D443,Trips!$A$6:$A$105,0)),""))</x:f>
      </x:c>
      <x:c r="D443" s="107"/>
      <x:c r="E443" s="107"/>
      <x:c r="F443" s="90" t="str">
        <x:f>IF(E443="","",IF(COUNTIFS(Counters!$A$6:$A$105,E443)=1,INDEX(Counters!$B$6:$B$105,MATCH(E443,Counters!$A$6:$A$105,0)),""))</x:f>
      </x:c>
      <x:c r="G443" s="107"/>
      <x:c r="H443" s="98" t="str">
        <x:f>IF(C443="","",IF(COUNTIFS('Route List'!$F$6:$F$205,C443)=1,IF(COUNTIFS('Route List'!$F$6:$F$205,C443,'Route List'!$G$6:$G$205,"&lt;&gt;")=1,INDEX('Route List'!$G$6:$G$205,MATCH(C443,'Route List'!$F$6:$F$205,0)),"Enter route fare"),"Enter route fare"))</x:f>
      </x:c>
      <x:c r="I443" s="98" t="str">
        <x:f>IF(F443="","",IF(F443="Own",0,50))</x:f>
      </x:c>
      <x:c r="J443" s="98" t="str">
        <x:f>IF(OR(D443="",E443=""),"",IF(AND(ISNUMBER(G443),ISNUMBER(H443)),ROUND(G443*H443,2),""))</x:f>
      </x:c>
      <x:c r="K443" s="98" t="str">
        <x:f>IF(OR(D443="",E443=""),"",IF(AND(ISNUMBER(G443),ISNUMBER(I443)),ROUND(G443*I443,2),""))</x:f>
      </x:c>
      <x:c r="L443" s="98" t="str">
        <x:f>IF(OR(D443="",E443=""),"",IF(AND(ISNUMBER(J443),ISNUMBER(K443)),J443-K443,""))</x:f>
      </x:c>
      <x:c r="M443" s="114"/>
      <x:c r="N443" s="98" t="str">
        <x:f>IF(OR(D443="",E443=""),"",IF(COUNTIFS($D$6:D443,D443,$E$6:E443,E443)=1,MAX(SUMIFS($L$6:$L$505,$D$6:$D$505,D443,$E$6:$E$505,E443)-SUMIFS($M$6:$M$505,$D$6:$D$505,D443,$E$6:$E$505,E443),0),""))</x:f>
      </x:c>
    </x:row>
    <x:row r="444" ht="28" customHeight="1">
      <x:c r="A444" s="113" t="str">
        <x:f>IF(D444="","",IF(COUNTIFS(Trips!$A$6:$A$105,D444)=1,INDEX(Trips!$C$6:$C$105,MATCH(D444,Trips!$A$6:$A$105,0)),""))</x:f>
      </x:c>
      <x:c r="B444" s="90" t="str">
        <x:f>IF(D444="","",IF(COUNTIFS(Trips!$A$6:$A$105,D444)=1,INDEX(Trips!$B$6:$B$105,MATCH(D444,Trips!$A$6:$A$105,0)),""))</x:f>
      </x:c>
      <x:c r="C444" s="90" t="str">
        <x:f>IF(D444="","",IF(COUNTIFS(Trips!$A$6:$A$105,D444)=1,INDEX(Trips!$D$6:$D$105,MATCH(D444,Trips!$A$6:$A$105,0)),""))</x:f>
      </x:c>
      <x:c r="D444" s="107"/>
      <x:c r="E444" s="107"/>
      <x:c r="F444" s="90" t="str">
        <x:f>IF(E444="","",IF(COUNTIFS(Counters!$A$6:$A$105,E444)=1,INDEX(Counters!$B$6:$B$105,MATCH(E444,Counters!$A$6:$A$105,0)),""))</x:f>
      </x:c>
      <x:c r="G444" s="107"/>
      <x:c r="H444" s="98" t="str">
        <x:f>IF(C444="","",IF(COUNTIFS('Route List'!$F$6:$F$205,C444)=1,IF(COUNTIFS('Route List'!$F$6:$F$205,C444,'Route List'!$G$6:$G$205,"&lt;&gt;")=1,INDEX('Route List'!$G$6:$G$205,MATCH(C444,'Route List'!$F$6:$F$205,0)),"Enter route fare"),"Enter route fare"))</x:f>
      </x:c>
      <x:c r="I444" s="98" t="str">
        <x:f>IF(F444="","",IF(F444="Own",0,50))</x:f>
      </x:c>
      <x:c r="J444" s="98" t="str">
        <x:f>IF(OR(D444="",E444=""),"",IF(AND(ISNUMBER(G444),ISNUMBER(H444)),ROUND(G444*H444,2),""))</x:f>
      </x:c>
      <x:c r="K444" s="98" t="str">
        <x:f>IF(OR(D444="",E444=""),"",IF(AND(ISNUMBER(G444),ISNUMBER(I444)),ROUND(G444*I444,2),""))</x:f>
      </x:c>
      <x:c r="L444" s="98" t="str">
        <x:f>IF(OR(D444="",E444=""),"",IF(AND(ISNUMBER(J444),ISNUMBER(K444)),J444-K444,""))</x:f>
      </x:c>
      <x:c r="M444" s="114"/>
      <x:c r="N444" s="98" t="str">
        <x:f>IF(OR(D444="",E444=""),"",IF(COUNTIFS($D$6:D444,D444,$E$6:E444,E444)=1,MAX(SUMIFS($L$6:$L$505,$D$6:$D$505,D444,$E$6:$E$505,E444)-SUMIFS($M$6:$M$505,$D$6:$D$505,D444,$E$6:$E$505,E444),0),""))</x:f>
      </x:c>
    </x:row>
    <x:row r="445" ht="28" customHeight="1">
      <x:c r="A445" s="113" t="str">
        <x:f>IF(D445="","",IF(COUNTIFS(Trips!$A$6:$A$105,D445)=1,INDEX(Trips!$C$6:$C$105,MATCH(D445,Trips!$A$6:$A$105,0)),""))</x:f>
      </x:c>
      <x:c r="B445" s="90" t="str">
        <x:f>IF(D445="","",IF(COUNTIFS(Trips!$A$6:$A$105,D445)=1,INDEX(Trips!$B$6:$B$105,MATCH(D445,Trips!$A$6:$A$105,0)),""))</x:f>
      </x:c>
      <x:c r="C445" s="90" t="str">
        <x:f>IF(D445="","",IF(COUNTIFS(Trips!$A$6:$A$105,D445)=1,INDEX(Trips!$D$6:$D$105,MATCH(D445,Trips!$A$6:$A$105,0)),""))</x:f>
      </x:c>
      <x:c r="D445" s="107"/>
      <x:c r="E445" s="107"/>
      <x:c r="F445" s="90" t="str">
        <x:f>IF(E445="","",IF(COUNTIFS(Counters!$A$6:$A$105,E445)=1,INDEX(Counters!$B$6:$B$105,MATCH(E445,Counters!$A$6:$A$105,0)),""))</x:f>
      </x:c>
      <x:c r="G445" s="107"/>
      <x:c r="H445" s="98" t="str">
        <x:f>IF(C445="","",IF(COUNTIFS('Route List'!$F$6:$F$205,C445)=1,IF(COUNTIFS('Route List'!$F$6:$F$205,C445,'Route List'!$G$6:$G$205,"&lt;&gt;")=1,INDEX('Route List'!$G$6:$G$205,MATCH(C445,'Route List'!$F$6:$F$205,0)),"Enter route fare"),"Enter route fare"))</x:f>
      </x:c>
      <x:c r="I445" s="98" t="str">
        <x:f>IF(F445="","",IF(F445="Own",0,50))</x:f>
      </x:c>
      <x:c r="J445" s="98" t="str">
        <x:f>IF(OR(D445="",E445=""),"",IF(AND(ISNUMBER(G445),ISNUMBER(H445)),ROUND(G445*H445,2),""))</x:f>
      </x:c>
      <x:c r="K445" s="98" t="str">
        <x:f>IF(OR(D445="",E445=""),"",IF(AND(ISNUMBER(G445),ISNUMBER(I445)),ROUND(G445*I445,2),""))</x:f>
      </x:c>
      <x:c r="L445" s="98" t="str">
        <x:f>IF(OR(D445="",E445=""),"",IF(AND(ISNUMBER(J445),ISNUMBER(K445)),J445-K445,""))</x:f>
      </x:c>
      <x:c r="M445" s="114"/>
      <x:c r="N445" s="98" t="str">
        <x:f>IF(OR(D445="",E445=""),"",IF(COUNTIFS($D$6:D445,D445,$E$6:E445,E445)=1,MAX(SUMIFS($L$6:$L$505,$D$6:$D$505,D445,$E$6:$E$505,E445)-SUMIFS($M$6:$M$505,$D$6:$D$505,D445,$E$6:$E$505,E445),0),""))</x:f>
      </x:c>
    </x:row>
    <x:row r="446" ht="28" customHeight="1">
      <x:c r="A446" s="113" t="str">
        <x:f>IF(D446="","",IF(COUNTIFS(Trips!$A$6:$A$105,D446)=1,INDEX(Trips!$C$6:$C$105,MATCH(D446,Trips!$A$6:$A$105,0)),""))</x:f>
      </x:c>
      <x:c r="B446" s="90" t="str">
        <x:f>IF(D446="","",IF(COUNTIFS(Trips!$A$6:$A$105,D446)=1,INDEX(Trips!$B$6:$B$105,MATCH(D446,Trips!$A$6:$A$105,0)),""))</x:f>
      </x:c>
      <x:c r="C446" s="90" t="str">
        <x:f>IF(D446="","",IF(COUNTIFS(Trips!$A$6:$A$105,D446)=1,INDEX(Trips!$D$6:$D$105,MATCH(D446,Trips!$A$6:$A$105,0)),""))</x:f>
      </x:c>
      <x:c r="D446" s="107"/>
      <x:c r="E446" s="107"/>
      <x:c r="F446" s="90" t="str">
        <x:f>IF(E446="","",IF(COUNTIFS(Counters!$A$6:$A$105,E446)=1,INDEX(Counters!$B$6:$B$105,MATCH(E446,Counters!$A$6:$A$105,0)),""))</x:f>
      </x:c>
      <x:c r="G446" s="107"/>
      <x:c r="H446" s="98" t="str">
        <x:f>IF(C446="","",IF(COUNTIFS('Route List'!$F$6:$F$205,C446)=1,IF(COUNTIFS('Route List'!$F$6:$F$205,C446,'Route List'!$G$6:$G$205,"&lt;&gt;")=1,INDEX('Route List'!$G$6:$G$205,MATCH(C446,'Route List'!$F$6:$F$205,0)),"Enter route fare"),"Enter route fare"))</x:f>
      </x:c>
      <x:c r="I446" s="98" t="str">
        <x:f>IF(F446="","",IF(F446="Own",0,50))</x:f>
      </x:c>
      <x:c r="J446" s="98" t="str">
        <x:f>IF(OR(D446="",E446=""),"",IF(AND(ISNUMBER(G446),ISNUMBER(H446)),ROUND(G446*H446,2),""))</x:f>
      </x:c>
      <x:c r="K446" s="98" t="str">
        <x:f>IF(OR(D446="",E446=""),"",IF(AND(ISNUMBER(G446),ISNUMBER(I446)),ROUND(G446*I446,2),""))</x:f>
      </x:c>
      <x:c r="L446" s="98" t="str">
        <x:f>IF(OR(D446="",E446=""),"",IF(AND(ISNUMBER(J446),ISNUMBER(K446)),J446-K446,""))</x:f>
      </x:c>
      <x:c r="M446" s="114"/>
      <x:c r="N446" s="98" t="str">
        <x:f>IF(OR(D446="",E446=""),"",IF(COUNTIFS($D$6:D446,D446,$E$6:E446,E446)=1,MAX(SUMIFS($L$6:$L$505,$D$6:$D$505,D446,$E$6:$E$505,E446)-SUMIFS($M$6:$M$505,$D$6:$D$505,D446,$E$6:$E$505,E446),0),""))</x:f>
      </x:c>
    </x:row>
    <x:row r="447" ht="28" customHeight="1">
      <x:c r="A447" s="113" t="str">
        <x:f>IF(D447="","",IF(COUNTIFS(Trips!$A$6:$A$105,D447)=1,INDEX(Trips!$C$6:$C$105,MATCH(D447,Trips!$A$6:$A$105,0)),""))</x:f>
      </x:c>
      <x:c r="B447" s="90" t="str">
        <x:f>IF(D447="","",IF(COUNTIFS(Trips!$A$6:$A$105,D447)=1,INDEX(Trips!$B$6:$B$105,MATCH(D447,Trips!$A$6:$A$105,0)),""))</x:f>
      </x:c>
      <x:c r="C447" s="90" t="str">
        <x:f>IF(D447="","",IF(COUNTIFS(Trips!$A$6:$A$105,D447)=1,INDEX(Trips!$D$6:$D$105,MATCH(D447,Trips!$A$6:$A$105,0)),""))</x:f>
      </x:c>
      <x:c r="D447" s="107"/>
      <x:c r="E447" s="107"/>
      <x:c r="F447" s="90" t="str">
        <x:f>IF(E447="","",IF(COUNTIFS(Counters!$A$6:$A$105,E447)=1,INDEX(Counters!$B$6:$B$105,MATCH(E447,Counters!$A$6:$A$105,0)),""))</x:f>
      </x:c>
      <x:c r="G447" s="107"/>
      <x:c r="H447" s="98" t="str">
        <x:f>IF(C447="","",IF(COUNTIFS('Route List'!$F$6:$F$205,C447)=1,IF(COUNTIFS('Route List'!$F$6:$F$205,C447,'Route List'!$G$6:$G$205,"&lt;&gt;")=1,INDEX('Route List'!$G$6:$G$205,MATCH(C447,'Route List'!$F$6:$F$205,0)),"Enter route fare"),"Enter route fare"))</x:f>
      </x:c>
      <x:c r="I447" s="98" t="str">
        <x:f>IF(F447="","",IF(F447="Own",0,50))</x:f>
      </x:c>
      <x:c r="J447" s="98" t="str">
        <x:f>IF(OR(D447="",E447=""),"",IF(AND(ISNUMBER(G447),ISNUMBER(H447)),ROUND(G447*H447,2),""))</x:f>
      </x:c>
      <x:c r="K447" s="98" t="str">
        <x:f>IF(OR(D447="",E447=""),"",IF(AND(ISNUMBER(G447),ISNUMBER(I447)),ROUND(G447*I447,2),""))</x:f>
      </x:c>
      <x:c r="L447" s="98" t="str">
        <x:f>IF(OR(D447="",E447=""),"",IF(AND(ISNUMBER(J447),ISNUMBER(K447)),J447-K447,""))</x:f>
      </x:c>
      <x:c r="M447" s="114"/>
      <x:c r="N447" s="98" t="str">
        <x:f>IF(OR(D447="",E447=""),"",IF(COUNTIFS($D$6:D447,D447,$E$6:E447,E447)=1,MAX(SUMIFS($L$6:$L$505,$D$6:$D$505,D447,$E$6:$E$505,E447)-SUMIFS($M$6:$M$505,$D$6:$D$505,D447,$E$6:$E$505,E447),0),""))</x:f>
      </x:c>
    </x:row>
    <x:row r="448" ht="28" customHeight="1">
      <x:c r="A448" s="113" t="str">
        <x:f>IF(D448="","",IF(COUNTIFS(Trips!$A$6:$A$105,D448)=1,INDEX(Trips!$C$6:$C$105,MATCH(D448,Trips!$A$6:$A$105,0)),""))</x:f>
      </x:c>
      <x:c r="B448" s="90" t="str">
        <x:f>IF(D448="","",IF(COUNTIFS(Trips!$A$6:$A$105,D448)=1,INDEX(Trips!$B$6:$B$105,MATCH(D448,Trips!$A$6:$A$105,0)),""))</x:f>
      </x:c>
      <x:c r="C448" s="90" t="str">
        <x:f>IF(D448="","",IF(COUNTIFS(Trips!$A$6:$A$105,D448)=1,INDEX(Trips!$D$6:$D$105,MATCH(D448,Trips!$A$6:$A$105,0)),""))</x:f>
      </x:c>
      <x:c r="D448" s="107"/>
      <x:c r="E448" s="107"/>
      <x:c r="F448" s="90" t="str">
        <x:f>IF(E448="","",IF(COUNTIFS(Counters!$A$6:$A$105,E448)=1,INDEX(Counters!$B$6:$B$105,MATCH(E448,Counters!$A$6:$A$105,0)),""))</x:f>
      </x:c>
      <x:c r="G448" s="107"/>
      <x:c r="H448" s="98" t="str">
        <x:f>IF(C448="","",IF(COUNTIFS('Route List'!$F$6:$F$205,C448)=1,IF(COUNTIFS('Route List'!$F$6:$F$205,C448,'Route List'!$G$6:$G$205,"&lt;&gt;")=1,INDEX('Route List'!$G$6:$G$205,MATCH(C448,'Route List'!$F$6:$F$205,0)),"Enter route fare"),"Enter route fare"))</x:f>
      </x:c>
      <x:c r="I448" s="98" t="str">
        <x:f>IF(F448="","",IF(F448="Own",0,50))</x:f>
      </x:c>
      <x:c r="J448" s="98" t="str">
        <x:f>IF(OR(D448="",E448=""),"",IF(AND(ISNUMBER(G448),ISNUMBER(H448)),ROUND(G448*H448,2),""))</x:f>
      </x:c>
      <x:c r="K448" s="98" t="str">
        <x:f>IF(OR(D448="",E448=""),"",IF(AND(ISNUMBER(G448),ISNUMBER(I448)),ROUND(G448*I448,2),""))</x:f>
      </x:c>
      <x:c r="L448" s="98" t="str">
        <x:f>IF(OR(D448="",E448=""),"",IF(AND(ISNUMBER(J448),ISNUMBER(K448)),J448-K448,""))</x:f>
      </x:c>
      <x:c r="M448" s="114"/>
      <x:c r="N448" s="98" t="str">
        <x:f>IF(OR(D448="",E448=""),"",IF(COUNTIFS($D$6:D448,D448,$E$6:E448,E448)=1,MAX(SUMIFS($L$6:$L$505,$D$6:$D$505,D448,$E$6:$E$505,E448)-SUMIFS($M$6:$M$505,$D$6:$D$505,D448,$E$6:$E$505,E448),0),""))</x:f>
      </x:c>
    </x:row>
    <x:row r="449" ht="28" customHeight="1">
      <x:c r="A449" s="113" t="str">
        <x:f>IF(D449="","",IF(COUNTIFS(Trips!$A$6:$A$105,D449)=1,INDEX(Trips!$C$6:$C$105,MATCH(D449,Trips!$A$6:$A$105,0)),""))</x:f>
      </x:c>
      <x:c r="B449" s="90" t="str">
        <x:f>IF(D449="","",IF(COUNTIFS(Trips!$A$6:$A$105,D449)=1,INDEX(Trips!$B$6:$B$105,MATCH(D449,Trips!$A$6:$A$105,0)),""))</x:f>
      </x:c>
      <x:c r="C449" s="90" t="str">
        <x:f>IF(D449="","",IF(COUNTIFS(Trips!$A$6:$A$105,D449)=1,INDEX(Trips!$D$6:$D$105,MATCH(D449,Trips!$A$6:$A$105,0)),""))</x:f>
      </x:c>
      <x:c r="D449" s="107"/>
      <x:c r="E449" s="107"/>
      <x:c r="F449" s="90" t="str">
        <x:f>IF(E449="","",IF(COUNTIFS(Counters!$A$6:$A$105,E449)=1,INDEX(Counters!$B$6:$B$105,MATCH(E449,Counters!$A$6:$A$105,0)),""))</x:f>
      </x:c>
      <x:c r="G449" s="107"/>
      <x:c r="H449" s="98" t="str">
        <x:f>IF(C449="","",IF(COUNTIFS('Route List'!$F$6:$F$205,C449)=1,IF(COUNTIFS('Route List'!$F$6:$F$205,C449,'Route List'!$G$6:$G$205,"&lt;&gt;")=1,INDEX('Route List'!$G$6:$G$205,MATCH(C449,'Route List'!$F$6:$F$205,0)),"Enter route fare"),"Enter route fare"))</x:f>
      </x:c>
      <x:c r="I449" s="98" t="str">
        <x:f>IF(F449="","",IF(F449="Own",0,50))</x:f>
      </x:c>
      <x:c r="J449" s="98" t="str">
        <x:f>IF(OR(D449="",E449=""),"",IF(AND(ISNUMBER(G449),ISNUMBER(H449)),ROUND(G449*H449,2),""))</x:f>
      </x:c>
      <x:c r="K449" s="98" t="str">
        <x:f>IF(OR(D449="",E449=""),"",IF(AND(ISNUMBER(G449),ISNUMBER(I449)),ROUND(G449*I449,2),""))</x:f>
      </x:c>
      <x:c r="L449" s="98" t="str">
        <x:f>IF(OR(D449="",E449=""),"",IF(AND(ISNUMBER(J449),ISNUMBER(K449)),J449-K449,""))</x:f>
      </x:c>
      <x:c r="M449" s="114"/>
      <x:c r="N449" s="98" t="str">
        <x:f>IF(OR(D449="",E449=""),"",IF(COUNTIFS($D$6:D449,D449,$E$6:E449,E449)=1,MAX(SUMIFS($L$6:$L$505,$D$6:$D$505,D449,$E$6:$E$505,E449)-SUMIFS($M$6:$M$505,$D$6:$D$505,D449,$E$6:$E$505,E449),0),""))</x:f>
      </x:c>
    </x:row>
    <x:row r="450" ht="28" customHeight="1">
      <x:c r="A450" s="113" t="str">
        <x:f>IF(D450="","",IF(COUNTIFS(Trips!$A$6:$A$105,D450)=1,INDEX(Trips!$C$6:$C$105,MATCH(D450,Trips!$A$6:$A$105,0)),""))</x:f>
      </x:c>
      <x:c r="B450" s="90" t="str">
        <x:f>IF(D450="","",IF(COUNTIFS(Trips!$A$6:$A$105,D450)=1,INDEX(Trips!$B$6:$B$105,MATCH(D450,Trips!$A$6:$A$105,0)),""))</x:f>
      </x:c>
      <x:c r="C450" s="90" t="str">
        <x:f>IF(D450="","",IF(COUNTIFS(Trips!$A$6:$A$105,D450)=1,INDEX(Trips!$D$6:$D$105,MATCH(D450,Trips!$A$6:$A$105,0)),""))</x:f>
      </x:c>
      <x:c r="D450" s="107"/>
      <x:c r="E450" s="107"/>
      <x:c r="F450" s="90" t="str">
        <x:f>IF(E450="","",IF(COUNTIFS(Counters!$A$6:$A$105,E450)=1,INDEX(Counters!$B$6:$B$105,MATCH(E450,Counters!$A$6:$A$105,0)),""))</x:f>
      </x:c>
      <x:c r="G450" s="107"/>
      <x:c r="H450" s="98" t="str">
        <x:f>IF(C450="","",IF(COUNTIFS('Route List'!$F$6:$F$205,C450)=1,IF(COUNTIFS('Route List'!$F$6:$F$205,C450,'Route List'!$G$6:$G$205,"&lt;&gt;")=1,INDEX('Route List'!$G$6:$G$205,MATCH(C450,'Route List'!$F$6:$F$205,0)),"Enter route fare"),"Enter route fare"))</x:f>
      </x:c>
      <x:c r="I450" s="98" t="str">
        <x:f>IF(F450="","",IF(F450="Own",0,50))</x:f>
      </x:c>
      <x:c r="J450" s="98" t="str">
        <x:f>IF(OR(D450="",E450=""),"",IF(AND(ISNUMBER(G450),ISNUMBER(H450)),ROUND(G450*H450,2),""))</x:f>
      </x:c>
      <x:c r="K450" s="98" t="str">
        <x:f>IF(OR(D450="",E450=""),"",IF(AND(ISNUMBER(G450),ISNUMBER(I450)),ROUND(G450*I450,2),""))</x:f>
      </x:c>
      <x:c r="L450" s="98" t="str">
        <x:f>IF(OR(D450="",E450=""),"",IF(AND(ISNUMBER(J450),ISNUMBER(K450)),J450-K450,""))</x:f>
      </x:c>
      <x:c r="M450" s="114"/>
      <x:c r="N450" s="98" t="str">
        <x:f>IF(OR(D450="",E450=""),"",IF(COUNTIFS($D$6:D450,D450,$E$6:E450,E450)=1,MAX(SUMIFS($L$6:$L$505,$D$6:$D$505,D450,$E$6:$E$505,E450)-SUMIFS($M$6:$M$505,$D$6:$D$505,D450,$E$6:$E$505,E450),0),""))</x:f>
      </x:c>
    </x:row>
    <x:row r="451" ht="28" customHeight="1">
      <x:c r="A451" s="113" t="str">
        <x:f>IF(D451="","",IF(COUNTIFS(Trips!$A$6:$A$105,D451)=1,INDEX(Trips!$C$6:$C$105,MATCH(D451,Trips!$A$6:$A$105,0)),""))</x:f>
      </x:c>
      <x:c r="B451" s="90" t="str">
        <x:f>IF(D451="","",IF(COUNTIFS(Trips!$A$6:$A$105,D451)=1,INDEX(Trips!$B$6:$B$105,MATCH(D451,Trips!$A$6:$A$105,0)),""))</x:f>
      </x:c>
      <x:c r="C451" s="90" t="str">
        <x:f>IF(D451="","",IF(COUNTIFS(Trips!$A$6:$A$105,D451)=1,INDEX(Trips!$D$6:$D$105,MATCH(D451,Trips!$A$6:$A$105,0)),""))</x:f>
      </x:c>
      <x:c r="D451" s="107"/>
      <x:c r="E451" s="107"/>
      <x:c r="F451" s="90" t="str">
        <x:f>IF(E451="","",IF(COUNTIFS(Counters!$A$6:$A$105,E451)=1,INDEX(Counters!$B$6:$B$105,MATCH(E451,Counters!$A$6:$A$105,0)),""))</x:f>
      </x:c>
      <x:c r="G451" s="107"/>
      <x:c r="H451" s="98" t="str">
        <x:f>IF(C451="","",IF(COUNTIFS('Route List'!$F$6:$F$205,C451)=1,IF(COUNTIFS('Route List'!$F$6:$F$205,C451,'Route List'!$G$6:$G$205,"&lt;&gt;")=1,INDEX('Route List'!$G$6:$G$205,MATCH(C451,'Route List'!$F$6:$F$205,0)),"Enter route fare"),"Enter route fare"))</x:f>
      </x:c>
      <x:c r="I451" s="98" t="str">
        <x:f>IF(F451="","",IF(F451="Own",0,50))</x:f>
      </x:c>
      <x:c r="J451" s="98" t="str">
        <x:f>IF(OR(D451="",E451=""),"",IF(AND(ISNUMBER(G451),ISNUMBER(H451)),ROUND(G451*H451,2),""))</x:f>
      </x:c>
      <x:c r="K451" s="98" t="str">
        <x:f>IF(OR(D451="",E451=""),"",IF(AND(ISNUMBER(G451),ISNUMBER(I451)),ROUND(G451*I451,2),""))</x:f>
      </x:c>
      <x:c r="L451" s="98" t="str">
        <x:f>IF(OR(D451="",E451=""),"",IF(AND(ISNUMBER(J451),ISNUMBER(K451)),J451-K451,""))</x:f>
      </x:c>
      <x:c r="M451" s="114"/>
      <x:c r="N451" s="98" t="str">
        <x:f>IF(OR(D451="",E451=""),"",IF(COUNTIFS($D$6:D451,D451,$E$6:E451,E451)=1,MAX(SUMIFS($L$6:$L$505,$D$6:$D$505,D451,$E$6:$E$505,E451)-SUMIFS($M$6:$M$505,$D$6:$D$505,D451,$E$6:$E$505,E451),0),""))</x:f>
      </x:c>
    </x:row>
    <x:row r="452" ht="28" customHeight="1">
      <x:c r="A452" s="113" t="str">
        <x:f>IF(D452="","",IF(COUNTIFS(Trips!$A$6:$A$105,D452)=1,INDEX(Trips!$C$6:$C$105,MATCH(D452,Trips!$A$6:$A$105,0)),""))</x:f>
      </x:c>
      <x:c r="B452" s="90" t="str">
        <x:f>IF(D452="","",IF(COUNTIFS(Trips!$A$6:$A$105,D452)=1,INDEX(Trips!$B$6:$B$105,MATCH(D452,Trips!$A$6:$A$105,0)),""))</x:f>
      </x:c>
      <x:c r="C452" s="90" t="str">
        <x:f>IF(D452="","",IF(COUNTIFS(Trips!$A$6:$A$105,D452)=1,INDEX(Trips!$D$6:$D$105,MATCH(D452,Trips!$A$6:$A$105,0)),""))</x:f>
      </x:c>
      <x:c r="D452" s="107"/>
      <x:c r="E452" s="107"/>
      <x:c r="F452" s="90" t="str">
        <x:f>IF(E452="","",IF(COUNTIFS(Counters!$A$6:$A$105,E452)=1,INDEX(Counters!$B$6:$B$105,MATCH(E452,Counters!$A$6:$A$105,0)),""))</x:f>
      </x:c>
      <x:c r="G452" s="107"/>
      <x:c r="H452" s="98" t="str">
        <x:f>IF(C452="","",IF(COUNTIFS('Route List'!$F$6:$F$205,C452)=1,IF(COUNTIFS('Route List'!$F$6:$F$205,C452,'Route List'!$G$6:$G$205,"&lt;&gt;")=1,INDEX('Route List'!$G$6:$G$205,MATCH(C452,'Route List'!$F$6:$F$205,0)),"Enter route fare"),"Enter route fare"))</x:f>
      </x:c>
      <x:c r="I452" s="98" t="str">
        <x:f>IF(F452="","",IF(F452="Own",0,50))</x:f>
      </x:c>
      <x:c r="J452" s="98" t="str">
        <x:f>IF(OR(D452="",E452=""),"",IF(AND(ISNUMBER(G452),ISNUMBER(H452)),ROUND(G452*H452,2),""))</x:f>
      </x:c>
      <x:c r="K452" s="98" t="str">
        <x:f>IF(OR(D452="",E452=""),"",IF(AND(ISNUMBER(G452),ISNUMBER(I452)),ROUND(G452*I452,2),""))</x:f>
      </x:c>
      <x:c r="L452" s="98" t="str">
        <x:f>IF(OR(D452="",E452=""),"",IF(AND(ISNUMBER(J452),ISNUMBER(K452)),J452-K452,""))</x:f>
      </x:c>
      <x:c r="M452" s="114"/>
      <x:c r="N452" s="98" t="str">
        <x:f>IF(OR(D452="",E452=""),"",IF(COUNTIFS($D$6:D452,D452,$E$6:E452,E452)=1,MAX(SUMIFS($L$6:$L$505,$D$6:$D$505,D452,$E$6:$E$505,E452)-SUMIFS($M$6:$M$505,$D$6:$D$505,D452,$E$6:$E$505,E452),0),""))</x:f>
      </x:c>
    </x:row>
    <x:row r="453" ht="28" customHeight="1">
      <x:c r="A453" s="113" t="str">
        <x:f>IF(D453="","",IF(COUNTIFS(Trips!$A$6:$A$105,D453)=1,INDEX(Trips!$C$6:$C$105,MATCH(D453,Trips!$A$6:$A$105,0)),""))</x:f>
      </x:c>
      <x:c r="B453" s="90" t="str">
        <x:f>IF(D453="","",IF(COUNTIFS(Trips!$A$6:$A$105,D453)=1,INDEX(Trips!$B$6:$B$105,MATCH(D453,Trips!$A$6:$A$105,0)),""))</x:f>
      </x:c>
      <x:c r="C453" s="90" t="str">
        <x:f>IF(D453="","",IF(COUNTIFS(Trips!$A$6:$A$105,D453)=1,INDEX(Trips!$D$6:$D$105,MATCH(D453,Trips!$A$6:$A$105,0)),""))</x:f>
      </x:c>
      <x:c r="D453" s="107"/>
      <x:c r="E453" s="107"/>
      <x:c r="F453" s="90" t="str">
        <x:f>IF(E453="","",IF(COUNTIFS(Counters!$A$6:$A$105,E453)=1,INDEX(Counters!$B$6:$B$105,MATCH(E453,Counters!$A$6:$A$105,0)),""))</x:f>
      </x:c>
      <x:c r="G453" s="107"/>
      <x:c r="H453" s="98" t="str">
        <x:f>IF(C453="","",IF(COUNTIFS('Route List'!$F$6:$F$205,C453)=1,IF(COUNTIFS('Route List'!$F$6:$F$205,C453,'Route List'!$G$6:$G$205,"&lt;&gt;")=1,INDEX('Route List'!$G$6:$G$205,MATCH(C453,'Route List'!$F$6:$F$205,0)),"Enter route fare"),"Enter route fare"))</x:f>
      </x:c>
      <x:c r="I453" s="98" t="str">
        <x:f>IF(F453="","",IF(F453="Own",0,50))</x:f>
      </x:c>
      <x:c r="J453" s="98" t="str">
        <x:f>IF(OR(D453="",E453=""),"",IF(AND(ISNUMBER(G453),ISNUMBER(H453)),ROUND(G453*H453,2),""))</x:f>
      </x:c>
      <x:c r="K453" s="98" t="str">
        <x:f>IF(OR(D453="",E453=""),"",IF(AND(ISNUMBER(G453),ISNUMBER(I453)),ROUND(G453*I453,2),""))</x:f>
      </x:c>
      <x:c r="L453" s="98" t="str">
        <x:f>IF(OR(D453="",E453=""),"",IF(AND(ISNUMBER(J453),ISNUMBER(K453)),J453-K453,""))</x:f>
      </x:c>
      <x:c r="M453" s="114"/>
      <x:c r="N453" s="98" t="str">
        <x:f>IF(OR(D453="",E453=""),"",IF(COUNTIFS($D$6:D453,D453,$E$6:E453,E453)=1,MAX(SUMIFS($L$6:$L$505,$D$6:$D$505,D453,$E$6:$E$505,E453)-SUMIFS($M$6:$M$505,$D$6:$D$505,D453,$E$6:$E$505,E453),0),""))</x:f>
      </x:c>
    </x:row>
    <x:row r="454" ht="28" customHeight="1">
      <x:c r="A454" s="113" t="str">
        <x:f>IF(D454="","",IF(COUNTIFS(Trips!$A$6:$A$105,D454)=1,INDEX(Trips!$C$6:$C$105,MATCH(D454,Trips!$A$6:$A$105,0)),""))</x:f>
      </x:c>
      <x:c r="B454" s="90" t="str">
        <x:f>IF(D454="","",IF(COUNTIFS(Trips!$A$6:$A$105,D454)=1,INDEX(Trips!$B$6:$B$105,MATCH(D454,Trips!$A$6:$A$105,0)),""))</x:f>
      </x:c>
      <x:c r="C454" s="90" t="str">
        <x:f>IF(D454="","",IF(COUNTIFS(Trips!$A$6:$A$105,D454)=1,INDEX(Trips!$D$6:$D$105,MATCH(D454,Trips!$A$6:$A$105,0)),""))</x:f>
      </x:c>
      <x:c r="D454" s="107"/>
      <x:c r="E454" s="107"/>
      <x:c r="F454" s="90" t="str">
        <x:f>IF(E454="","",IF(COUNTIFS(Counters!$A$6:$A$105,E454)=1,INDEX(Counters!$B$6:$B$105,MATCH(E454,Counters!$A$6:$A$105,0)),""))</x:f>
      </x:c>
      <x:c r="G454" s="107"/>
      <x:c r="H454" s="98" t="str">
        <x:f>IF(C454="","",IF(COUNTIFS('Route List'!$F$6:$F$205,C454)=1,IF(COUNTIFS('Route List'!$F$6:$F$205,C454,'Route List'!$G$6:$G$205,"&lt;&gt;")=1,INDEX('Route List'!$G$6:$G$205,MATCH(C454,'Route List'!$F$6:$F$205,0)),"Enter route fare"),"Enter route fare"))</x:f>
      </x:c>
      <x:c r="I454" s="98" t="str">
        <x:f>IF(F454="","",IF(F454="Own",0,50))</x:f>
      </x:c>
      <x:c r="J454" s="98" t="str">
        <x:f>IF(OR(D454="",E454=""),"",IF(AND(ISNUMBER(G454),ISNUMBER(H454)),ROUND(G454*H454,2),""))</x:f>
      </x:c>
      <x:c r="K454" s="98" t="str">
        <x:f>IF(OR(D454="",E454=""),"",IF(AND(ISNUMBER(G454),ISNUMBER(I454)),ROUND(G454*I454,2),""))</x:f>
      </x:c>
      <x:c r="L454" s="98" t="str">
        <x:f>IF(OR(D454="",E454=""),"",IF(AND(ISNUMBER(J454),ISNUMBER(K454)),J454-K454,""))</x:f>
      </x:c>
      <x:c r="M454" s="114"/>
      <x:c r="N454" s="98" t="str">
        <x:f>IF(OR(D454="",E454=""),"",IF(COUNTIFS($D$6:D454,D454,$E$6:E454,E454)=1,MAX(SUMIFS($L$6:$L$505,$D$6:$D$505,D454,$E$6:$E$505,E454)-SUMIFS($M$6:$M$505,$D$6:$D$505,D454,$E$6:$E$505,E454),0),""))</x:f>
      </x:c>
    </x:row>
    <x:row r="455" ht="28" customHeight="1">
      <x:c r="A455" s="113" t="str">
        <x:f>IF(D455="","",IF(COUNTIFS(Trips!$A$6:$A$105,D455)=1,INDEX(Trips!$C$6:$C$105,MATCH(D455,Trips!$A$6:$A$105,0)),""))</x:f>
      </x:c>
      <x:c r="B455" s="90" t="str">
        <x:f>IF(D455="","",IF(COUNTIFS(Trips!$A$6:$A$105,D455)=1,INDEX(Trips!$B$6:$B$105,MATCH(D455,Trips!$A$6:$A$105,0)),""))</x:f>
      </x:c>
      <x:c r="C455" s="90" t="str">
        <x:f>IF(D455="","",IF(COUNTIFS(Trips!$A$6:$A$105,D455)=1,INDEX(Trips!$D$6:$D$105,MATCH(D455,Trips!$A$6:$A$105,0)),""))</x:f>
      </x:c>
      <x:c r="D455" s="107"/>
      <x:c r="E455" s="107"/>
      <x:c r="F455" s="90" t="str">
        <x:f>IF(E455="","",IF(COUNTIFS(Counters!$A$6:$A$105,E455)=1,INDEX(Counters!$B$6:$B$105,MATCH(E455,Counters!$A$6:$A$105,0)),""))</x:f>
      </x:c>
      <x:c r="G455" s="107"/>
      <x:c r="H455" s="98" t="str">
        <x:f>IF(C455="","",IF(COUNTIFS('Route List'!$F$6:$F$205,C455)=1,IF(COUNTIFS('Route List'!$F$6:$F$205,C455,'Route List'!$G$6:$G$205,"&lt;&gt;")=1,INDEX('Route List'!$G$6:$G$205,MATCH(C455,'Route List'!$F$6:$F$205,0)),"Enter route fare"),"Enter route fare"))</x:f>
      </x:c>
      <x:c r="I455" s="98" t="str">
        <x:f>IF(F455="","",IF(F455="Own",0,50))</x:f>
      </x:c>
      <x:c r="J455" s="98" t="str">
        <x:f>IF(OR(D455="",E455=""),"",IF(AND(ISNUMBER(G455),ISNUMBER(H455)),ROUND(G455*H455,2),""))</x:f>
      </x:c>
      <x:c r="K455" s="98" t="str">
        <x:f>IF(OR(D455="",E455=""),"",IF(AND(ISNUMBER(G455),ISNUMBER(I455)),ROUND(G455*I455,2),""))</x:f>
      </x:c>
      <x:c r="L455" s="98" t="str">
        <x:f>IF(OR(D455="",E455=""),"",IF(AND(ISNUMBER(J455),ISNUMBER(K455)),J455-K455,""))</x:f>
      </x:c>
      <x:c r="M455" s="114"/>
      <x:c r="N455" s="98" t="str">
        <x:f>IF(OR(D455="",E455=""),"",IF(COUNTIFS($D$6:D455,D455,$E$6:E455,E455)=1,MAX(SUMIFS($L$6:$L$505,$D$6:$D$505,D455,$E$6:$E$505,E455)-SUMIFS($M$6:$M$505,$D$6:$D$505,D455,$E$6:$E$505,E455),0),""))</x:f>
      </x:c>
    </x:row>
    <x:row r="456" ht="28" customHeight="1">
      <x:c r="A456" s="113" t="str">
        <x:f>IF(D456="","",IF(COUNTIFS(Trips!$A$6:$A$105,D456)=1,INDEX(Trips!$C$6:$C$105,MATCH(D456,Trips!$A$6:$A$105,0)),""))</x:f>
      </x:c>
      <x:c r="B456" s="90" t="str">
        <x:f>IF(D456="","",IF(COUNTIFS(Trips!$A$6:$A$105,D456)=1,INDEX(Trips!$B$6:$B$105,MATCH(D456,Trips!$A$6:$A$105,0)),""))</x:f>
      </x:c>
      <x:c r="C456" s="90" t="str">
        <x:f>IF(D456="","",IF(COUNTIFS(Trips!$A$6:$A$105,D456)=1,INDEX(Trips!$D$6:$D$105,MATCH(D456,Trips!$A$6:$A$105,0)),""))</x:f>
      </x:c>
      <x:c r="D456" s="107"/>
      <x:c r="E456" s="107"/>
      <x:c r="F456" s="90" t="str">
        <x:f>IF(E456="","",IF(COUNTIFS(Counters!$A$6:$A$105,E456)=1,INDEX(Counters!$B$6:$B$105,MATCH(E456,Counters!$A$6:$A$105,0)),""))</x:f>
      </x:c>
      <x:c r="G456" s="107"/>
      <x:c r="H456" s="98" t="str">
        <x:f>IF(C456="","",IF(COUNTIFS('Route List'!$F$6:$F$205,C456)=1,IF(COUNTIFS('Route List'!$F$6:$F$205,C456,'Route List'!$G$6:$G$205,"&lt;&gt;")=1,INDEX('Route List'!$G$6:$G$205,MATCH(C456,'Route List'!$F$6:$F$205,0)),"Enter route fare"),"Enter route fare"))</x:f>
      </x:c>
      <x:c r="I456" s="98" t="str">
        <x:f>IF(F456="","",IF(F456="Own",0,50))</x:f>
      </x:c>
      <x:c r="J456" s="98" t="str">
        <x:f>IF(OR(D456="",E456=""),"",IF(AND(ISNUMBER(G456),ISNUMBER(H456)),ROUND(G456*H456,2),""))</x:f>
      </x:c>
      <x:c r="K456" s="98" t="str">
        <x:f>IF(OR(D456="",E456=""),"",IF(AND(ISNUMBER(G456),ISNUMBER(I456)),ROUND(G456*I456,2),""))</x:f>
      </x:c>
      <x:c r="L456" s="98" t="str">
        <x:f>IF(OR(D456="",E456=""),"",IF(AND(ISNUMBER(J456),ISNUMBER(K456)),J456-K456,""))</x:f>
      </x:c>
      <x:c r="M456" s="114"/>
      <x:c r="N456" s="98" t="str">
        <x:f>IF(OR(D456="",E456=""),"",IF(COUNTIFS($D$6:D456,D456,$E$6:E456,E456)=1,MAX(SUMIFS($L$6:$L$505,$D$6:$D$505,D456,$E$6:$E$505,E456)-SUMIFS($M$6:$M$505,$D$6:$D$505,D456,$E$6:$E$505,E456),0),""))</x:f>
      </x:c>
    </x:row>
    <x:row r="457" ht="28" customHeight="1">
      <x:c r="A457" s="113" t="str">
        <x:f>IF(D457="","",IF(COUNTIFS(Trips!$A$6:$A$105,D457)=1,INDEX(Trips!$C$6:$C$105,MATCH(D457,Trips!$A$6:$A$105,0)),""))</x:f>
      </x:c>
      <x:c r="B457" s="90" t="str">
        <x:f>IF(D457="","",IF(COUNTIFS(Trips!$A$6:$A$105,D457)=1,INDEX(Trips!$B$6:$B$105,MATCH(D457,Trips!$A$6:$A$105,0)),""))</x:f>
      </x:c>
      <x:c r="C457" s="90" t="str">
        <x:f>IF(D457="","",IF(COUNTIFS(Trips!$A$6:$A$105,D457)=1,INDEX(Trips!$D$6:$D$105,MATCH(D457,Trips!$A$6:$A$105,0)),""))</x:f>
      </x:c>
      <x:c r="D457" s="107"/>
      <x:c r="E457" s="107"/>
      <x:c r="F457" s="90" t="str">
        <x:f>IF(E457="","",IF(COUNTIFS(Counters!$A$6:$A$105,E457)=1,INDEX(Counters!$B$6:$B$105,MATCH(E457,Counters!$A$6:$A$105,0)),""))</x:f>
      </x:c>
      <x:c r="G457" s="107"/>
      <x:c r="H457" s="98" t="str">
        <x:f>IF(C457="","",IF(COUNTIFS('Route List'!$F$6:$F$205,C457)=1,IF(COUNTIFS('Route List'!$F$6:$F$205,C457,'Route List'!$G$6:$G$205,"&lt;&gt;")=1,INDEX('Route List'!$G$6:$G$205,MATCH(C457,'Route List'!$F$6:$F$205,0)),"Enter route fare"),"Enter route fare"))</x:f>
      </x:c>
      <x:c r="I457" s="98" t="str">
        <x:f>IF(F457="","",IF(F457="Own",0,50))</x:f>
      </x:c>
      <x:c r="J457" s="98" t="str">
        <x:f>IF(OR(D457="",E457=""),"",IF(AND(ISNUMBER(G457),ISNUMBER(H457)),ROUND(G457*H457,2),""))</x:f>
      </x:c>
      <x:c r="K457" s="98" t="str">
        <x:f>IF(OR(D457="",E457=""),"",IF(AND(ISNUMBER(G457),ISNUMBER(I457)),ROUND(G457*I457,2),""))</x:f>
      </x:c>
      <x:c r="L457" s="98" t="str">
        <x:f>IF(OR(D457="",E457=""),"",IF(AND(ISNUMBER(J457),ISNUMBER(K457)),J457-K457,""))</x:f>
      </x:c>
      <x:c r="M457" s="114"/>
      <x:c r="N457" s="98" t="str">
        <x:f>IF(OR(D457="",E457=""),"",IF(COUNTIFS($D$6:D457,D457,$E$6:E457,E457)=1,MAX(SUMIFS($L$6:$L$505,$D$6:$D$505,D457,$E$6:$E$505,E457)-SUMIFS($M$6:$M$505,$D$6:$D$505,D457,$E$6:$E$505,E457),0),""))</x:f>
      </x:c>
    </x:row>
    <x:row r="458" ht="28" customHeight="1">
      <x:c r="A458" s="113" t="str">
        <x:f>IF(D458="","",IF(COUNTIFS(Trips!$A$6:$A$105,D458)=1,INDEX(Trips!$C$6:$C$105,MATCH(D458,Trips!$A$6:$A$105,0)),""))</x:f>
      </x:c>
      <x:c r="B458" s="90" t="str">
        <x:f>IF(D458="","",IF(COUNTIFS(Trips!$A$6:$A$105,D458)=1,INDEX(Trips!$B$6:$B$105,MATCH(D458,Trips!$A$6:$A$105,0)),""))</x:f>
      </x:c>
      <x:c r="C458" s="90" t="str">
        <x:f>IF(D458="","",IF(COUNTIFS(Trips!$A$6:$A$105,D458)=1,INDEX(Trips!$D$6:$D$105,MATCH(D458,Trips!$A$6:$A$105,0)),""))</x:f>
      </x:c>
      <x:c r="D458" s="107"/>
      <x:c r="E458" s="107"/>
      <x:c r="F458" s="90" t="str">
        <x:f>IF(E458="","",IF(COUNTIFS(Counters!$A$6:$A$105,E458)=1,INDEX(Counters!$B$6:$B$105,MATCH(E458,Counters!$A$6:$A$105,0)),""))</x:f>
      </x:c>
      <x:c r="G458" s="107"/>
      <x:c r="H458" s="98" t="str">
        <x:f>IF(C458="","",IF(COUNTIFS('Route List'!$F$6:$F$205,C458)=1,IF(COUNTIFS('Route List'!$F$6:$F$205,C458,'Route List'!$G$6:$G$205,"&lt;&gt;")=1,INDEX('Route List'!$G$6:$G$205,MATCH(C458,'Route List'!$F$6:$F$205,0)),"Enter route fare"),"Enter route fare"))</x:f>
      </x:c>
      <x:c r="I458" s="98" t="str">
        <x:f>IF(F458="","",IF(F458="Own",0,50))</x:f>
      </x:c>
      <x:c r="J458" s="98" t="str">
        <x:f>IF(OR(D458="",E458=""),"",IF(AND(ISNUMBER(G458),ISNUMBER(H458)),ROUND(G458*H458,2),""))</x:f>
      </x:c>
      <x:c r="K458" s="98" t="str">
        <x:f>IF(OR(D458="",E458=""),"",IF(AND(ISNUMBER(G458),ISNUMBER(I458)),ROUND(G458*I458,2),""))</x:f>
      </x:c>
      <x:c r="L458" s="98" t="str">
        <x:f>IF(OR(D458="",E458=""),"",IF(AND(ISNUMBER(J458),ISNUMBER(K458)),J458-K458,""))</x:f>
      </x:c>
      <x:c r="M458" s="114"/>
      <x:c r="N458" s="98" t="str">
        <x:f>IF(OR(D458="",E458=""),"",IF(COUNTIFS($D$6:D458,D458,$E$6:E458,E458)=1,MAX(SUMIFS($L$6:$L$505,$D$6:$D$505,D458,$E$6:$E$505,E458)-SUMIFS($M$6:$M$505,$D$6:$D$505,D458,$E$6:$E$505,E458),0),""))</x:f>
      </x:c>
    </x:row>
    <x:row r="459" ht="28" customHeight="1">
      <x:c r="A459" s="113" t="str">
        <x:f>IF(D459="","",IF(COUNTIFS(Trips!$A$6:$A$105,D459)=1,INDEX(Trips!$C$6:$C$105,MATCH(D459,Trips!$A$6:$A$105,0)),""))</x:f>
      </x:c>
      <x:c r="B459" s="90" t="str">
        <x:f>IF(D459="","",IF(COUNTIFS(Trips!$A$6:$A$105,D459)=1,INDEX(Trips!$B$6:$B$105,MATCH(D459,Trips!$A$6:$A$105,0)),""))</x:f>
      </x:c>
      <x:c r="C459" s="90" t="str">
        <x:f>IF(D459="","",IF(COUNTIFS(Trips!$A$6:$A$105,D459)=1,INDEX(Trips!$D$6:$D$105,MATCH(D459,Trips!$A$6:$A$105,0)),""))</x:f>
      </x:c>
      <x:c r="D459" s="107"/>
      <x:c r="E459" s="107"/>
      <x:c r="F459" s="90" t="str">
        <x:f>IF(E459="","",IF(COUNTIFS(Counters!$A$6:$A$105,E459)=1,INDEX(Counters!$B$6:$B$105,MATCH(E459,Counters!$A$6:$A$105,0)),""))</x:f>
      </x:c>
      <x:c r="G459" s="107"/>
      <x:c r="H459" s="98" t="str">
        <x:f>IF(C459="","",IF(COUNTIFS('Route List'!$F$6:$F$205,C459)=1,IF(COUNTIFS('Route List'!$F$6:$F$205,C459,'Route List'!$G$6:$G$205,"&lt;&gt;")=1,INDEX('Route List'!$G$6:$G$205,MATCH(C459,'Route List'!$F$6:$F$205,0)),"Enter route fare"),"Enter route fare"))</x:f>
      </x:c>
      <x:c r="I459" s="98" t="str">
        <x:f>IF(F459="","",IF(F459="Own",0,50))</x:f>
      </x:c>
      <x:c r="J459" s="98" t="str">
        <x:f>IF(OR(D459="",E459=""),"",IF(AND(ISNUMBER(G459),ISNUMBER(H459)),ROUND(G459*H459,2),""))</x:f>
      </x:c>
      <x:c r="K459" s="98" t="str">
        <x:f>IF(OR(D459="",E459=""),"",IF(AND(ISNUMBER(G459),ISNUMBER(I459)),ROUND(G459*I459,2),""))</x:f>
      </x:c>
      <x:c r="L459" s="98" t="str">
        <x:f>IF(OR(D459="",E459=""),"",IF(AND(ISNUMBER(J459),ISNUMBER(K459)),J459-K459,""))</x:f>
      </x:c>
      <x:c r="M459" s="114"/>
      <x:c r="N459" s="98" t="str">
        <x:f>IF(OR(D459="",E459=""),"",IF(COUNTIFS($D$6:D459,D459,$E$6:E459,E459)=1,MAX(SUMIFS($L$6:$L$505,$D$6:$D$505,D459,$E$6:$E$505,E459)-SUMIFS($M$6:$M$505,$D$6:$D$505,D459,$E$6:$E$505,E459),0),""))</x:f>
      </x:c>
    </x:row>
    <x:row r="460" ht="28" customHeight="1">
      <x:c r="A460" s="113" t="str">
        <x:f>IF(D460="","",IF(COUNTIFS(Trips!$A$6:$A$105,D460)=1,INDEX(Trips!$C$6:$C$105,MATCH(D460,Trips!$A$6:$A$105,0)),""))</x:f>
      </x:c>
      <x:c r="B460" s="90" t="str">
        <x:f>IF(D460="","",IF(COUNTIFS(Trips!$A$6:$A$105,D460)=1,INDEX(Trips!$B$6:$B$105,MATCH(D460,Trips!$A$6:$A$105,0)),""))</x:f>
      </x:c>
      <x:c r="C460" s="90" t="str">
        <x:f>IF(D460="","",IF(COUNTIFS(Trips!$A$6:$A$105,D460)=1,INDEX(Trips!$D$6:$D$105,MATCH(D460,Trips!$A$6:$A$105,0)),""))</x:f>
      </x:c>
      <x:c r="D460" s="107"/>
      <x:c r="E460" s="107"/>
      <x:c r="F460" s="90" t="str">
        <x:f>IF(E460="","",IF(COUNTIFS(Counters!$A$6:$A$105,E460)=1,INDEX(Counters!$B$6:$B$105,MATCH(E460,Counters!$A$6:$A$105,0)),""))</x:f>
      </x:c>
      <x:c r="G460" s="107"/>
      <x:c r="H460" s="98" t="str">
        <x:f>IF(C460="","",IF(COUNTIFS('Route List'!$F$6:$F$205,C460)=1,IF(COUNTIFS('Route List'!$F$6:$F$205,C460,'Route List'!$G$6:$G$205,"&lt;&gt;")=1,INDEX('Route List'!$G$6:$G$205,MATCH(C460,'Route List'!$F$6:$F$205,0)),"Enter route fare"),"Enter route fare"))</x:f>
      </x:c>
      <x:c r="I460" s="98" t="str">
        <x:f>IF(F460="","",IF(F460="Own",0,50))</x:f>
      </x:c>
      <x:c r="J460" s="98" t="str">
        <x:f>IF(OR(D460="",E460=""),"",IF(AND(ISNUMBER(G460),ISNUMBER(H460)),ROUND(G460*H460,2),""))</x:f>
      </x:c>
      <x:c r="K460" s="98" t="str">
        <x:f>IF(OR(D460="",E460=""),"",IF(AND(ISNUMBER(G460),ISNUMBER(I460)),ROUND(G460*I460,2),""))</x:f>
      </x:c>
      <x:c r="L460" s="98" t="str">
        <x:f>IF(OR(D460="",E460=""),"",IF(AND(ISNUMBER(J460),ISNUMBER(K460)),J460-K460,""))</x:f>
      </x:c>
      <x:c r="M460" s="114"/>
      <x:c r="N460" s="98" t="str">
        <x:f>IF(OR(D460="",E460=""),"",IF(COUNTIFS($D$6:D460,D460,$E$6:E460,E460)=1,MAX(SUMIFS($L$6:$L$505,$D$6:$D$505,D460,$E$6:$E$505,E460)-SUMIFS($M$6:$M$505,$D$6:$D$505,D460,$E$6:$E$505,E460),0),""))</x:f>
      </x:c>
    </x:row>
    <x:row r="461" ht="28" customHeight="1">
      <x:c r="A461" s="113" t="str">
        <x:f>IF(D461="","",IF(COUNTIFS(Trips!$A$6:$A$105,D461)=1,INDEX(Trips!$C$6:$C$105,MATCH(D461,Trips!$A$6:$A$105,0)),""))</x:f>
      </x:c>
      <x:c r="B461" s="90" t="str">
        <x:f>IF(D461="","",IF(COUNTIFS(Trips!$A$6:$A$105,D461)=1,INDEX(Trips!$B$6:$B$105,MATCH(D461,Trips!$A$6:$A$105,0)),""))</x:f>
      </x:c>
      <x:c r="C461" s="90" t="str">
        <x:f>IF(D461="","",IF(COUNTIFS(Trips!$A$6:$A$105,D461)=1,INDEX(Trips!$D$6:$D$105,MATCH(D461,Trips!$A$6:$A$105,0)),""))</x:f>
      </x:c>
      <x:c r="D461" s="107"/>
      <x:c r="E461" s="107"/>
      <x:c r="F461" s="90" t="str">
        <x:f>IF(E461="","",IF(COUNTIFS(Counters!$A$6:$A$105,E461)=1,INDEX(Counters!$B$6:$B$105,MATCH(E461,Counters!$A$6:$A$105,0)),""))</x:f>
      </x:c>
      <x:c r="G461" s="107"/>
      <x:c r="H461" s="98" t="str">
        <x:f>IF(C461="","",IF(COUNTIFS('Route List'!$F$6:$F$205,C461)=1,IF(COUNTIFS('Route List'!$F$6:$F$205,C461,'Route List'!$G$6:$G$205,"&lt;&gt;")=1,INDEX('Route List'!$G$6:$G$205,MATCH(C461,'Route List'!$F$6:$F$205,0)),"Enter route fare"),"Enter route fare"))</x:f>
      </x:c>
      <x:c r="I461" s="98" t="str">
        <x:f>IF(F461="","",IF(F461="Own",0,50))</x:f>
      </x:c>
      <x:c r="J461" s="98" t="str">
        <x:f>IF(OR(D461="",E461=""),"",IF(AND(ISNUMBER(G461),ISNUMBER(H461)),ROUND(G461*H461,2),""))</x:f>
      </x:c>
      <x:c r="K461" s="98" t="str">
        <x:f>IF(OR(D461="",E461=""),"",IF(AND(ISNUMBER(G461),ISNUMBER(I461)),ROUND(G461*I461,2),""))</x:f>
      </x:c>
      <x:c r="L461" s="98" t="str">
        <x:f>IF(OR(D461="",E461=""),"",IF(AND(ISNUMBER(J461),ISNUMBER(K461)),J461-K461,""))</x:f>
      </x:c>
      <x:c r="M461" s="114"/>
      <x:c r="N461" s="98" t="str">
        <x:f>IF(OR(D461="",E461=""),"",IF(COUNTIFS($D$6:D461,D461,$E$6:E461,E461)=1,MAX(SUMIFS($L$6:$L$505,$D$6:$D$505,D461,$E$6:$E$505,E461)-SUMIFS($M$6:$M$505,$D$6:$D$505,D461,$E$6:$E$505,E461),0),""))</x:f>
      </x:c>
    </x:row>
    <x:row r="462" ht="28" customHeight="1">
      <x:c r="A462" s="113" t="str">
        <x:f>IF(D462="","",IF(COUNTIFS(Trips!$A$6:$A$105,D462)=1,INDEX(Trips!$C$6:$C$105,MATCH(D462,Trips!$A$6:$A$105,0)),""))</x:f>
      </x:c>
      <x:c r="B462" s="90" t="str">
        <x:f>IF(D462="","",IF(COUNTIFS(Trips!$A$6:$A$105,D462)=1,INDEX(Trips!$B$6:$B$105,MATCH(D462,Trips!$A$6:$A$105,0)),""))</x:f>
      </x:c>
      <x:c r="C462" s="90" t="str">
        <x:f>IF(D462="","",IF(COUNTIFS(Trips!$A$6:$A$105,D462)=1,INDEX(Trips!$D$6:$D$105,MATCH(D462,Trips!$A$6:$A$105,0)),""))</x:f>
      </x:c>
      <x:c r="D462" s="107"/>
      <x:c r="E462" s="107"/>
      <x:c r="F462" s="90" t="str">
        <x:f>IF(E462="","",IF(COUNTIFS(Counters!$A$6:$A$105,E462)=1,INDEX(Counters!$B$6:$B$105,MATCH(E462,Counters!$A$6:$A$105,0)),""))</x:f>
      </x:c>
      <x:c r="G462" s="107"/>
      <x:c r="H462" s="98" t="str">
        <x:f>IF(C462="","",IF(COUNTIFS('Route List'!$F$6:$F$205,C462)=1,IF(COUNTIFS('Route List'!$F$6:$F$205,C462,'Route List'!$G$6:$G$205,"&lt;&gt;")=1,INDEX('Route List'!$G$6:$G$205,MATCH(C462,'Route List'!$F$6:$F$205,0)),"Enter route fare"),"Enter route fare"))</x:f>
      </x:c>
      <x:c r="I462" s="98" t="str">
        <x:f>IF(F462="","",IF(F462="Own",0,50))</x:f>
      </x:c>
      <x:c r="J462" s="98" t="str">
        <x:f>IF(OR(D462="",E462=""),"",IF(AND(ISNUMBER(G462),ISNUMBER(H462)),ROUND(G462*H462,2),""))</x:f>
      </x:c>
      <x:c r="K462" s="98" t="str">
        <x:f>IF(OR(D462="",E462=""),"",IF(AND(ISNUMBER(G462),ISNUMBER(I462)),ROUND(G462*I462,2),""))</x:f>
      </x:c>
      <x:c r="L462" s="98" t="str">
        <x:f>IF(OR(D462="",E462=""),"",IF(AND(ISNUMBER(J462),ISNUMBER(K462)),J462-K462,""))</x:f>
      </x:c>
      <x:c r="M462" s="114"/>
      <x:c r="N462" s="98" t="str">
        <x:f>IF(OR(D462="",E462=""),"",IF(COUNTIFS($D$6:D462,D462,$E$6:E462,E462)=1,MAX(SUMIFS($L$6:$L$505,$D$6:$D$505,D462,$E$6:$E$505,E462)-SUMIFS($M$6:$M$505,$D$6:$D$505,D462,$E$6:$E$505,E462),0),""))</x:f>
      </x:c>
    </x:row>
    <x:row r="463" ht="28" customHeight="1">
      <x:c r="A463" s="113" t="str">
        <x:f>IF(D463="","",IF(COUNTIFS(Trips!$A$6:$A$105,D463)=1,INDEX(Trips!$C$6:$C$105,MATCH(D463,Trips!$A$6:$A$105,0)),""))</x:f>
      </x:c>
      <x:c r="B463" s="90" t="str">
        <x:f>IF(D463="","",IF(COUNTIFS(Trips!$A$6:$A$105,D463)=1,INDEX(Trips!$B$6:$B$105,MATCH(D463,Trips!$A$6:$A$105,0)),""))</x:f>
      </x:c>
      <x:c r="C463" s="90" t="str">
        <x:f>IF(D463="","",IF(COUNTIFS(Trips!$A$6:$A$105,D463)=1,INDEX(Trips!$D$6:$D$105,MATCH(D463,Trips!$A$6:$A$105,0)),""))</x:f>
      </x:c>
      <x:c r="D463" s="107"/>
      <x:c r="E463" s="107"/>
      <x:c r="F463" s="90" t="str">
        <x:f>IF(E463="","",IF(COUNTIFS(Counters!$A$6:$A$105,E463)=1,INDEX(Counters!$B$6:$B$105,MATCH(E463,Counters!$A$6:$A$105,0)),""))</x:f>
      </x:c>
      <x:c r="G463" s="107"/>
      <x:c r="H463" s="98" t="str">
        <x:f>IF(C463="","",IF(COUNTIFS('Route List'!$F$6:$F$205,C463)=1,IF(COUNTIFS('Route List'!$F$6:$F$205,C463,'Route List'!$G$6:$G$205,"&lt;&gt;")=1,INDEX('Route List'!$G$6:$G$205,MATCH(C463,'Route List'!$F$6:$F$205,0)),"Enter route fare"),"Enter route fare"))</x:f>
      </x:c>
      <x:c r="I463" s="98" t="str">
        <x:f>IF(F463="","",IF(F463="Own",0,50))</x:f>
      </x:c>
      <x:c r="J463" s="98" t="str">
        <x:f>IF(OR(D463="",E463=""),"",IF(AND(ISNUMBER(G463),ISNUMBER(H463)),ROUND(G463*H463,2),""))</x:f>
      </x:c>
      <x:c r="K463" s="98" t="str">
        <x:f>IF(OR(D463="",E463=""),"",IF(AND(ISNUMBER(G463),ISNUMBER(I463)),ROUND(G463*I463,2),""))</x:f>
      </x:c>
      <x:c r="L463" s="98" t="str">
        <x:f>IF(OR(D463="",E463=""),"",IF(AND(ISNUMBER(J463),ISNUMBER(K463)),J463-K463,""))</x:f>
      </x:c>
      <x:c r="M463" s="114"/>
      <x:c r="N463" s="98" t="str">
        <x:f>IF(OR(D463="",E463=""),"",IF(COUNTIFS($D$6:D463,D463,$E$6:E463,E463)=1,MAX(SUMIFS($L$6:$L$505,$D$6:$D$505,D463,$E$6:$E$505,E463)-SUMIFS($M$6:$M$505,$D$6:$D$505,D463,$E$6:$E$505,E463),0),""))</x:f>
      </x:c>
    </x:row>
    <x:row r="464" ht="28" customHeight="1">
      <x:c r="A464" s="113" t="str">
        <x:f>IF(D464="","",IF(COUNTIFS(Trips!$A$6:$A$105,D464)=1,INDEX(Trips!$C$6:$C$105,MATCH(D464,Trips!$A$6:$A$105,0)),""))</x:f>
      </x:c>
      <x:c r="B464" s="90" t="str">
        <x:f>IF(D464="","",IF(COUNTIFS(Trips!$A$6:$A$105,D464)=1,INDEX(Trips!$B$6:$B$105,MATCH(D464,Trips!$A$6:$A$105,0)),""))</x:f>
      </x:c>
      <x:c r="C464" s="90" t="str">
        <x:f>IF(D464="","",IF(COUNTIFS(Trips!$A$6:$A$105,D464)=1,INDEX(Trips!$D$6:$D$105,MATCH(D464,Trips!$A$6:$A$105,0)),""))</x:f>
      </x:c>
      <x:c r="D464" s="107"/>
      <x:c r="E464" s="107"/>
      <x:c r="F464" s="90" t="str">
        <x:f>IF(E464="","",IF(COUNTIFS(Counters!$A$6:$A$105,E464)=1,INDEX(Counters!$B$6:$B$105,MATCH(E464,Counters!$A$6:$A$105,0)),""))</x:f>
      </x:c>
      <x:c r="G464" s="107"/>
      <x:c r="H464" s="98" t="str">
        <x:f>IF(C464="","",IF(COUNTIFS('Route List'!$F$6:$F$205,C464)=1,IF(COUNTIFS('Route List'!$F$6:$F$205,C464,'Route List'!$G$6:$G$205,"&lt;&gt;")=1,INDEX('Route List'!$G$6:$G$205,MATCH(C464,'Route List'!$F$6:$F$205,0)),"Enter route fare"),"Enter route fare"))</x:f>
      </x:c>
      <x:c r="I464" s="98" t="str">
        <x:f>IF(F464="","",IF(F464="Own",0,50))</x:f>
      </x:c>
      <x:c r="J464" s="98" t="str">
        <x:f>IF(OR(D464="",E464=""),"",IF(AND(ISNUMBER(G464),ISNUMBER(H464)),ROUND(G464*H464,2),""))</x:f>
      </x:c>
      <x:c r="K464" s="98" t="str">
        <x:f>IF(OR(D464="",E464=""),"",IF(AND(ISNUMBER(G464),ISNUMBER(I464)),ROUND(G464*I464,2),""))</x:f>
      </x:c>
      <x:c r="L464" s="98" t="str">
        <x:f>IF(OR(D464="",E464=""),"",IF(AND(ISNUMBER(J464),ISNUMBER(K464)),J464-K464,""))</x:f>
      </x:c>
      <x:c r="M464" s="114"/>
      <x:c r="N464" s="98" t="str">
        <x:f>IF(OR(D464="",E464=""),"",IF(COUNTIFS($D$6:D464,D464,$E$6:E464,E464)=1,MAX(SUMIFS($L$6:$L$505,$D$6:$D$505,D464,$E$6:$E$505,E464)-SUMIFS($M$6:$M$505,$D$6:$D$505,D464,$E$6:$E$505,E464),0),""))</x:f>
      </x:c>
    </x:row>
    <x:row r="465" ht="28" customHeight="1">
      <x:c r="A465" s="113" t="str">
        <x:f>IF(D465="","",IF(COUNTIFS(Trips!$A$6:$A$105,D465)=1,INDEX(Trips!$C$6:$C$105,MATCH(D465,Trips!$A$6:$A$105,0)),""))</x:f>
      </x:c>
      <x:c r="B465" s="90" t="str">
        <x:f>IF(D465="","",IF(COUNTIFS(Trips!$A$6:$A$105,D465)=1,INDEX(Trips!$B$6:$B$105,MATCH(D465,Trips!$A$6:$A$105,0)),""))</x:f>
      </x:c>
      <x:c r="C465" s="90" t="str">
        <x:f>IF(D465="","",IF(COUNTIFS(Trips!$A$6:$A$105,D465)=1,INDEX(Trips!$D$6:$D$105,MATCH(D465,Trips!$A$6:$A$105,0)),""))</x:f>
      </x:c>
      <x:c r="D465" s="107"/>
      <x:c r="E465" s="107"/>
      <x:c r="F465" s="90" t="str">
        <x:f>IF(E465="","",IF(COUNTIFS(Counters!$A$6:$A$105,E465)=1,INDEX(Counters!$B$6:$B$105,MATCH(E465,Counters!$A$6:$A$105,0)),""))</x:f>
      </x:c>
      <x:c r="G465" s="107"/>
      <x:c r="H465" s="98" t="str">
        <x:f>IF(C465="","",IF(COUNTIFS('Route List'!$F$6:$F$205,C465)=1,IF(COUNTIFS('Route List'!$F$6:$F$205,C465,'Route List'!$G$6:$G$205,"&lt;&gt;")=1,INDEX('Route List'!$G$6:$G$205,MATCH(C465,'Route List'!$F$6:$F$205,0)),"Enter route fare"),"Enter route fare"))</x:f>
      </x:c>
      <x:c r="I465" s="98" t="str">
        <x:f>IF(F465="","",IF(F465="Own",0,50))</x:f>
      </x:c>
      <x:c r="J465" s="98" t="str">
        <x:f>IF(OR(D465="",E465=""),"",IF(AND(ISNUMBER(G465),ISNUMBER(H465)),ROUND(G465*H465,2),""))</x:f>
      </x:c>
      <x:c r="K465" s="98" t="str">
        <x:f>IF(OR(D465="",E465=""),"",IF(AND(ISNUMBER(G465),ISNUMBER(I465)),ROUND(G465*I465,2),""))</x:f>
      </x:c>
      <x:c r="L465" s="98" t="str">
        <x:f>IF(OR(D465="",E465=""),"",IF(AND(ISNUMBER(J465),ISNUMBER(K465)),J465-K465,""))</x:f>
      </x:c>
      <x:c r="M465" s="114"/>
      <x:c r="N465" s="98" t="str">
        <x:f>IF(OR(D465="",E465=""),"",IF(COUNTIFS($D$6:D465,D465,$E$6:E465,E465)=1,MAX(SUMIFS($L$6:$L$505,$D$6:$D$505,D465,$E$6:$E$505,E465)-SUMIFS($M$6:$M$505,$D$6:$D$505,D465,$E$6:$E$505,E465),0),""))</x:f>
      </x:c>
    </x:row>
    <x:row r="466" ht="28" customHeight="1">
      <x:c r="A466" s="113" t="str">
        <x:f>IF(D466="","",IF(COUNTIFS(Trips!$A$6:$A$105,D466)=1,INDEX(Trips!$C$6:$C$105,MATCH(D466,Trips!$A$6:$A$105,0)),""))</x:f>
      </x:c>
      <x:c r="B466" s="90" t="str">
        <x:f>IF(D466="","",IF(COUNTIFS(Trips!$A$6:$A$105,D466)=1,INDEX(Trips!$B$6:$B$105,MATCH(D466,Trips!$A$6:$A$105,0)),""))</x:f>
      </x:c>
      <x:c r="C466" s="90" t="str">
        <x:f>IF(D466="","",IF(COUNTIFS(Trips!$A$6:$A$105,D466)=1,INDEX(Trips!$D$6:$D$105,MATCH(D466,Trips!$A$6:$A$105,0)),""))</x:f>
      </x:c>
      <x:c r="D466" s="107"/>
      <x:c r="E466" s="107"/>
      <x:c r="F466" s="90" t="str">
        <x:f>IF(E466="","",IF(COUNTIFS(Counters!$A$6:$A$105,E466)=1,INDEX(Counters!$B$6:$B$105,MATCH(E466,Counters!$A$6:$A$105,0)),""))</x:f>
      </x:c>
      <x:c r="G466" s="107"/>
      <x:c r="H466" s="98" t="str">
        <x:f>IF(C466="","",IF(COUNTIFS('Route List'!$F$6:$F$205,C466)=1,IF(COUNTIFS('Route List'!$F$6:$F$205,C466,'Route List'!$G$6:$G$205,"&lt;&gt;")=1,INDEX('Route List'!$G$6:$G$205,MATCH(C466,'Route List'!$F$6:$F$205,0)),"Enter route fare"),"Enter route fare"))</x:f>
      </x:c>
      <x:c r="I466" s="98" t="str">
        <x:f>IF(F466="","",IF(F466="Own",0,50))</x:f>
      </x:c>
      <x:c r="J466" s="98" t="str">
        <x:f>IF(OR(D466="",E466=""),"",IF(AND(ISNUMBER(G466),ISNUMBER(H466)),ROUND(G466*H466,2),""))</x:f>
      </x:c>
      <x:c r="K466" s="98" t="str">
        <x:f>IF(OR(D466="",E466=""),"",IF(AND(ISNUMBER(G466),ISNUMBER(I466)),ROUND(G466*I466,2),""))</x:f>
      </x:c>
      <x:c r="L466" s="98" t="str">
        <x:f>IF(OR(D466="",E466=""),"",IF(AND(ISNUMBER(J466),ISNUMBER(K466)),J466-K466,""))</x:f>
      </x:c>
      <x:c r="M466" s="114"/>
      <x:c r="N466" s="98" t="str">
        <x:f>IF(OR(D466="",E466=""),"",IF(COUNTIFS($D$6:D466,D466,$E$6:E466,E466)=1,MAX(SUMIFS($L$6:$L$505,$D$6:$D$505,D466,$E$6:$E$505,E466)-SUMIFS($M$6:$M$505,$D$6:$D$505,D466,$E$6:$E$505,E466),0),""))</x:f>
      </x:c>
    </x:row>
    <x:row r="467" ht="28" customHeight="1">
      <x:c r="A467" s="113" t="str">
        <x:f>IF(D467="","",IF(COUNTIFS(Trips!$A$6:$A$105,D467)=1,INDEX(Trips!$C$6:$C$105,MATCH(D467,Trips!$A$6:$A$105,0)),""))</x:f>
      </x:c>
      <x:c r="B467" s="90" t="str">
        <x:f>IF(D467="","",IF(COUNTIFS(Trips!$A$6:$A$105,D467)=1,INDEX(Trips!$B$6:$B$105,MATCH(D467,Trips!$A$6:$A$105,0)),""))</x:f>
      </x:c>
      <x:c r="C467" s="90" t="str">
        <x:f>IF(D467="","",IF(COUNTIFS(Trips!$A$6:$A$105,D467)=1,INDEX(Trips!$D$6:$D$105,MATCH(D467,Trips!$A$6:$A$105,0)),""))</x:f>
      </x:c>
      <x:c r="D467" s="107"/>
      <x:c r="E467" s="107"/>
      <x:c r="F467" s="90" t="str">
        <x:f>IF(E467="","",IF(COUNTIFS(Counters!$A$6:$A$105,E467)=1,INDEX(Counters!$B$6:$B$105,MATCH(E467,Counters!$A$6:$A$105,0)),""))</x:f>
      </x:c>
      <x:c r="G467" s="107"/>
      <x:c r="H467" s="98" t="str">
        <x:f>IF(C467="","",IF(COUNTIFS('Route List'!$F$6:$F$205,C467)=1,IF(COUNTIFS('Route List'!$F$6:$F$205,C467,'Route List'!$G$6:$G$205,"&lt;&gt;")=1,INDEX('Route List'!$G$6:$G$205,MATCH(C467,'Route List'!$F$6:$F$205,0)),"Enter route fare"),"Enter route fare"))</x:f>
      </x:c>
      <x:c r="I467" s="98" t="str">
        <x:f>IF(F467="","",IF(F467="Own",0,50))</x:f>
      </x:c>
      <x:c r="J467" s="98" t="str">
        <x:f>IF(OR(D467="",E467=""),"",IF(AND(ISNUMBER(G467),ISNUMBER(H467)),ROUND(G467*H467,2),""))</x:f>
      </x:c>
      <x:c r="K467" s="98" t="str">
        <x:f>IF(OR(D467="",E467=""),"",IF(AND(ISNUMBER(G467),ISNUMBER(I467)),ROUND(G467*I467,2),""))</x:f>
      </x:c>
      <x:c r="L467" s="98" t="str">
        <x:f>IF(OR(D467="",E467=""),"",IF(AND(ISNUMBER(J467),ISNUMBER(K467)),J467-K467,""))</x:f>
      </x:c>
      <x:c r="M467" s="114"/>
      <x:c r="N467" s="98" t="str">
        <x:f>IF(OR(D467="",E467=""),"",IF(COUNTIFS($D$6:D467,D467,$E$6:E467,E467)=1,MAX(SUMIFS($L$6:$L$505,$D$6:$D$505,D467,$E$6:$E$505,E467)-SUMIFS($M$6:$M$505,$D$6:$D$505,D467,$E$6:$E$505,E467),0),""))</x:f>
      </x:c>
    </x:row>
    <x:row r="468" ht="28" customHeight="1">
      <x:c r="A468" s="113" t="str">
        <x:f>IF(D468="","",IF(COUNTIFS(Trips!$A$6:$A$105,D468)=1,INDEX(Trips!$C$6:$C$105,MATCH(D468,Trips!$A$6:$A$105,0)),""))</x:f>
      </x:c>
      <x:c r="B468" s="90" t="str">
        <x:f>IF(D468="","",IF(COUNTIFS(Trips!$A$6:$A$105,D468)=1,INDEX(Trips!$B$6:$B$105,MATCH(D468,Trips!$A$6:$A$105,0)),""))</x:f>
      </x:c>
      <x:c r="C468" s="90" t="str">
        <x:f>IF(D468="","",IF(COUNTIFS(Trips!$A$6:$A$105,D468)=1,INDEX(Trips!$D$6:$D$105,MATCH(D468,Trips!$A$6:$A$105,0)),""))</x:f>
      </x:c>
      <x:c r="D468" s="107"/>
      <x:c r="E468" s="107"/>
      <x:c r="F468" s="90" t="str">
        <x:f>IF(E468="","",IF(COUNTIFS(Counters!$A$6:$A$105,E468)=1,INDEX(Counters!$B$6:$B$105,MATCH(E468,Counters!$A$6:$A$105,0)),""))</x:f>
      </x:c>
      <x:c r="G468" s="107"/>
      <x:c r="H468" s="98" t="str">
        <x:f>IF(C468="","",IF(COUNTIFS('Route List'!$F$6:$F$205,C468)=1,IF(COUNTIFS('Route List'!$F$6:$F$205,C468,'Route List'!$G$6:$G$205,"&lt;&gt;")=1,INDEX('Route List'!$G$6:$G$205,MATCH(C468,'Route List'!$F$6:$F$205,0)),"Enter route fare"),"Enter route fare"))</x:f>
      </x:c>
      <x:c r="I468" s="98" t="str">
        <x:f>IF(F468="","",IF(F468="Own",0,50))</x:f>
      </x:c>
      <x:c r="J468" s="98" t="str">
        <x:f>IF(OR(D468="",E468=""),"",IF(AND(ISNUMBER(G468),ISNUMBER(H468)),ROUND(G468*H468,2),""))</x:f>
      </x:c>
      <x:c r="K468" s="98" t="str">
        <x:f>IF(OR(D468="",E468=""),"",IF(AND(ISNUMBER(G468),ISNUMBER(I468)),ROUND(G468*I468,2),""))</x:f>
      </x:c>
      <x:c r="L468" s="98" t="str">
        <x:f>IF(OR(D468="",E468=""),"",IF(AND(ISNUMBER(J468),ISNUMBER(K468)),J468-K468,""))</x:f>
      </x:c>
      <x:c r="M468" s="114"/>
      <x:c r="N468" s="98" t="str">
        <x:f>IF(OR(D468="",E468=""),"",IF(COUNTIFS($D$6:D468,D468,$E$6:E468,E468)=1,MAX(SUMIFS($L$6:$L$505,$D$6:$D$505,D468,$E$6:$E$505,E468)-SUMIFS($M$6:$M$505,$D$6:$D$505,D468,$E$6:$E$505,E468),0),""))</x:f>
      </x:c>
    </x:row>
    <x:row r="469" ht="28" customHeight="1">
      <x:c r="A469" s="113" t="str">
        <x:f>IF(D469="","",IF(COUNTIFS(Trips!$A$6:$A$105,D469)=1,INDEX(Trips!$C$6:$C$105,MATCH(D469,Trips!$A$6:$A$105,0)),""))</x:f>
      </x:c>
      <x:c r="B469" s="90" t="str">
        <x:f>IF(D469="","",IF(COUNTIFS(Trips!$A$6:$A$105,D469)=1,INDEX(Trips!$B$6:$B$105,MATCH(D469,Trips!$A$6:$A$105,0)),""))</x:f>
      </x:c>
      <x:c r="C469" s="90" t="str">
        <x:f>IF(D469="","",IF(COUNTIFS(Trips!$A$6:$A$105,D469)=1,INDEX(Trips!$D$6:$D$105,MATCH(D469,Trips!$A$6:$A$105,0)),""))</x:f>
      </x:c>
      <x:c r="D469" s="107"/>
      <x:c r="E469" s="107"/>
      <x:c r="F469" s="90" t="str">
        <x:f>IF(E469="","",IF(COUNTIFS(Counters!$A$6:$A$105,E469)=1,INDEX(Counters!$B$6:$B$105,MATCH(E469,Counters!$A$6:$A$105,0)),""))</x:f>
      </x:c>
      <x:c r="G469" s="107"/>
      <x:c r="H469" s="98" t="str">
        <x:f>IF(C469="","",IF(COUNTIFS('Route List'!$F$6:$F$205,C469)=1,IF(COUNTIFS('Route List'!$F$6:$F$205,C469,'Route List'!$G$6:$G$205,"&lt;&gt;")=1,INDEX('Route List'!$G$6:$G$205,MATCH(C469,'Route List'!$F$6:$F$205,0)),"Enter route fare"),"Enter route fare"))</x:f>
      </x:c>
      <x:c r="I469" s="98" t="str">
        <x:f>IF(F469="","",IF(F469="Own",0,50))</x:f>
      </x:c>
      <x:c r="J469" s="98" t="str">
        <x:f>IF(OR(D469="",E469=""),"",IF(AND(ISNUMBER(G469),ISNUMBER(H469)),ROUND(G469*H469,2),""))</x:f>
      </x:c>
      <x:c r="K469" s="98" t="str">
        <x:f>IF(OR(D469="",E469=""),"",IF(AND(ISNUMBER(G469),ISNUMBER(I469)),ROUND(G469*I469,2),""))</x:f>
      </x:c>
      <x:c r="L469" s="98" t="str">
        <x:f>IF(OR(D469="",E469=""),"",IF(AND(ISNUMBER(J469),ISNUMBER(K469)),J469-K469,""))</x:f>
      </x:c>
      <x:c r="M469" s="114"/>
      <x:c r="N469" s="98" t="str">
        <x:f>IF(OR(D469="",E469=""),"",IF(COUNTIFS($D$6:D469,D469,$E$6:E469,E469)=1,MAX(SUMIFS($L$6:$L$505,$D$6:$D$505,D469,$E$6:$E$505,E469)-SUMIFS($M$6:$M$505,$D$6:$D$505,D469,$E$6:$E$505,E469),0),""))</x:f>
      </x:c>
    </x:row>
    <x:row r="470" ht="28" customHeight="1">
      <x:c r="A470" s="113" t="str">
        <x:f>IF(D470="","",IF(COUNTIFS(Trips!$A$6:$A$105,D470)=1,INDEX(Trips!$C$6:$C$105,MATCH(D470,Trips!$A$6:$A$105,0)),""))</x:f>
      </x:c>
      <x:c r="B470" s="90" t="str">
        <x:f>IF(D470="","",IF(COUNTIFS(Trips!$A$6:$A$105,D470)=1,INDEX(Trips!$B$6:$B$105,MATCH(D470,Trips!$A$6:$A$105,0)),""))</x:f>
      </x:c>
      <x:c r="C470" s="90" t="str">
        <x:f>IF(D470="","",IF(COUNTIFS(Trips!$A$6:$A$105,D470)=1,INDEX(Trips!$D$6:$D$105,MATCH(D470,Trips!$A$6:$A$105,0)),""))</x:f>
      </x:c>
      <x:c r="D470" s="107"/>
      <x:c r="E470" s="107"/>
      <x:c r="F470" s="90" t="str">
        <x:f>IF(E470="","",IF(COUNTIFS(Counters!$A$6:$A$105,E470)=1,INDEX(Counters!$B$6:$B$105,MATCH(E470,Counters!$A$6:$A$105,0)),""))</x:f>
      </x:c>
      <x:c r="G470" s="107"/>
      <x:c r="H470" s="98" t="str">
        <x:f>IF(C470="","",IF(COUNTIFS('Route List'!$F$6:$F$205,C470)=1,IF(COUNTIFS('Route List'!$F$6:$F$205,C470,'Route List'!$G$6:$G$205,"&lt;&gt;")=1,INDEX('Route List'!$G$6:$G$205,MATCH(C470,'Route List'!$F$6:$F$205,0)),"Enter route fare"),"Enter route fare"))</x:f>
      </x:c>
      <x:c r="I470" s="98" t="str">
        <x:f>IF(F470="","",IF(F470="Own",0,50))</x:f>
      </x:c>
      <x:c r="J470" s="98" t="str">
        <x:f>IF(OR(D470="",E470=""),"",IF(AND(ISNUMBER(G470),ISNUMBER(H470)),ROUND(G470*H470,2),""))</x:f>
      </x:c>
      <x:c r="K470" s="98" t="str">
        <x:f>IF(OR(D470="",E470=""),"",IF(AND(ISNUMBER(G470),ISNUMBER(I470)),ROUND(G470*I470,2),""))</x:f>
      </x:c>
      <x:c r="L470" s="98" t="str">
        <x:f>IF(OR(D470="",E470=""),"",IF(AND(ISNUMBER(J470),ISNUMBER(K470)),J470-K470,""))</x:f>
      </x:c>
      <x:c r="M470" s="114"/>
      <x:c r="N470" s="98" t="str">
        <x:f>IF(OR(D470="",E470=""),"",IF(COUNTIFS($D$6:D470,D470,$E$6:E470,E470)=1,MAX(SUMIFS($L$6:$L$505,$D$6:$D$505,D470,$E$6:$E$505,E470)-SUMIFS($M$6:$M$505,$D$6:$D$505,D470,$E$6:$E$505,E470),0),""))</x:f>
      </x:c>
    </x:row>
    <x:row r="471" ht="28" customHeight="1">
      <x:c r="A471" s="113" t="str">
        <x:f>IF(D471="","",IF(COUNTIFS(Trips!$A$6:$A$105,D471)=1,INDEX(Trips!$C$6:$C$105,MATCH(D471,Trips!$A$6:$A$105,0)),""))</x:f>
      </x:c>
      <x:c r="B471" s="90" t="str">
        <x:f>IF(D471="","",IF(COUNTIFS(Trips!$A$6:$A$105,D471)=1,INDEX(Trips!$B$6:$B$105,MATCH(D471,Trips!$A$6:$A$105,0)),""))</x:f>
      </x:c>
      <x:c r="C471" s="90" t="str">
        <x:f>IF(D471="","",IF(COUNTIFS(Trips!$A$6:$A$105,D471)=1,INDEX(Trips!$D$6:$D$105,MATCH(D471,Trips!$A$6:$A$105,0)),""))</x:f>
      </x:c>
      <x:c r="D471" s="107"/>
      <x:c r="E471" s="107"/>
      <x:c r="F471" s="90" t="str">
        <x:f>IF(E471="","",IF(COUNTIFS(Counters!$A$6:$A$105,E471)=1,INDEX(Counters!$B$6:$B$105,MATCH(E471,Counters!$A$6:$A$105,0)),""))</x:f>
      </x:c>
      <x:c r="G471" s="107"/>
      <x:c r="H471" s="98" t="str">
        <x:f>IF(C471="","",IF(COUNTIFS('Route List'!$F$6:$F$205,C471)=1,IF(COUNTIFS('Route List'!$F$6:$F$205,C471,'Route List'!$G$6:$G$205,"&lt;&gt;")=1,INDEX('Route List'!$G$6:$G$205,MATCH(C471,'Route List'!$F$6:$F$205,0)),"Enter route fare"),"Enter route fare"))</x:f>
      </x:c>
      <x:c r="I471" s="98" t="str">
        <x:f>IF(F471="","",IF(F471="Own",0,50))</x:f>
      </x:c>
      <x:c r="J471" s="98" t="str">
        <x:f>IF(OR(D471="",E471=""),"",IF(AND(ISNUMBER(G471),ISNUMBER(H471)),ROUND(G471*H471,2),""))</x:f>
      </x:c>
      <x:c r="K471" s="98" t="str">
        <x:f>IF(OR(D471="",E471=""),"",IF(AND(ISNUMBER(G471),ISNUMBER(I471)),ROUND(G471*I471,2),""))</x:f>
      </x:c>
      <x:c r="L471" s="98" t="str">
        <x:f>IF(OR(D471="",E471=""),"",IF(AND(ISNUMBER(J471),ISNUMBER(K471)),J471-K471,""))</x:f>
      </x:c>
      <x:c r="M471" s="114"/>
      <x:c r="N471" s="98" t="str">
        <x:f>IF(OR(D471="",E471=""),"",IF(COUNTIFS($D$6:D471,D471,$E$6:E471,E471)=1,MAX(SUMIFS($L$6:$L$505,$D$6:$D$505,D471,$E$6:$E$505,E471)-SUMIFS($M$6:$M$505,$D$6:$D$505,D471,$E$6:$E$505,E471),0),""))</x:f>
      </x:c>
    </x:row>
    <x:row r="472" ht="28" customHeight="1">
      <x:c r="A472" s="113" t="str">
        <x:f>IF(D472="","",IF(COUNTIFS(Trips!$A$6:$A$105,D472)=1,INDEX(Trips!$C$6:$C$105,MATCH(D472,Trips!$A$6:$A$105,0)),""))</x:f>
      </x:c>
      <x:c r="B472" s="90" t="str">
        <x:f>IF(D472="","",IF(COUNTIFS(Trips!$A$6:$A$105,D472)=1,INDEX(Trips!$B$6:$B$105,MATCH(D472,Trips!$A$6:$A$105,0)),""))</x:f>
      </x:c>
      <x:c r="C472" s="90" t="str">
        <x:f>IF(D472="","",IF(COUNTIFS(Trips!$A$6:$A$105,D472)=1,INDEX(Trips!$D$6:$D$105,MATCH(D472,Trips!$A$6:$A$105,0)),""))</x:f>
      </x:c>
      <x:c r="D472" s="107"/>
      <x:c r="E472" s="107"/>
      <x:c r="F472" s="90" t="str">
        <x:f>IF(E472="","",IF(COUNTIFS(Counters!$A$6:$A$105,E472)=1,INDEX(Counters!$B$6:$B$105,MATCH(E472,Counters!$A$6:$A$105,0)),""))</x:f>
      </x:c>
      <x:c r="G472" s="107"/>
      <x:c r="H472" s="98" t="str">
        <x:f>IF(C472="","",IF(COUNTIFS('Route List'!$F$6:$F$205,C472)=1,IF(COUNTIFS('Route List'!$F$6:$F$205,C472,'Route List'!$G$6:$G$205,"&lt;&gt;")=1,INDEX('Route List'!$G$6:$G$205,MATCH(C472,'Route List'!$F$6:$F$205,0)),"Enter route fare"),"Enter route fare"))</x:f>
      </x:c>
      <x:c r="I472" s="98" t="str">
        <x:f>IF(F472="","",IF(F472="Own",0,50))</x:f>
      </x:c>
      <x:c r="J472" s="98" t="str">
        <x:f>IF(OR(D472="",E472=""),"",IF(AND(ISNUMBER(G472),ISNUMBER(H472)),ROUND(G472*H472,2),""))</x:f>
      </x:c>
      <x:c r="K472" s="98" t="str">
        <x:f>IF(OR(D472="",E472=""),"",IF(AND(ISNUMBER(G472),ISNUMBER(I472)),ROUND(G472*I472,2),""))</x:f>
      </x:c>
      <x:c r="L472" s="98" t="str">
        <x:f>IF(OR(D472="",E472=""),"",IF(AND(ISNUMBER(J472),ISNUMBER(K472)),J472-K472,""))</x:f>
      </x:c>
      <x:c r="M472" s="114"/>
      <x:c r="N472" s="98" t="str">
        <x:f>IF(OR(D472="",E472=""),"",IF(COUNTIFS($D$6:D472,D472,$E$6:E472,E472)=1,MAX(SUMIFS($L$6:$L$505,$D$6:$D$505,D472,$E$6:$E$505,E472)-SUMIFS($M$6:$M$505,$D$6:$D$505,D472,$E$6:$E$505,E472),0),""))</x:f>
      </x:c>
    </x:row>
    <x:row r="473" ht="28" customHeight="1">
      <x:c r="A473" s="113" t="str">
        <x:f>IF(D473="","",IF(COUNTIFS(Trips!$A$6:$A$105,D473)=1,INDEX(Trips!$C$6:$C$105,MATCH(D473,Trips!$A$6:$A$105,0)),""))</x:f>
      </x:c>
      <x:c r="B473" s="90" t="str">
        <x:f>IF(D473="","",IF(COUNTIFS(Trips!$A$6:$A$105,D473)=1,INDEX(Trips!$B$6:$B$105,MATCH(D473,Trips!$A$6:$A$105,0)),""))</x:f>
      </x:c>
      <x:c r="C473" s="90" t="str">
        <x:f>IF(D473="","",IF(COUNTIFS(Trips!$A$6:$A$105,D473)=1,INDEX(Trips!$D$6:$D$105,MATCH(D473,Trips!$A$6:$A$105,0)),""))</x:f>
      </x:c>
      <x:c r="D473" s="107"/>
      <x:c r="E473" s="107"/>
      <x:c r="F473" s="90" t="str">
        <x:f>IF(E473="","",IF(COUNTIFS(Counters!$A$6:$A$105,E473)=1,INDEX(Counters!$B$6:$B$105,MATCH(E473,Counters!$A$6:$A$105,0)),""))</x:f>
      </x:c>
      <x:c r="G473" s="107"/>
      <x:c r="H473" s="98" t="str">
        <x:f>IF(C473="","",IF(COUNTIFS('Route List'!$F$6:$F$205,C473)=1,IF(COUNTIFS('Route List'!$F$6:$F$205,C473,'Route List'!$G$6:$G$205,"&lt;&gt;")=1,INDEX('Route List'!$G$6:$G$205,MATCH(C473,'Route List'!$F$6:$F$205,0)),"Enter route fare"),"Enter route fare"))</x:f>
      </x:c>
      <x:c r="I473" s="98" t="str">
        <x:f>IF(F473="","",IF(F473="Own",0,50))</x:f>
      </x:c>
      <x:c r="J473" s="98" t="str">
        <x:f>IF(OR(D473="",E473=""),"",IF(AND(ISNUMBER(G473),ISNUMBER(H473)),ROUND(G473*H473,2),""))</x:f>
      </x:c>
      <x:c r="K473" s="98" t="str">
        <x:f>IF(OR(D473="",E473=""),"",IF(AND(ISNUMBER(G473),ISNUMBER(I473)),ROUND(G473*I473,2),""))</x:f>
      </x:c>
      <x:c r="L473" s="98" t="str">
        <x:f>IF(OR(D473="",E473=""),"",IF(AND(ISNUMBER(J473),ISNUMBER(K473)),J473-K473,""))</x:f>
      </x:c>
      <x:c r="M473" s="114"/>
      <x:c r="N473" s="98" t="str">
        <x:f>IF(OR(D473="",E473=""),"",IF(COUNTIFS($D$6:D473,D473,$E$6:E473,E473)=1,MAX(SUMIFS($L$6:$L$505,$D$6:$D$505,D473,$E$6:$E$505,E473)-SUMIFS($M$6:$M$505,$D$6:$D$505,D473,$E$6:$E$505,E473),0),""))</x:f>
      </x:c>
    </x:row>
    <x:row r="474" ht="28" customHeight="1">
      <x:c r="A474" s="113" t="str">
        <x:f>IF(D474="","",IF(COUNTIFS(Trips!$A$6:$A$105,D474)=1,INDEX(Trips!$C$6:$C$105,MATCH(D474,Trips!$A$6:$A$105,0)),""))</x:f>
      </x:c>
      <x:c r="B474" s="90" t="str">
        <x:f>IF(D474="","",IF(COUNTIFS(Trips!$A$6:$A$105,D474)=1,INDEX(Trips!$B$6:$B$105,MATCH(D474,Trips!$A$6:$A$105,0)),""))</x:f>
      </x:c>
      <x:c r="C474" s="90" t="str">
        <x:f>IF(D474="","",IF(COUNTIFS(Trips!$A$6:$A$105,D474)=1,INDEX(Trips!$D$6:$D$105,MATCH(D474,Trips!$A$6:$A$105,0)),""))</x:f>
      </x:c>
      <x:c r="D474" s="107"/>
      <x:c r="E474" s="107"/>
      <x:c r="F474" s="90" t="str">
        <x:f>IF(E474="","",IF(COUNTIFS(Counters!$A$6:$A$105,E474)=1,INDEX(Counters!$B$6:$B$105,MATCH(E474,Counters!$A$6:$A$105,0)),""))</x:f>
      </x:c>
      <x:c r="G474" s="107"/>
      <x:c r="H474" s="98" t="str">
        <x:f>IF(C474="","",IF(COUNTIFS('Route List'!$F$6:$F$205,C474)=1,IF(COUNTIFS('Route List'!$F$6:$F$205,C474,'Route List'!$G$6:$G$205,"&lt;&gt;")=1,INDEX('Route List'!$G$6:$G$205,MATCH(C474,'Route List'!$F$6:$F$205,0)),"Enter route fare"),"Enter route fare"))</x:f>
      </x:c>
      <x:c r="I474" s="98" t="str">
        <x:f>IF(F474="","",IF(F474="Own",0,50))</x:f>
      </x:c>
      <x:c r="J474" s="98" t="str">
        <x:f>IF(OR(D474="",E474=""),"",IF(AND(ISNUMBER(G474),ISNUMBER(H474)),ROUND(G474*H474,2),""))</x:f>
      </x:c>
      <x:c r="K474" s="98" t="str">
        <x:f>IF(OR(D474="",E474=""),"",IF(AND(ISNUMBER(G474),ISNUMBER(I474)),ROUND(G474*I474,2),""))</x:f>
      </x:c>
      <x:c r="L474" s="98" t="str">
        <x:f>IF(OR(D474="",E474=""),"",IF(AND(ISNUMBER(J474),ISNUMBER(K474)),J474-K474,""))</x:f>
      </x:c>
      <x:c r="M474" s="114"/>
      <x:c r="N474" s="98" t="str">
        <x:f>IF(OR(D474="",E474=""),"",IF(COUNTIFS($D$6:D474,D474,$E$6:E474,E474)=1,MAX(SUMIFS($L$6:$L$505,$D$6:$D$505,D474,$E$6:$E$505,E474)-SUMIFS($M$6:$M$505,$D$6:$D$505,D474,$E$6:$E$505,E474),0),""))</x:f>
      </x:c>
    </x:row>
    <x:row r="475" ht="28" customHeight="1">
      <x:c r="A475" s="113" t="str">
        <x:f>IF(D475="","",IF(COUNTIFS(Trips!$A$6:$A$105,D475)=1,INDEX(Trips!$C$6:$C$105,MATCH(D475,Trips!$A$6:$A$105,0)),""))</x:f>
      </x:c>
      <x:c r="B475" s="90" t="str">
        <x:f>IF(D475="","",IF(COUNTIFS(Trips!$A$6:$A$105,D475)=1,INDEX(Trips!$B$6:$B$105,MATCH(D475,Trips!$A$6:$A$105,0)),""))</x:f>
      </x:c>
      <x:c r="C475" s="90" t="str">
        <x:f>IF(D475="","",IF(COUNTIFS(Trips!$A$6:$A$105,D475)=1,INDEX(Trips!$D$6:$D$105,MATCH(D475,Trips!$A$6:$A$105,0)),""))</x:f>
      </x:c>
      <x:c r="D475" s="107"/>
      <x:c r="E475" s="107"/>
      <x:c r="F475" s="90" t="str">
        <x:f>IF(E475="","",IF(COUNTIFS(Counters!$A$6:$A$105,E475)=1,INDEX(Counters!$B$6:$B$105,MATCH(E475,Counters!$A$6:$A$105,0)),""))</x:f>
      </x:c>
      <x:c r="G475" s="107"/>
      <x:c r="H475" s="98" t="str">
        <x:f>IF(C475="","",IF(COUNTIFS('Route List'!$F$6:$F$205,C475)=1,IF(COUNTIFS('Route List'!$F$6:$F$205,C475,'Route List'!$G$6:$G$205,"&lt;&gt;")=1,INDEX('Route List'!$G$6:$G$205,MATCH(C475,'Route List'!$F$6:$F$205,0)),"Enter route fare"),"Enter route fare"))</x:f>
      </x:c>
      <x:c r="I475" s="98" t="str">
        <x:f>IF(F475="","",IF(F475="Own",0,50))</x:f>
      </x:c>
      <x:c r="J475" s="98" t="str">
        <x:f>IF(OR(D475="",E475=""),"",IF(AND(ISNUMBER(G475),ISNUMBER(H475)),ROUND(G475*H475,2),""))</x:f>
      </x:c>
      <x:c r="K475" s="98" t="str">
        <x:f>IF(OR(D475="",E475=""),"",IF(AND(ISNUMBER(G475),ISNUMBER(I475)),ROUND(G475*I475,2),""))</x:f>
      </x:c>
      <x:c r="L475" s="98" t="str">
        <x:f>IF(OR(D475="",E475=""),"",IF(AND(ISNUMBER(J475),ISNUMBER(K475)),J475-K475,""))</x:f>
      </x:c>
      <x:c r="M475" s="114"/>
      <x:c r="N475" s="98" t="str">
        <x:f>IF(OR(D475="",E475=""),"",IF(COUNTIFS($D$6:D475,D475,$E$6:E475,E475)=1,MAX(SUMIFS($L$6:$L$505,$D$6:$D$505,D475,$E$6:$E$505,E475)-SUMIFS($M$6:$M$505,$D$6:$D$505,D475,$E$6:$E$505,E475),0),""))</x:f>
      </x:c>
    </x:row>
    <x:row r="476" ht="28" customHeight="1">
      <x:c r="A476" s="113" t="str">
        <x:f>IF(D476="","",IF(COUNTIFS(Trips!$A$6:$A$105,D476)=1,INDEX(Trips!$C$6:$C$105,MATCH(D476,Trips!$A$6:$A$105,0)),""))</x:f>
      </x:c>
      <x:c r="B476" s="90" t="str">
        <x:f>IF(D476="","",IF(COUNTIFS(Trips!$A$6:$A$105,D476)=1,INDEX(Trips!$B$6:$B$105,MATCH(D476,Trips!$A$6:$A$105,0)),""))</x:f>
      </x:c>
      <x:c r="C476" s="90" t="str">
        <x:f>IF(D476="","",IF(COUNTIFS(Trips!$A$6:$A$105,D476)=1,INDEX(Trips!$D$6:$D$105,MATCH(D476,Trips!$A$6:$A$105,0)),""))</x:f>
      </x:c>
      <x:c r="D476" s="107"/>
      <x:c r="E476" s="107"/>
      <x:c r="F476" s="90" t="str">
        <x:f>IF(E476="","",IF(COUNTIFS(Counters!$A$6:$A$105,E476)=1,INDEX(Counters!$B$6:$B$105,MATCH(E476,Counters!$A$6:$A$105,0)),""))</x:f>
      </x:c>
      <x:c r="G476" s="107"/>
      <x:c r="H476" s="98" t="str">
        <x:f>IF(C476="","",IF(COUNTIFS('Route List'!$F$6:$F$205,C476)=1,IF(COUNTIFS('Route List'!$F$6:$F$205,C476,'Route List'!$G$6:$G$205,"&lt;&gt;")=1,INDEX('Route List'!$G$6:$G$205,MATCH(C476,'Route List'!$F$6:$F$205,0)),"Enter route fare"),"Enter route fare"))</x:f>
      </x:c>
      <x:c r="I476" s="98" t="str">
        <x:f>IF(F476="","",IF(F476="Own",0,50))</x:f>
      </x:c>
      <x:c r="J476" s="98" t="str">
        <x:f>IF(OR(D476="",E476=""),"",IF(AND(ISNUMBER(G476),ISNUMBER(H476)),ROUND(G476*H476,2),""))</x:f>
      </x:c>
      <x:c r="K476" s="98" t="str">
        <x:f>IF(OR(D476="",E476=""),"",IF(AND(ISNUMBER(G476),ISNUMBER(I476)),ROUND(G476*I476,2),""))</x:f>
      </x:c>
      <x:c r="L476" s="98" t="str">
        <x:f>IF(OR(D476="",E476=""),"",IF(AND(ISNUMBER(J476),ISNUMBER(K476)),J476-K476,""))</x:f>
      </x:c>
      <x:c r="M476" s="114"/>
      <x:c r="N476" s="98" t="str">
        <x:f>IF(OR(D476="",E476=""),"",IF(COUNTIFS($D$6:D476,D476,$E$6:E476,E476)=1,MAX(SUMIFS($L$6:$L$505,$D$6:$D$505,D476,$E$6:$E$505,E476)-SUMIFS($M$6:$M$505,$D$6:$D$505,D476,$E$6:$E$505,E476),0),""))</x:f>
      </x:c>
    </x:row>
    <x:row r="477" ht="28" customHeight="1">
      <x:c r="A477" s="113" t="str">
        <x:f>IF(D477="","",IF(COUNTIFS(Trips!$A$6:$A$105,D477)=1,INDEX(Trips!$C$6:$C$105,MATCH(D477,Trips!$A$6:$A$105,0)),""))</x:f>
      </x:c>
      <x:c r="B477" s="90" t="str">
        <x:f>IF(D477="","",IF(COUNTIFS(Trips!$A$6:$A$105,D477)=1,INDEX(Trips!$B$6:$B$105,MATCH(D477,Trips!$A$6:$A$105,0)),""))</x:f>
      </x:c>
      <x:c r="C477" s="90" t="str">
        <x:f>IF(D477="","",IF(COUNTIFS(Trips!$A$6:$A$105,D477)=1,INDEX(Trips!$D$6:$D$105,MATCH(D477,Trips!$A$6:$A$105,0)),""))</x:f>
      </x:c>
      <x:c r="D477" s="107"/>
      <x:c r="E477" s="107"/>
      <x:c r="F477" s="90" t="str">
        <x:f>IF(E477="","",IF(COUNTIFS(Counters!$A$6:$A$105,E477)=1,INDEX(Counters!$B$6:$B$105,MATCH(E477,Counters!$A$6:$A$105,0)),""))</x:f>
      </x:c>
      <x:c r="G477" s="107"/>
      <x:c r="H477" s="98" t="str">
        <x:f>IF(C477="","",IF(COUNTIFS('Route List'!$F$6:$F$205,C477)=1,IF(COUNTIFS('Route List'!$F$6:$F$205,C477,'Route List'!$G$6:$G$205,"&lt;&gt;")=1,INDEX('Route List'!$G$6:$G$205,MATCH(C477,'Route List'!$F$6:$F$205,0)),"Enter route fare"),"Enter route fare"))</x:f>
      </x:c>
      <x:c r="I477" s="98" t="str">
        <x:f>IF(F477="","",IF(F477="Own",0,50))</x:f>
      </x:c>
      <x:c r="J477" s="98" t="str">
        <x:f>IF(OR(D477="",E477=""),"",IF(AND(ISNUMBER(G477),ISNUMBER(H477)),ROUND(G477*H477,2),""))</x:f>
      </x:c>
      <x:c r="K477" s="98" t="str">
        <x:f>IF(OR(D477="",E477=""),"",IF(AND(ISNUMBER(G477),ISNUMBER(I477)),ROUND(G477*I477,2),""))</x:f>
      </x:c>
      <x:c r="L477" s="98" t="str">
        <x:f>IF(OR(D477="",E477=""),"",IF(AND(ISNUMBER(J477),ISNUMBER(K477)),J477-K477,""))</x:f>
      </x:c>
      <x:c r="M477" s="114"/>
      <x:c r="N477" s="98" t="str">
        <x:f>IF(OR(D477="",E477=""),"",IF(COUNTIFS($D$6:D477,D477,$E$6:E477,E477)=1,MAX(SUMIFS($L$6:$L$505,$D$6:$D$505,D477,$E$6:$E$505,E477)-SUMIFS($M$6:$M$505,$D$6:$D$505,D477,$E$6:$E$505,E477),0),""))</x:f>
      </x:c>
    </x:row>
    <x:row r="478" ht="28" customHeight="1">
      <x:c r="A478" s="113" t="str">
        <x:f>IF(D478="","",IF(COUNTIFS(Trips!$A$6:$A$105,D478)=1,INDEX(Trips!$C$6:$C$105,MATCH(D478,Trips!$A$6:$A$105,0)),""))</x:f>
      </x:c>
      <x:c r="B478" s="90" t="str">
        <x:f>IF(D478="","",IF(COUNTIFS(Trips!$A$6:$A$105,D478)=1,INDEX(Trips!$B$6:$B$105,MATCH(D478,Trips!$A$6:$A$105,0)),""))</x:f>
      </x:c>
      <x:c r="C478" s="90" t="str">
        <x:f>IF(D478="","",IF(COUNTIFS(Trips!$A$6:$A$105,D478)=1,INDEX(Trips!$D$6:$D$105,MATCH(D478,Trips!$A$6:$A$105,0)),""))</x:f>
      </x:c>
      <x:c r="D478" s="107"/>
      <x:c r="E478" s="107"/>
      <x:c r="F478" s="90" t="str">
        <x:f>IF(E478="","",IF(COUNTIFS(Counters!$A$6:$A$105,E478)=1,INDEX(Counters!$B$6:$B$105,MATCH(E478,Counters!$A$6:$A$105,0)),""))</x:f>
      </x:c>
      <x:c r="G478" s="107"/>
      <x:c r="H478" s="98" t="str">
        <x:f>IF(C478="","",IF(COUNTIFS('Route List'!$F$6:$F$205,C478)=1,IF(COUNTIFS('Route List'!$F$6:$F$205,C478,'Route List'!$G$6:$G$205,"&lt;&gt;")=1,INDEX('Route List'!$G$6:$G$205,MATCH(C478,'Route List'!$F$6:$F$205,0)),"Enter route fare"),"Enter route fare"))</x:f>
      </x:c>
      <x:c r="I478" s="98" t="str">
        <x:f>IF(F478="","",IF(F478="Own",0,50))</x:f>
      </x:c>
      <x:c r="J478" s="98" t="str">
        <x:f>IF(OR(D478="",E478=""),"",IF(AND(ISNUMBER(G478),ISNUMBER(H478)),ROUND(G478*H478,2),""))</x:f>
      </x:c>
      <x:c r="K478" s="98" t="str">
        <x:f>IF(OR(D478="",E478=""),"",IF(AND(ISNUMBER(G478),ISNUMBER(I478)),ROUND(G478*I478,2),""))</x:f>
      </x:c>
      <x:c r="L478" s="98" t="str">
        <x:f>IF(OR(D478="",E478=""),"",IF(AND(ISNUMBER(J478),ISNUMBER(K478)),J478-K478,""))</x:f>
      </x:c>
      <x:c r="M478" s="114"/>
      <x:c r="N478" s="98" t="str">
        <x:f>IF(OR(D478="",E478=""),"",IF(COUNTIFS($D$6:D478,D478,$E$6:E478,E478)=1,MAX(SUMIFS($L$6:$L$505,$D$6:$D$505,D478,$E$6:$E$505,E478)-SUMIFS($M$6:$M$505,$D$6:$D$505,D478,$E$6:$E$505,E478),0),""))</x:f>
      </x:c>
    </x:row>
    <x:row r="479" ht="28" customHeight="1">
      <x:c r="A479" s="113" t="str">
        <x:f>IF(D479="","",IF(COUNTIFS(Trips!$A$6:$A$105,D479)=1,INDEX(Trips!$C$6:$C$105,MATCH(D479,Trips!$A$6:$A$105,0)),""))</x:f>
      </x:c>
      <x:c r="B479" s="90" t="str">
        <x:f>IF(D479="","",IF(COUNTIFS(Trips!$A$6:$A$105,D479)=1,INDEX(Trips!$B$6:$B$105,MATCH(D479,Trips!$A$6:$A$105,0)),""))</x:f>
      </x:c>
      <x:c r="C479" s="90" t="str">
        <x:f>IF(D479="","",IF(COUNTIFS(Trips!$A$6:$A$105,D479)=1,INDEX(Trips!$D$6:$D$105,MATCH(D479,Trips!$A$6:$A$105,0)),""))</x:f>
      </x:c>
      <x:c r="D479" s="107"/>
      <x:c r="E479" s="107"/>
      <x:c r="F479" s="90" t="str">
        <x:f>IF(E479="","",IF(COUNTIFS(Counters!$A$6:$A$105,E479)=1,INDEX(Counters!$B$6:$B$105,MATCH(E479,Counters!$A$6:$A$105,0)),""))</x:f>
      </x:c>
      <x:c r="G479" s="107"/>
      <x:c r="H479" s="98" t="str">
        <x:f>IF(C479="","",IF(COUNTIFS('Route List'!$F$6:$F$205,C479)=1,IF(COUNTIFS('Route List'!$F$6:$F$205,C479,'Route List'!$G$6:$G$205,"&lt;&gt;")=1,INDEX('Route List'!$G$6:$G$205,MATCH(C479,'Route List'!$F$6:$F$205,0)),"Enter route fare"),"Enter route fare"))</x:f>
      </x:c>
      <x:c r="I479" s="98" t="str">
        <x:f>IF(F479="","",IF(F479="Own",0,50))</x:f>
      </x:c>
      <x:c r="J479" s="98" t="str">
        <x:f>IF(OR(D479="",E479=""),"",IF(AND(ISNUMBER(G479),ISNUMBER(H479)),ROUND(G479*H479,2),""))</x:f>
      </x:c>
      <x:c r="K479" s="98" t="str">
        <x:f>IF(OR(D479="",E479=""),"",IF(AND(ISNUMBER(G479),ISNUMBER(I479)),ROUND(G479*I479,2),""))</x:f>
      </x:c>
      <x:c r="L479" s="98" t="str">
        <x:f>IF(OR(D479="",E479=""),"",IF(AND(ISNUMBER(J479),ISNUMBER(K479)),J479-K479,""))</x:f>
      </x:c>
      <x:c r="M479" s="114"/>
      <x:c r="N479" s="98" t="str">
        <x:f>IF(OR(D479="",E479=""),"",IF(COUNTIFS($D$6:D479,D479,$E$6:E479,E479)=1,MAX(SUMIFS($L$6:$L$505,$D$6:$D$505,D479,$E$6:$E$505,E479)-SUMIFS($M$6:$M$505,$D$6:$D$505,D479,$E$6:$E$505,E479),0),""))</x:f>
      </x:c>
    </x:row>
    <x:row r="480" ht="28" customHeight="1">
      <x:c r="A480" s="113" t="str">
        <x:f>IF(D480="","",IF(COUNTIFS(Trips!$A$6:$A$105,D480)=1,INDEX(Trips!$C$6:$C$105,MATCH(D480,Trips!$A$6:$A$105,0)),""))</x:f>
      </x:c>
      <x:c r="B480" s="90" t="str">
        <x:f>IF(D480="","",IF(COUNTIFS(Trips!$A$6:$A$105,D480)=1,INDEX(Trips!$B$6:$B$105,MATCH(D480,Trips!$A$6:$A$105,0)),""))</x:f>
      </x:c>
      <x:c r="C480" s="90" t="str">
        <x:f>IF(D480="","",IF(COUNTIFS(Trips!$A$6:$A$105,D480)=1,INDEX(Trips!$D$6:$D$105,MATCH(D480,Trips!$A$6:$A$105,0)),""))</x:f>
      </x:c>
      <x:c r="D480" s="107"/>
      <x:c r="E480" s="107"/>
      <x:c r="F480" s="90" t="str">
        <x:f>IF(E480="","",IF(COUNTIFS(Counters!$A$6:$A$105,E480)=1,INDEX(Counters!$B$6:$B$105,MATCH(E480,Counters!$A$6:$A$105,0)),""))</x:f>
      </x:c>
      <x:c r="G480" s="107"/>
      <x:c r="H480" s="98" t="str">
        <x:f>IF(C480="","",IF(COUNTIFS('Route List'!$F$6:$F$205,C480)=1,IF(COUNTIFS('Route List'!$F$6:$F$205,C480,'Route List'!$G$6:$G$205,"&lt;&gt;")=1,INDEX('Route List'!$G$6:$G$205,MATCH(C480,'Route List'!$F$6:$F$205,0)),"Enter route fare"),"Enter route fare"))</x:f>
      </x:c>
      <x:c r="I480" s="98" t="str">
        <x:f>IF(F480="","",IF(F480="Own",0,50))</x:f>
      </x:c>
      <x:c r="J480" s="98" t="str">
        <x:f>IF(OR(D480="",E480=""),"",IF(AND(ISNUMBER(G480),ISNUMBER(H480)),ROUND(G480*H480,2),""))</x:f>
      </x:c>
      <x:c r="K480" s="98" t="str">
        <x:f>IF(OR(D480="",E480=""),"",IF(AND(ISNUMBER(G480),ISNUMBER(I480)),ROUND(G480*I480,2),""))</x:f>
      </x:c>
      <x:c r="L480" s="98" t="str">
        <x:f>IF(OR(D480="",E480=""),"",IF(AND(ISNUMBER(J480),ISNUMBER(K480)),J480-K480,""))</x:f>
      </x:c>
      <x:c r="M480" s="114"/>
      <x:c r="N480" s="98" t="str">
        <x:f>IF(OR(D480="",E480=""),"",IF(COUNTIFS($D$6:D480,D480,$E$6:E480,E480)=1,MAX(SUMIFS($L$6:$L$505,$D$6:$D$505,D480,$E$6:$E$505,E480)-SUMIFS($M$6:$M$505,$D$6:$D$505,D480,$E$6:$E$505,E480),0),""))</x:f>
      </x:c>
    </x:row>
    <x:row r="481" ht="28" customHeight="1">
      <x:c r="A481" s="113" t="str">
        <x:f>IF(D481="","",IF(COUNTIFS(Trips!$A$6:$A$105,D481)=1,INDEX(Trips!$C$6:$C$105,MATCH(D481,Trips!$A$6:$A$105,0)),""))</x:f>
      </x:c>
      <x:c r="B481" s="90" t="str">
        <x:f>IF(D481="","",IF(COUNTIFS(Trips!$A$6:$A$105,D481)=1,INDEX(Trips!$B$6:$B$105,MATCH(D481,Trips!$A$6:$A$105,0)),""))</x:f>
      </x:c>
      <x:c r="C481" s="90" t="str">
        <x:f>IF(D481="","",IF(COUNTIFS(Trips!$A$6:$A$105,D481)=1,INDEX(Trips!$D$6:$D$105,MATCH(D481,Trips!$A$6:$A$105,0)),""))</x:f>
      </x:c>
      <x:c r="D481" s="107"/>
      <x:c r="E481" s="107"/>
      <x:c r="F481" s="90" t="str">
        <x:f>IF(E481="","",IF(COUNTIFS(Counters!$A$6:$A$105,E481)=1,INDEX(Counters!$B$6:$B$105,MATCH(E481,Counters!$A$6:$A$105,0)),""))</x:f>
      </x:c>
      <x:c r="G481" s="107"/>
      <x:c r="H481" s="98" t="str">
        <x:f>IF(C481="","",IF(COUNTIFS('Route List'!$F$6:$F$205,C481)=1,IF(COUNTIFS('Route List'!$F$6:$F$205,C481,'Route List'!$G$6:$G$205,"&lt;&gt;")=1,INDEX('Route List'!$G$6:$G$205,MATCH(C481,'Route List'!$F$6:$F$205,0)),"Enter route fare"),"Enter route fare"))</x:f>
      </x:c>
      <x:c r="I481" s="98" t="str">
        <x:f>IF(F481="","",IF(F481="Own",0,50))</x:f>
      </x:c>
      <x:c r="J481" s="98" t="str">
        <x:f>IF(OR(D481="",E481=""),"",IF(AND(ISNUMBER(G481),ISNUMBER(H481)),ROUND(G481*H481,2),""))</x:f>
      </x:c>
      <x:c r="K481" s="98" t="str">
        <x:f>IF(OR(D481="",E481=""),"",IF(AND(ISNUMBER(G481),ISNUMBER(I481)),ROUND(G481*I481,2),""))</x:f>
      </x:c>
      <x:c r="L481" s="98" t="str">
        <x:f>IF(OR(D481="",E481=""),"",IF(AND(ISNUMBER(J481),ISNUMBER(K481)),J481-K481,""))</x:f>
      </x:c>
      <x:c r="M481" s="114"/>
      <x:c r="N481" s="98" t="str">
        <x:f>IF(OR(D481="",E481=""),"",IF(COUNTIFS($D$6:D481,D481,$E$6:E481,E481)=1,MAX(SUMIFS($L$6:$L$505,$D$6:$D$505,D481,$E$6:$E$505,E481)-SUMIFS($M$6:$M$505,$D$6:$D$505,D481,$E$6:$E$505,E481),0),""))</x:f>
      </x:c>
    </x:row>
    <x:row r="482" ht="28" customHeight="1">
      <x:c r="A482" s="113" t="str">
        <x:f>IF(D482="","",IF(COUNTIFS(Trips!$A$6:$A$105,D482)=1,INDEX(Trips!$C$6:$C$105,MATCH(D482,Trips!$A$6:$A$105,0)),""))</x:f>
      </x:c>
      <x:c r="B482" s="90" t="str">
        <x:f>IF(D482="","",IF(COUNTIFS(Trips!$A$6:$A$105,D482)=1,INDEX(Trips!$B$6:$B$105,MATCH(D482,Trips!$A$6:$A$105,0)),""))</x:f>
      </x:c>
      <x:c r="C482" s="90" t="str">
        <x:f>IF(D482="","",IF(COUNTIFS(Trips!$A$6:$A$105,D482)=1,INDEX(Trips!$D$6:$D$105,MATCH(D482,Trips!$A$6:$A$105,0)),""))</x:f>
      </x:c>
      <x:c r="D482" s="107"/>
      <x:c r="E482" s="107"/>
      <x:c r="F482" s="90" t="str">
        <x:f>IF(E482="","",IF(COUNTIFS(Counters!$A$6:$A$105,E482)=1,INDEX(Counters!$B$6:$B$105,MATCH(E482,Counters!$A$6:$A$105,0)),""))</x:f>
      </x:c>
      <x:c r="G482" s="107"/>
      <x:c r="H482" s="98" t="str">
        <x:f>IF(C482="","",IF(COUNTIFS('Route List'!$F$6:$F$205,C482)=1,IF(COUNTIFS('Route List'!$F$6:$F$205,C482,'Route List'!$G$6:$G$205,"&lt;&gt;")=1,INDEX('Route List'!$G$6:$G$205,MATCH(C482,'Route List'!$F$6:$F$205,0)),"Enter route fare"),"Enter route fare"))</x:f>
      </x:c>
      <x:c r="I482" s="98" t="str">
        <x:f>IF(F482="","",IF(F482="Own",0,50))</x:f>
      </x:c>
      <x:c r="J482" s="98" t="str">
        <x:f>IF(OR(D482="",E482=""),"",IF(AND(ISNUMBER(G482),ISNUMBER(H482)),ROUND(G482*H482,2),""))</x:f>
      </x:c>
      <x:c r="K482" s="98" t="str">
        <x:f>IF(OR(D482="",E482=""),"",IF(AND(ISNUMBER(G482),ISNUMBER(I482)),ROUND(G482*I482,2),""))</x:f>
      </x:c>
      <x:c r="L482" s="98" t="str">
        <x:f>IF(OR(D482="",E482=""),"",IF(AND(ISNUMBER(J482),ISNUMBER(K482)),J482-K482,""))</x:f>
      </x:c>
      <x:c r="M482" s="114"/>
      <x:c r="N482" s="98" t="str">
        <x:f>IF(OR(D482="",E482=""),"",IF(COUNTIFS($D$6:D482,D482,$E$6:E482,E482)=1,MAX(SUMIFS($L$6:$L$505,$D$6:$D$505,D482,$E$6:$E$505,E482)-SUMIFS($M$6:$M$505,$D$6:$D$505,D482,$E$6:$E$505,E482),0),""))</x:f>
      </x:c>
    </x:row>
    <x:row r="483" ht="28" customHeight="1">
      <x:c r="A483" s="113" t="str">
        <x:f>IF(D483="","",IF(COUNTIFS(Trips!$A$6:$A$105,D483)=1,INDEX(Trips!$C$6:$C$105,MATCH(D483,Trips!$A$6:$A$105,0)),""))</x:f>
      </x:c>
      <x:c r="B483" s="90" t="str">
        <x:f>IF(D483="","",IF(COUNTIFS(Trips!$A$6:$A$105,D483)=1,INDEX(Trips!$B$6:$B$105,MATCH(D483,Trips!$A$6:$A$105,0)),""))</x:f>
      </x:c>
      <x:c r="C483" s="90" t="str">
        <x:f>IF(D483="","",IF(COUNTIFS(Trips!$A$6:$A$105,D483)=1,INDEX(Trips!$D$6:$D$105,MATCH(D483,Trips!$A$6:$A$105,0)),""))</x:f>
      </x:c>
      <x:c r="D483" s="107"/>
      <x:c r="E483" s="107"/>
      <x:c r="F483" s="90" t="str">
        <x:f>IF(E483="","",IF(COUNTIFS(Counters!$A$6:$A$105,E483)=1,INDEX(Counters!$B$6:$B$105,MATCH(E483,Counters!$A$6:$A$105,0)),""))</x:f>
      </x:c>
      <x:c r="G483" s="107"/>
      <x:c r="H483" s="98" t="str">
        <x:f>IF(C483="","",IF(COUNTIFS('Route List'!$F$6:$F$205,C483)=1,IF(COUNTIFS('Route List'!$F$6:$F$205,C483,'Route List'!$G$6:$G$205,"&lt;&gt;")=1,INDEX('Route List'!$G$6:$G$205,MATCH(C483,'Route List'!$F$6:$F$205,0)),"Enter route fare"),"Enter route fare"))</x:f>
      </x:c>
      <x:c r="I483" s="98" t="str">
        <x:f>IF(F483="","",IF(F483="Own",0,50))</x:f>
      </x:c>
      <x:c r="J483" s="98" t="str">
        <x:f>IF(OR(D483="",E483=""),"",IF(AND(ISNUMBER(G483),ISNUMBER(H483)),ROUND(G483*H483,2),""))</x:f>
      </x:c>
      <x:c r="K483" s="98" t="str">
        <x:f>IF(OR(D483="",E483=""),"",IF(AND(ISNUMBER(G483),ISNUMBER(I483)),ROUND(G483*I483,2),""))</x:f>
      </x:c>
      <x:c r="L483" s="98" t="str">
        <x:f>IF(OR(D483="",E483=""),"",IF(AND(ISNUMBER(J483),ISNUMBER(K483)),J483-K483,""))</x:f>
      </x:c>
      <x:c r="M483" s="114"/>
      <x:c r="N483" s="98" t="str">
        <x:f>IF(OR(D483="",E483=""),"",IF(COUNTIFS($D$6:D483,D483,$E$6:E483,E483)=1,MAX(SUMIFS($L$6:$L$505,$D$6:$D$505,D483,$E$6:$E$505,E483)-SUMIFS($M$6:$M$505,$D$6:$D$505,D483,$E$6:$E$505,E483),0),""))</x:f>
      </x:c>
    </x:row>
    <x:row r="484" ht="28" customHeight="1">
      <x:c r="A484" s="113" t="str">
        <x:f>IF(D484="","",IF(COUNTIFS(Trips!$A$6:$A$105,D484)=1,INDEX(Trips!$C$6:$C$105,MATCH(D484,Trips!$A$6:$A$105,0)),""))</x:f>
      </x:c>
      <x:c r="B484" s="90" t="str">
        <x:f>IF(D484="","",IF(COUNTIFS(Trips!$A$6:$A$105,D484)=1,INDEX(Trips!$B$6:$B$105,MATCH(D484,Trips!$A$6:$A$105,0)),""))</x:f>
      </x:c>
      <x:c r="C484" s="90" t="str">
        <x:f>IF(D484="","",IF(COUNTIFS(Trips!$A$6:$A$105,D484)=1,INDEX(Trips!$D$6:$D$105,MATCH(D484,Trips!$A$6:$A$105,0)),""))</x:f>
      </x:c>
      <x:c r="D484" s="107"/>
      <x:c r="E484" s="107"/>
      <x:c r="F484" s="90" t="str">
        <x:f>IF(E484="","",IF(COUNTIFS(Counters!$A$6:$A$105,E484)=1,INDEX(Counters!$B$6:$B$105,MATCH(E484,Counters!$A$6:$A$105,0)),""))</x:f>
      </x:c>
      <x:c r="G484" s="107"/>
      <x:c r="H484" s="98" t="str">
        <x:f>IF(C484="","",IF(COUNTIFS('Route List'!$F$6:$F$205,C484)=1,IF(COUNTIFS('Route List'!$F$6:$F$205,C484,'Route List'!$G$6:$G$205,"&lt;&gt;")=1,INDEX('Route List'!$G$6:$G$205,MATCH(C484,'Route List'!$F$6:$F$205,0)),"Enter route fare"),"Enter route fare"))</x:f>
      </x:c>
      <x:c r="I484" s="98" t="str">
        <x:f>IF(F484="","",IF(F484="Own",0,50))</x:f>
      </x:c>
      <x:c r="J484" s="98" t="str">
        <x:f>IF(OR(D484="",E484=""),"",IF(AND(ISNUMBER(G484),ISNUMBER(H484)),ROUND(G484*H484,2),""))</x:f>
      </x:c>
      <x:c r="K484" s="98" t="str">
        <x:f>IF(OR(D484="",E484=""),"",IF(AND(ISNUMBER(G484),ISNUMBER(I484)),ROUND(G484*I484,2),""))</x:f>
      </x:c>
      <x:c r="L484" s="98" t="str">
        <x:f>IF(OR(D484="",E484=""),"",IF(AND(ISNUMBER(J484),ISNUMBER(K484)),J484-K484,""))</x:f>
      </x:c>
      <x:c r="M484" s="114"/>
      <x:c r="N484" s="98" t="str">
        <x:f>IF(OR(D484="",E484=""),"",IF(COUNTIFS($D$6:D484,D484,$E$6:E484,E484)=1,MAX(SUMIFS($L$6:$L$505,$D$6:$D$505,D484,$E$6:$E$505,E484)-SUMIFS($M$6:$M$505,$D$6:$D$505,D484,$E$6:$E$505,E484),0),""))</x:f>
      </x:c>
    </x:row>
    <x:row r="485" ht="28" customHeight="1">
      <x:c r="A485" s="113" t="str">
        <x:f>IF(D485="","",IF(COUNTIFS(Trips!$A$6:$A$105,D485)=1,INDEX(Trips!$C$6:$C$105,MATCH(D485,Trips!$A$6:$A$105,0)),""))</x:f>
      </x:c>
      <x:c r="B485" s="90" t="str">
        <x:f>IF(D485="","",IF(COUNTIFS(Trips!$A$6:$A$105,D485)=1,INDEX(Trips!$B$6:$B$105,MATCH(D485,Trips!$A$6:$A$105,0)),""))</x:f>
      </x:c>
      <x:c r="C485" s="90" t="str">
        <x:f>IF(D485="","",IF(COUNTIFS(Trips!$A$6:$A$105,D485)=1,INDEX(Trips!$D$6:$D$105,MATCH(D485,Trips!$A$6:$A$105,0)),""))</x:f>
      </x:c>
      <x:c r="D485" s="107"/>
      <x:c r="E485" s="107"/>
      <x:c r="F485" s="90" t="str">
        <x:f>IF(E485="","",IF(COUNTIFS(Counters!$A$6:$A$105,E485)=1,INDEX(Counters!$B$6:$B$105,MATCH(E485,Counters!$A$6:$A$105,0)),""))</x:f>
      </x:c>
      <x:c r="G485" s="107"/>
      <x:c r="H485" s="98" t="str">
        <x:f>IF(C485="","",IF(COUNTIFS('Route List'!$F$6:$F$205,C485)=1,IF(COUNTIFS('Route List'!$F$6:$F$205,C485,'Route List'!$G$6:$G$205,"&lt;&gt;")=1,INDEX('Route List'!$G$6:$G$205,MATCH(C485,'Route List'!$F$6:$F$205,0)),"Enter route fare"),"Enter route fare"))</x:f>
      </x:c>
      <x:c r="I485" s="98" t="str">
        <x:f>IF(F485="","",IF(F485="Own",0,50))</x:f>
      </x:c>
      <x:c r="J485" s="98" t="str">
        <x:f>IF(OR(D485="",E485=""),"",IF(AND(ISNUMBER(G485),ISNUMBER(H485)),ROUND(G485*H485,2),""))</x:f>
      </x:c>
      <x:c r="K485" s="98" t="str">
        <x:f>IF(OR(D485="",E485=""),"",IF(AND(ISNUMBER(G485),ISNUMBER(I485)),ROUND(G485*I485,2),""))</x:f>
      </x:c>
      <x:c r="L485" s="98" t="str">
        <x:f>IF(OR(D485="",E485=""),"",IF(AND(ISNUMBER(J485),ISNUMBER(K485)),J485-K485,""))</x:f>
      </x:c>
      <x:c r="M485" s="114"/>
      <x:c r="N485" s="98" t="str">
        <x:f>IF(OR(D485="",E485=""),"",IF(COUNTIFS($D$6:D485,D485,$E$6:E485,E485)=1,MAX(SUMIFS($L$6:$L$505,$D$6:$D$505,D485,$E$6:$E$505,E485)-SUMIFS($M$6:$M$505,$D$6:$D$505,D485,$E$6:$E$505,E485),0),""))</x:f>
      </x:c>
    </x:row>
    <x:row r="486" ht="28" customHeight="1">
      <x:c r="A486" s="113" t="str">
        <x:f>IF(D486="","",IF(COUNTIFS(Trips!$A$6:$A$105,D486)=1,INDEX(Trips!$C$6:$C$105,MATCH(D486,Trips!$A$6:$A$105,0)),""))</x:f>
      </x:c>
      <x:c r="B486" s="90" t="str">
        <x:f>IF(D486="","",IF(COUNTIFS(Trips!$A$6:$A$105,D486)=1,INDEX(Trips!$B$6:$B$105,MATCH(D486,Trips!$A$6:$A$105,0)),""))</x:f>
      </x:c>
      <x:c r="C486" s="90" t="str">
        <x:f>IF(D486="","",IF(COUNTIFS(Trips!$A$6:$A$105,D486)=1,INDEX(Trips!$D$6:$D$105,MATCH(D486,Trips!$A$6:$A$105,0)),""))</x:f>
      </x:c>
      <x:c r="D486" s="107"/>
      <x:c r="E486" s="107"/>
      <x:c r="F486" s="90" t="str">
        <x:f>IF(E486="","",IF(COUNTIFS(Counters!$A$6:$A$105,E486)=1,INDEX(Counters!$B$6:$B$105,MATCH(E486,Counters!$A$6:$A$105,0)),""))</x:f>
      </x:c>
      <x:c r="G486" s="107"/>
      <x:c r="H486" s="98" t="str">
        <x:f>IF(C486="","",IF(COUNTIFS('Route List'!$F$6:$F$205,C486)=1,IF(COUNTIFS('Route List'!$F$6:$F$205,C486,'Route List'!$G$6:$G$205,"&lt;&gt;")=1,INDEX('Route List'!$G$6:$G$205,MATCH(C486,'Route List'!$F$6:$F$205,0)),"Enter route fare"),"Enter route fare"))</x:f>
      </x:c>
      <x:c r="I486" s="98" t="str">
        <x:f>IF(F486="","",IF(F486="Own",0,50))</x:f>
      </x:c>
      <x:c r="J486" s="98" t="str">
        <x:f>IF(OR(D486="",E486=""),"",IF(AND(ISNUMBER(G486),ISNUMBER(H486)),ROUND(G486*H486,2),""))</x:f>
      </x:c>
      <x:c r="K486" s="98" t="str">
        <x:f>IF(OR(D486="",E486=""),"",IF(AND(ISNUMBER(G486),ISNUMBER(I486)),ROUND(G486*I486,2),""))</x:f>
      </x:c>
      <x:c r="L486" s="98" t="str">
        <x:f>IF(OR(D486="",E486=""),"",IF(AND(ISNUMBER(J486),ISNUMBER(K486)),J486-K486,""))</x:f>
      </x:c>
      <x:c r="M486" s="114"/>
      <x:c r="N486" s="98" t="str">
        <x:f>IF(OR(D486="",E486=""),"",IF(COUNTIFS($D$6:D486,D486,$E$6:E486,E486)=1,MAX(SUMIFS($L$6:$L$505,$D$6:$D$505,D486,$E$6:$E$505,E486)-SUMIFS($M$6:$M$505,$D$6:$D$505,D486,$E$6:$E$505,E486),0),""))</x:f>
      </x:c>
    </x:row>
    <x:row r="487" ht="28" customHeight="1">
      <x:c r="A487" s="113" t="str">
        <x:f>IF(D487="","",IF(COUNTIFS(Trips!$A$6:$A$105,D487)=1,INDEX(Trips!$C$6:$C$105,MATCH(D487,Trips!$A$6:$A$105,0)),""))</x:f>
      </x:c>
      <x:c r="B487" s="90" t="str">
        <x:f>IF(D487="","",IF(COUNTIFS(Trips!$A$6:$A$105,D487)=1,INDEX(Trips!$B$6:$B$105,MATCH(D487,Trips!$A$6:$A$105,0)),""))</x:f>
      </x:c>
      <x:c r="C487" s="90" t="str">
        <x:f>IF(D487="","",IF(COUNTIFS(Trips!$A$6:$A$105,D487)=1,INDEX(Trips!$D$6:$D$105,MATCH(D487,Trips!$A$6:$A$105,0)),""))</x:f>
      </x:c>
      <x:c r="D487" s="107"/>
      <x:c r="E487" s="107"/>
      <x:c r="F487" s="90" t="str">
        <x:f>IF(E487="","",IF(COUNTIFS(Counters!$A$6:$A$105,E487)=1,INDEX(Counters!$B$6:$B$105,MATCH(E487,Counters!$A$6:$A$105,0)),""))</x:f>
      </x:c>
      <x:c r="G487" s="107"/>
      <x:c r="H487" s="98" t="str">
        <x:f>IF(C487="","",IF(COUNTIFS('Route List'!$F$6:$F$205,C487)=1,IF(COUNTIFS('Route List'!$F$6:$F$205,C487,'Route List'!$G$6:$G$205,"&lt;&gt;")=1,INDEX('Route List'!$G$6:$G$205,MATCH(C487,'Route List'!$F$6:$F$205,0)),"Enter route fare"),"Enter route fare"))</x:f>
      </x:c>
      <x:c r="I487" s="98" t="str">
        <x:f>IF(F487="","",IF(F487="Own",0,50))</x:f>
      </x:c>
      <x:c r="J487" s="98" t="str">
        <x:f>IF(OR(D487="",E487=""),"",IF(AND(ISNUMBER(G487),ISNUMBER(H487)),ROUND(G487*H487,2),""))</x:f>
      </x:c>
      <x:c r="K487" s="98" t="str">
        <x:f>IF(OR(D487="",E487=""),"",IF(AND(ISNUMBER(G487),ISNUMBER(I487)),ROUND(G487*I487,2),""))</x:f>
      </x:c>
      <x:c r="L487" s="98" t="str">
        <x:f>IF(OR(D487="",E487=""),"",IF(AND(ISNUMBER(J487),ISNUMBER(K487)),J487-K487,""))</x:f>
      </x:c>
      <x:c r="M487" s="114"/>
      <x:c r="N487" s="98" t="str">
        <x:f>IF(OR(D487="",E487=""),"",IF(COUNTIFS($D$6:D487,D487,$E$6:E487,E487)=1,MAX(SUMIFS($L$6:$L$505,$D$6:$D$505,D487,$E$6:$E$505,E487)-SUMIFS($M$6:$M$505,$D$6:$D$505,D487,$E$6:$E$505,E487),0),""))</x:f>
      </x:c>
    </x:row>
    <x:row r="488" ht="28" customHeight="1">
      <x:c r="A488" s="113" t="str">
        <x:f>IF(D488="","",IF(COUNTIFS(Trips!$A$6:$A$105,D488)=1,INDEX(Trips!$C$6:$C$105,MATCH(D488,Trips!$A$6:$A$105,0)),""))</x:f>
      </x:c>
      <x:c r="B488" s="90" t="str">
        <x:f>IF(D488="","",IF(COUNTIFS(Trips!$A$6:$A$105,D488)=1,INDEX(Trips!$B$6:$B$105,MATCH(D488,Trips!$A$6:$A$105,0)),""))</x:f>
      </x:c>
      <x:c r="C488" s="90" t="str">
        <x:f>IF(D488="","",IF(COUNTIFS(Trips!$A$6:$A$105,D488)=1,INDEX(Trips!$D$6:$D$105,MATCH(D488,Trips!$A$6:$A$105,0)),""))</x:f>
      </x:c>
      <x:c r="D488" s="107"/>
      <x:c r="E488" s="107"/>
      <x:c r="F488" s="90" t="str">
        <x:f>IF(E488="","",IF(COUNTIFS(Counters!$A$6:$A$105,E488)=1,INDEX(Counters!$B$6:$B$105,MATCH(E488,Counters!$A$6:$A$105,0)),""))</x:f>
      </x:c>
      <x:c r="G488" s="107"/>
      <x:c r="H488" s="98" t="str">
        <x:f>IF(C488="","",IF(COUNTIFS('Route List'!$F$6:$F$205,C488)=1,IF(COUNTIFS('Route List'!$F$6:$F$205,C488,'Route List'!$G$6:$G$205,"&lt;&gt;")=1,INDEX('Route List'!$G$6:$G$205,MATCH(C488,'Route List'!$F$6:$F$205,0)),"Enter route fare"),"Enter route fare"))</x:f>
      </x:c>
      <x:c r="I488" s="98" t="str">
        <x:f>IF(F488="","",IF(F488="Own",0,50))</x:f>
      </x:c>
      <x:c r="J488" s="98" t="str">
        <x:f>IF(OR(D488="",E488=""),"",IF(AND(ISNUMBER(G488),ISNUMBER(H488)),ROUND(G488*H488,2),""))</x:f>
      </x:c>
      <x:c r="K488" s="98" t="str">
        <x:f>IF(OR(D488="",E488=""),"",IF(AND(ISNUMBER(G488),ISNUMBER(I488)),ROUND(G488*I488,2),""))</x:f>
      </x:c>
      <x:c r="L488" s="98" t="str">
        <x:f>IF(OR(D488="",E488=""),"",IF(AND(ISNUMBER(J488),ISNUMBER(K488)),J488-K488,""))</x:f>
      </x:c>
      <x:c r="M488" s="114"/>
      <x:c r="N488" s="98" t="str">
        <x:f>IF(OR(D488="",E488=""),"",IF(COUNTIFS($D$6:D488,D488,$E$6:E488,E488)=1,MAX(SUMIFS($L$6:$L$505,$D$6:$D$505,D488,$E$6:$E$505,E488)-SUMIFS($M$6:$M$505,$D$6:$D$505,D488,$E$6:$E$505,E488),0),""))</x:f>
      </x:c>
    </x:row>
    <x:row r="489" ht="28" customHeight="1">
      <x:c r="A489" s="113" t="str">
        <x:f>IF(D489="","",IF(COUNTIFS(Trips!$A$6:$A$105,D489)=1,INDEX(Trips!$C$6:$C$105,MATCH(D489,Trips!$A$6:$A$105,0)),""))</x:f>
      </x:c>
      <x:c r="B489" s="90" t="str">
        <x:f>IF(D489="","",IF(COUNTIFS(Trips!$A$6:$A$105,D489)=1,INDEX(Trips!$B$6:$B$105,MATCH(D489,Trips!$A$6:$A$105,0)),""))</x:f>
      </x:c>
      <x:c r="C489" s="90" t="str">
        <x:f>IF(D489="","",IF(COUNTIFS(Trips!$A$6:$A$105,D489)=1,INDEX(Trips!$D$6:$D$105,MATCH(D489,Trips!$A$6:$A$105,0)),""))</x:f>
      </x:c>
      <x:c r="D489" s="107"/>
      <x:c r="E489" s="107"/>
      <x:c r="F489" s="90" t="str">
        <x:f>IF(E489="","",IF(COUNTIFS(Counters!$A$6:$A$105,E489)=1,INDEX(Counters!$B$6:$B$105,MATCH(E489,Counters!$A$6:$A$105,0)),""))</x:f>
      </x:c>
      <x:c r="G489" s="107"/>
      <x:c r="H489" s="98" t="str">
        <x:f>IF(C489="","",IF(COUNTIFS('Route List'!$F$6:$F$205,C489)=1,IF(COUNTIFS('Route List'!$F$6:$F$205,C489,'Route List'!$G$6:$G$205,"&lt;&gt;")=1,INDEX('Route List'!$G$6:$G$205,MATCH(C489,'Route List'!$F$6:$F$205,0)),"Enter route fare"),"Enter route fare"))</x:f>
      </x:c>
      <x:c r="I489" s="98" t="str">
        <x:f>IF(F489="","",IF(F489="Own",0,50))</x:f>
      </x:c>
      <x:c r="J489" s="98" t="str">
        <x:f>IF(OR(D489="",E489=""),"",IF(AND(ISNUMBER(G489),ISNUMBER(H489)),ROUND(G489*H489,2),""))</x:f>
      </x:c>
      <x:c r="K489" s="98" t="str">
        <x:f>IF(OR(D489="",E489=""),"",IF(AND(ISNUMBER(G489),ISNUMBER(I489)),ROUND(G489*I489,2),""))</x:f>
      </x:c>
      <x:c r="L489" s="98" t="str">
        <x:f>IF(OR(D489="",E489=""),"",IF(AND(ISNUMBER(J489),ISNUMBER(K489)),J489-K489,""))</x:f>
      </x:c>
      <x:c r="M489" s="114"/>
      <x:c r="N489" s="98" t="str">
        <x:f>IF(OR(D489="",E489=""),"",IF(COUNTIFS($D$6:D489,D489,$E$6:E489,E489)=1,MAX(SUMIFS($L$6:$L$505,$D$6:$D$505,D489,$E$6:$E$505,E489)-SUMIFS($M$6:$M$505,$D$6:$D$505,D489,$E$6:$E$505,E489),0),""))</x:f>
      </x:c>
    </x:row>
    <x:row r="490" ht="28" customHeight="1">
      <x:c r="A490" s="113" t="str">
        <x:f>IF(D490="","",IF(COUNTIFS(Trips!$A$6:$A$105,D490)=1,INDEX(Trips!$C$6:$C$105,MATCH(D490,Trips!$A$6:$A$105,0)),""))</x:f>
      </x:c>
      <x:c r="B490" s="90" t="str">
        <x:f>IF(D490="","",IF(COUNTIFS(Trips!$A$6:$A$105,D490)=1,INDEX(Trips!$B$6:$B$105,MATCH(D490,Trips!$A$6:$A$105,0)),""))</x:f>
      </x:c>
      <x:c r="C490" s="90" t="str">
        <x:f>IF(D490="","",IF(COUNTIFS(Trips!$A$6:$A$105,D490)=1,INDEX(Trips!$D$6:$D$105,MATCH(D490,Trips!$A$6:$A$105,0)),""))</x:f>
      </x:c>
      <x:c r="D490" s="107"/>
      <x:c r="E490" s="107"/>
      <x:c r="F490" s="90" t="str">
        <x:f>IF(E490="","",IF(COUNTIFS(Counters!$A$6:$A$105,E490)=1,INDEX(Counters!$B$6:$B$105,MATCH(E490,Counters!$A$6:$A$105,0)),""))</x:f>
      </x:c>
      <x:c r="G490" s="107"/>
      <x:c r="H490" s="98" t="str">
        <x:f>IF(C490="","",IF(COUNTIFS('Route List'!$F$6:$F$205,C490)=1,IF(COUNTIFS('Route List'!$F$6:$F$205,C490,'Route List'!$G$6:$G$205,"&lt;&gt;")=1,INDEX('Route List'!$G$6:$G$205,MATCH(C490,'Route List'!$F$6:$F$205,0)),"Enter route fare"),"Enter route fare"))</x:f>
      </x:c>
      <x:c r="I490" s="98" t="str">
        <x:f>IF(F490="","",IF(F490="Own",0,50))</x:f>
      </x:c>
      <x:c r="J490" s="98" t="str">
        <x:f>IF(OR(D490="",E490=""),"",IF(AND(ISNUMBER(G490),ISNUMBER(H490)),ROUND(G490*H490,2),""))</x:f>
      </x:c>
      <x:c r="K490" s="98" t="str">
        <x:f>IF(OR(D490="",E490=""),"",IF(AND(ISNUMBER(G490),ISNUMBER(I490)),ROUND(G490*I490,2),""))</x:f>
      </x:c>
      <x:c r="L490" s="98" t="str">
        <x:f>IF(OR(D490="",E490=""),"",IF(AND(ISNUMBER(J490),ISNUMBER(K490)),J490-K490,""))</x:f>
      </x:c>
      <x:c r="M490" s="114"/>
      <x:c r="N490" s="98" t="str">
        <x:f>IF(OR(D490="",E490=""),"",IF(COUNTIFS($D$6:D490,D490,$E$6:E490,E490)=1,MAX(SUMIFS($L$6:$L$505,$D$6:$D$505,D490,$E$6:$E$505,E490)-SUMIFS($M$6:$M$505,$D$6:$D$505,D490,$E$6:$E$505,E490),0),""))</x:f>
      </x:c>
    </x:row>
    <x:row r="491" ht="28" customHeight="1">
      <x:c r="A491" s="113" t="str">
        <x:f>IF(D491="","",IF(COUNTIFS(Trips!$A$6:$A$105,D491)=1,INDEX(Trips!$C$6:$C$105,MATCH(D491,Trips!$A$6:$A$105,0)),""))</x:f>
      </x:c>
      <x:c r="B491" s="90" t="str">
        <x:f>IF(D491="","",IF(COUNTIFS(Trips!$A$6:$A$105,D491)=1,INDEX(Trips!$B$6:$B$105,MATCH(D491,Trips!$A$6:$A$105,0)),""))</x:f>
      </x:c>
      <x:c r="C491" s="90" t="str">
        <x:f>IF(D491="","",IF(COUNTIFS(Trips!$A$6:$A$105,D491)=1,INDEX(Trips!$D$6:$D$105,MATCH(D491,Trips!$A$6:$A$105,0)),""))</x:f>
      </x:c>
      <x:c r="D491" s="107"/>
      <x:c r="E491" s="107"/>
      <x:c r="F491" s="90" t="str">
        <x:f>IF(E491="","",IF(COUNTIFS(Counters!$A$6:$A$105,E491)=1,INDEX(Counters!$B$6:$B$105,MATCH(E491,Counters!$A$6:$A$105,0)),""))</x:f>
      </x:c>
      <x:c r="G491" s="107"/>
      <x:c r="H491" s="98" t="str">
        <x:f>IF(C491="","",IF(COUNTIFS('Route List'!$F$6:$F$205,C491)=1,IF(COUNTIFS('Route List'!$F$6:$F$205,C491,'Route List'!$G$6:$G$205,"&lt;&gt;")=1,INDEX('Route List'!$G$6:$G$205,MATCH(C491,'Route List'!$F$6:$F$205,0)),"Enter route fare"),"Enter route fare"))</x:f>
      </x:c>
      <x:c r="I491" s="98" t="str">
        <x:f>IF(F491="","",IF(F491="Own",0,50))</x:f>
      </x:c>
      <x:c r="J491" s="98" t="str">
        <x:f>IF(OR(D491="",E491=""),"",IF(AND(ISNUMBER(G491),ISNUMBER(H491)),ROUND(G491*H491,2),""))</x:f>
      </x:c>
      <x:c r="K491" s="98" t="str">
        <x:f>IF(OR(D491="",E491=""),"",IF(AND(ISNUMBER(G491),ISNUMBER(I491)),ROUND(G491*I491,2),""))</x:f>
      </x:c>
      <x:c r="L491" s="98" t="str">
        <x:f>IF(OR(D491="",E491=""),"",IF(AND(ISNUMBER(J491),ISNUMBER(K491)),J491-K491,""))</x:f>
      </x:c>
      <x:c r="M491" s="114"/>
      <x:c r="N491" s="98" t="str">
        <x:f>IF(OR(D491="",E491=""),"",IF(COUNTIFS($D$6:D491,D491,$E$6:E491,E491)=1,MAX(SUMIFS($L$6:$L$505,$D$6:$D$505,D491,$E$6:$E$505,E491)-SUMIFS($M$6:$M$505,$D$6:$D$505,D491,$E$6:$E$505,E491),0),""))</x:f>
      </x:c>
    </x:row>
    <x:row r="492" ht="28" customHeight="1">
      <x:c r="A492" s="113" t="str">
        <x:f>IF(D492="","",IF(COUNTIFS(Trips!$A$6:$A$105,D492)=1,INDEX(Trips!$C$6:$C$105,MATCH(D492,Trips!$A$6:$A$105,0)),""))</x:f>
      </x:c>
      <x:c r="B492" s="90" t="str">
        <x:f>IF(D492="","",IF(COUNTIFS(Trips!$A$6:$A$105,D492)=1,INDEX(Trips!$B$6:$B$105,MATCH(D492,Trips!$A$6:$A$105,0)),""))</x:f>
      </x:c>
      <x:c r="C492" s="90" t="str">
        <x:f>IF(D492="","",IF(COUNTIFS(Trips!$A$6:$A$105,D492)=1,INDEX(Trips!$D$6:$D$105,MATCH(D492,Trips!$A$6:$A$105,0)),""))</x:f>
      </x:c>
      <x:c r="D492" s="107"/>
      <x:c r="E492" s="107"/>
      <x:c r="F492" s="90" t="str">
        <x:f>IF(E492="","",IF(COUNTIFS(Counters!$A$6:$A$105,E492)=1,INDEX(Counters!$B$6:$B$105,MATCH(E492,Counters!$A$6:$A$105,0)),""))</x:f>
      </x:c>
      <x:c r="G492" s="107"/>
      <x:c r="H492" s="98" t="str">
        <x:f>IF(C492="","",IF(COUNTIFS('Route List'!$F$6:$F$205,C492)=1,IF(COUNTIFS('Route List'!$F$6:$F$205,C492,'Route List'!$G$6:$G$205,"&lt;&gt;")=1,INDEX('Route List'!$G$6:$G$205,MATCH(C492,'Route List'!$F$6:$F$205,0)),"Enter route fare"),"Enter route fare"))</x:f>
      </x:c>
      <x:c r="I492" s="98" t="str">
        <x:f>IF(F492="","",IF(F492="Own",0,50))</x:f>
      </x:c>
      <x:c r="J492" s="98" t="str">
        <x:f>IF(OR(D492="",E492=""),"",IF(AND(ISNUMBER(G492),ISNUMBER(H492)),ROUND(G492*H492,2),""))</x:f>
      </x:c>
      <x:c r="K492" s="98" t="str">
        <x:f>IF(OR(D492="",E492=""),"",IF(AND(ISNUMBER(G492),ISNUMBER(I492)),ROUND(G492*I492,2),""))</x:f>
      </x:c>
      <x:c r="L492" s="98" t="str">
        <x:f>IF(OR(D492="",E492=""),"",IF(AND(ISNUMBER(J492),ISNUMBER(K492)),J492-K492,""))</x:f>
      </x:c>
      <x:c r="M492" s="114"/>
      <x:c r="N492" s="98" t="str">
        <x:f>IF(OR(D492="",E492=""),"",IF(COUNTIFS($D$6:D492,D492,$E$6:E492,E492)=1,MAX(SUMIFS($L$6:$L$505,$D$6:$D$505,D492,$E$6:$E$505,E492)-SUMIFS($M$6:$M$505,$D$6:$D$505,D492,$E$6:$E$505,E492),0),""))</x:f>
      </x:c>
    </x:row>
    <x:row r="493" ht="28" customHeight="1">
      <x:c r="A493" s="113" t="str">
        <x:f>IF(D493="","",IF(COUNTIFS(Trips!$A$6:$A$105,D493)=1,INDEX(Trips!$C$6:$C$105,MATCH(D493,Trips!$A$6:$A$105,0)),""))</x:f>
      </x:c>
      <x:c r="B493" s="90" t="str">
        <x:f>IF(D493="","",IF(COUNTIFS(Trips!$A$6:$A$105,D493)=1,INDEX(Trips!$B$6:$B$105,MATCH(D493,Trips!$A$6:$A$105,0)),""))</x:f>
      </x:c>
      <x:c r="C493" s="90" t="str">
        <x:f>IF(D493="","",IF(COUNTIFS(Trips!$A$6:$A$105,D493)=1,INDEX(Trips!$D$6:$D$105,MATCH(D493,Trips!$A$6:$A$105,0)),""))</x:f>
      </x:c>
      <x:c r="D493" s="107"/>
      <x:c r="E493" s="107"/>
      <x:c r="F493" s="90" t="str">
        <x:f>IF(E493="","",IF(COUNTIFS(Counters!$A$6:$A$105,E493)=1,INDEX(Counters!$B$6:$B$105,MATCH(E493,Counters!$A$6:$A$105,0)),""))</x:f>
      </x:c>
      <x:c r="G493" s="107"/>
      <x:c r="H493" s="98" t="str">
        <x:f>IF(C493="","",IF(COUNTIFS('Route List'!$F$6:$F$205,C493)=1,IF(COUNTIFS('Route List'!$F$6:$F$205,C493,'Route List'!$G$6:$G$205,"&lt;&gt;")=1,INDEX('Route List'!$G$6:$G$205,MATCH(C493,'Route List'!$F$6:$F$205,0)),"Enter route fare"),"Enter route fare"))</x:f>
      </x:c>
      <x:c r="I493" s="98" t="str">
        <x:f>IF(F493="","",IF(F493="Own",0,50))</x:f>
      </x:c>
      <x:c r="J493" s="98" t="str">
        <x:f>IF(OR(D493="",E493=""),"",IF(AND(ISNUMBER(G493),ISNUMBER(H493)),ROUND(G493*H493,2),""))</x:f>
      </x:c>
      <x:c r="K493" s="98" t="str">
        <x:f>IF(OR(D493="",E493=""),"",IF(AND(ISNUMBER(G493),ISNUMBER(I493)),ROUND(G493*I493,2),""))</x:f>
      </x:c>
      <x:c r="L493" s="98" t="str">
        <x:f>IF(OR(D493="",E493=""),"",IF(AND(ISNUMBER(J493),ISNUMBER(K493)),J493-K493,""))</x:f>
      </x:c>
      <x:c r="M493" s="114"/>
      <x:c r="N493" s="98" t="str">
        <x:f>IF(OR(D493="",E493=""),"",IF(COUNTIFS($D$6:D493,D493,$E$6:E493,E493)=1,MAX(SUMIFS($L$6:$L$505,$D$6:$D$505,D493,$E$6:$E$505,E493)-SUMIFS($M$6:$M$505,$D$6:$D$505,D493,$E$6:$E$505,E493),0),""))</x:f>
      </x:c>
    </x:row>
    <x:row r="494" ht="28" customHeight="1">
      <x:c r="A494" s="113" t="str">
        <x:f>IF(D494="","",IF(COUNTIFS(Trips!$A$6:$A$105,D494)=1,INDEX(Trips!$C$6:$C$105,MATCH(D494,Trips!$A$6:$A$105,0)),""))</x:f>
      </x:c>
      <x:c r="B494" s="90" t="str">
        <x:f>IF(D494="","",IF(COUNTIFS(Trips!$A$6:$A$105,D494)=1,INDEX(Trips!$B$6:$B$105,MATCH(D494,Trips!$A$6:$A$105,0)),""))</x:f>
      </x:c>
      <x:c r="C494" s="90" t="str">
        <x:f>IF(D494="","",IF(COUNTIFS(Trips!$A$6:$A$105,D494)=1,INDEX(Trips!$D$6:$D$105,MATCH(D494,Trips!$A$6:$A$105,0)),""))</x:f>
      </x:c>
      <x:c r="D494" s="107"/>
      <x:c r="E494" s="107"/>
      <x:c r="F494" s="90" t="str">
        <x:f>IF(E494="","",IF(COUNTIFS(Counters!$A$6:$A$105,E494)=1,INDEX(Counters!$B$6:$B$105,MATCH(E494,Counters!$A$6:$A$105,0)),""))</x:f>
      </x:c>
      <x:c r="G494" s="107"/>
      <x:c r="H494" s="98" t="str">
        <x:f>IF(C494="","",IF(COUNTIFS('Route List'!$F$6:$F$205,C494)=1,IF(COUNTIFS('Route List'!$F$6:$F$205,C494,'Route List'!$G$6:$G$205,"&lt;&gt;")=1,INDEX('Route List'!$G$6:$G$205,MATCH(C494,'Route List'!$F$6:$F$205,0)),"Enter route fare"),"Enter route fare"))</x:f>
      </x:c>
      <x:c r="I494" s="98" t="str">
        <x:f>IF(F494="","",IF(F494="Own",0,50))</x:f>
      </x:c>
      <x:c r="J494" s="98" t="str">
        <x:f>IF(OR(D494="",E494=""),"",IF(AND(ISNUMBER(G494),ISNUMBER(H494)),ROUND(G494*H494,2),""))</x:f>
      </x:c>
      <x:c r="K494" s="98" t="str">
        <x:f>IF(OR(D494="",E494=""),"",IF(AND(ISNUMBER(G494),ISNUMBER(I494)),ROUND(G494*I494,2),""))</x:f>
      </x:c>
      <x:c r="L494" s="98" t="str">
        <x:f>IF(OR(D494="",E494=""),"",IF(AND(ISNUMBER(J494),ISNUMBER(K494)),J494-K494,""))</x:f>
      </x:c>
      <x:c r="M494" s="114"/>
      <x:c r="N494" s="98" t="str">
        <x:f>IF(OR(D494="",E494=""),"",IF(COUNTIFS($D$6:D494,D494,$E$6:E494,E494)=1,MAX(SUMIFS($L$6:$L$505,$D$6:$D$505,D494,$E$6:$E$505,E494)-SUMIFS($M$6:$M$505,$D$6:$D$505,D494,$E$6:$E$505,E494),0),""))</x:f>
      </x:c>
    </x:row>
    <x:row r="495" ht="28" customHeight="1">
      <x:c r="A495" s="113" t="str">
        <x:f>IF(D495="","",IF(COUNTIFS(Trips!$A$6:$A$105,D495)=1,INDEX(Trips!$C$6:$C$105,MATCH(D495,Trips!$A$6:$A$105,0)),""))</x:f>
      </x:c>
      <x:c r="B495" s="90" t="str">
        <x:f>IF(D495="","",IF(COUNTIFS(Trips!$A$6:$A$105,D495)=1,INDEX(Trips!$B$6:$B$105,MATCH(D495,Trips!$A$6:$A$105,0)),""))</x:f>
      </x:c>
      <x:c r="C495" s="90" t="str">
        <x:f>IF(D495="","",IF(COUNTIFS(Trips!$A$6:$A$105,D495)=1,INDEX(Trips!$D$6:$D$105,MATCH(D495,Trips!$A$6:$A$105,0)),""))</x:f>
      </x:c>
      <x:c r="D495" s="107"/>
      <x:c r="E495" s="107"/>
      <x:c r="F495" s="90" t="str">
        <x:f>IF(E495="","",IF(COUNTIFS(Counters!$A$6:$A$105,E495)=1,INDEX(Counters!$B$6:$B$105,MATCH(E495,Counters!$A$6:$A$105,0)),""))</x:f>
      </x:c>
      <x:c r="G495" s="107"/>
      <x:c r="H495" s="98" t="str">
        <x:f>IF(C495="","",IF(COUNTIFS('Route List'!$F$6:$F$205,C495)=1,IF(COUNTIFS('Route List'!$F$6:$F$205,C495,'Route List'!$G$6:$G$205,"&lt;&gt;")=1,INDEX('Route List'!$G$6:$G$205,MATCH(C495,'Route List'!$F$6:$F$205,0)),"Enter route fare"),"Enter route fare"))</x:f>
      </x:c>
      <x:c r="I495" s="98" t="str">
        <x:f>IF(F495="","",IF(F495="Own",0,50))</x:f>
      </x:c>
      <x:c r="J495" s="98" t="str">
        <x:f>IF(OR(D495="",E495=""),"",IF(AND(ISNUMBER(G495),ISNUMBER(H495)),ROUND(G495*H495,2),""))</x:f>
      </x:c>
      <x:c r="K495" s="98" t="str">
        <x:f>IF(OR(D495="",E495=""),"",IF(AND(ISNUMBER(G495),ISNUMBER(I495)),ROUND(G495*I495,2),""))</x:f>
      </x:c>
      <x:c r="L495" s="98" t="str">
        <x:f>IF(OR(D495="",E495=""),"",IF(AND(ISNUMBER(J495),ISNUMBER(K495)),J495-K495,""))</x:f>
      </x:c>
      <x:c r="M495" s="114"/>
      <x:c r="N495" s="98" t="str">
        <x:f>IF(OR(D495="",E495=""),"",IF(COUNTIFS($D$6:D495,D495,$E$6:E495,E495)=1,MAX(SUMIFS($L$6:$L$505,$D$6:$D$505,D495,$E$6:$E$505,E495)-SUMIFS($M$6:$M$505,$D$6:$D$505,D495,$E$6:$E$505,E495),0),""))</x:f>
      </x:c>
    </x:row>
    <x:row r="496" ht="28" customHeight="1">
      <x:c r="A496" s="113" t="str">
        <x:f>IF(D496="","",IF(COUNTIFS(Trips!$A$6:$A$105,D496)=1,INDEX(Trips!$C$6:$C$105,MATCH(D496,Trips!$A$6:$A$105,0)),""))</x:f>
      </x:c>
      <x:c r="B496" s="90" t="str">
        <x:f>IF(D496="","",IF(COUNTIFS(Trips!$A$6:$A$105,D496)=1,INDEX(Trips!$B$6:$B$105,MATCH(D496,Trips!$A$6:$A$105,0)),""))</x:f>
      </x:c>
      <x:c r="C496" s="90" t="str">
        <x:f>IF(D496="","",IF(COUNTIFS(Trips!$A$6:$A$105,D496)=1,INDEX(Trips!$D$6:$D$105,MATCH(D496,Trips!$A$6:$A$105,0)),""))</x:f>
      </x:c>
      <x:c r="D496" s="107"/>
      <x:c r="E496" s="107"/>
      <x:c r="F496" s="90" t="str">
        <x:f>IF(E496="","",IF(COUNTIFS(Counters!$A$6:$A$105,E496)=1,INDEX(Counters!$B$6:$B$105,MATCH(E496,Counters!$A$6:$A$105,0)),""))</x:f>
      </x:c>
      <x:c r="G496" s="107"/>
      <x:c r="H496" s="98" t="str">
        <x:f>IF(C496="","",IF(COUNTIFS('Route List'!$F$6:$F$205,C496)=1,IF(COUNTIFS('Route List'!$F$6:$F$205,C496,'Route List'!$G$6:$G$205,"&lt;&gt;")=1,INDEX('Route List'!$G$6:$G$205,MATCH(C496,'Route List'!$F$6:$F$205,0)),"Enter route fare"),"Enter route fare"))</x:f>
      </x:c>
      <x:c r="I496" s="98" t="str">
        <x:f>IF(F496="","",IF(F496="Own",0,50))</x:f>
      </x:c>
      <x:c r="J496" s="98" t="str">
        <x:f>IF(OR(D496="",E496=""),"",IF(AND(ISNUMBER(G496),ISNUMBER(H496)),ROUND(G496*H496,2),""))</x:f>
      </x:c>
      <x:c r="K496" s="98" t="str">
        <x:f>IF(OR(D496="",E496=""),"",IF(AND(ISNUMBER(G496),ISNUMBER(I496)),ROUND(G496*I496,2),""))</x:f>
      </x:c>
      <x:c r="L496" s="98" t="str">
        <x:f>IF(OR(D496="",E496=""),"",IF(AND(ISNUMBER(J496),ISNUMBER(K496)),J496-K496,""))</x:f>
      </x:c>
      <x:c r="M496" s="114"/>
      <x:c r="N496" s="98" t="str">
        <x:f>IF(OR(D496="",E496=""),"",IF(COUNTIFS($D$6:D496,D496,$E$6:E496,E496)=1,MAX(SUMIFS($L$6:$L$505,$D$6:$D$505,D496,$E$6:$E$505,E496)-SUMIFS($M$6:$M$505,$D$6:$D$505,D496,$E$6:$E$505,E496),0),""))</x:f>
      </x:c>
    </x:row>
    <x:row r="497" ht="28" customHeight="1">
      <x:c r="A497" s="113" t="str">
        <x:f>IF(D497="","",IF(COUNTIFS(Trips!$A$6:$A$105,D497)=1,INDEX(Trips!$C$6:$C$105,MATCH(D497,Trips!$A$6:$A$105,0)),""))</x:f>
      </x:c>
      <x:c r="B497" s="90" t="str">
        <x:f>IF(D497="","",IF(COUNTIFS(Trips!$A$6:$A$105,D497)=1,INDEX(Trips!$B$6:$B$105,MATCH(D497,Trips!$A$6:$A$105,0)),""))</x:f>
      </x:c>
      <x:c r="C497" s="90" t="str">
        <x:f>IF(D497="","",IF(COUNTIFS(Trips!$A$6:$A$105,D497)=1,INDEX(Trips!$D$6:$D$105,MATCH(D497,Trips!$A$6:$A$105,0)),""))</x:f>
      </x:c>
      <x:c r="D497" s="107"/>
      <x:c r="E497" s="107"/>
      <x:c r="F497" s="90" t="str">
        <x:f>IF(E497="","",IF(COUNTIFS(Counters!$A$6:$A$105,E497)=1,INDEX(Counters!$B$6:$B$105,MATCH(E497,Counters!$A$6:$A$105,0)),""))</x:f>
      </x:c>
      <x:c r="G497" s="107"/>
      <x:c r="H497" s="98" t="str">
        <x:f>IF(C497="","",IF(COUNTIFS('Route List'!$F$6:$F$205,C497)=1,IF(COUNTIFS('Route List'!$F$6:$F$205,C497,'Route List'!$G$6:$G$205,"&lt;&gt;")=1,INDEX('Route List'!$G$6:$G$205,MATCH(C497,'Route List'!$F$6:$F$205,0)),"Enter route fare"),"Enter route fare"))</x:f>
      </x:c>
      <x:c r="I497" s="98" t="str">
        <x:f>IF(F497="","",IF(F497="Own",0,50))</x:f>
      </x:c>
      <x:c r="J497" s="98" t="str">
        <x:f>IF(OR(D497="",E497=""),"",IF(AND(ISNUMBER(G497),ISNUMBER(H497)),ROUND(G497*H497,2),""))</x:f>
      </x:c>
      <x:c r="K497" s="98" t="str">
        <x:f>IF(OR(D497="",E497=""),"",IF(AND(ISNUMBER(G497),ISNUMBER(I497)),ROUND(G497*I497,2),""))</x:f>
      </x:c>
      <x:c r="L497" s="98" t="str">
        <x:f>IF(OR(D497="",E497=""),"",IF(AND(ISNUMBER(J497),ISNUMBER(K497)),J497-K497,""))</x:f>
      </x:c>
      <x:c r="M497" s="114"/>
      <x:c r="N497" s="98" t="str">
        <x:f>IF(OR(D497="",E497=""),"",IF(COUNTIFS($D$6:D497,D497,$E$6:E497,E497)=1,MAX(SUMIFS($L$6:$L$505,$D$6:$D$505,D497,$E$6:$E$505,E497)-SUMIFS($M$6:$M$505,$D$6:$D$505,D497,$E$6:$E$505,E497),0),""))</x:f>
      </x:c>
    </x:row>
    <x:row r="498" ht="28" customHeight="1">
      <x:c r="A498" s="113" t="str">
        <x:f>IF(D498="","",IF(COUNTIFS(Trips!$A$6:$A$105,D498)=1,INDEX(Trips!$C$6:$C$105,MATCH(D498,Trips!$A$6:$A$105,0)),""))</x:f>
      </x:c>
      <x:c r="B498" s="90" t="str">
        <x:f>IF(D498="","",IF(COUNTIFS(Trips!$A$6:$A$105,D498)=1,INDEX(Trips!$B$6:$B$105,MATCH(D498,Trips!$A$6:$A$105,0)),""))</x:f>
      </x:c>
      <x:c r="C498" s="90" t="str">
        <x:f>IF(D498="","",IF(COUNTIFS(Trips!$A$6:$A$105,D498)=1,INDEX(Trips!$D$6:$D$105,MATCH(D498,Trips!$A$6:$A$105,0)),""))</x:f>
      </x:c>
      <x:c r="D498" s="107"/>
      <x:c r="E498" s="107"/>
      <x:c r="F498" s="90" t="str">
        <x:f>IF(E498="","",IF(COUNTIFS(Counters!$A$6:$A$105,E498)=1,INDEX(Counters!$B$6:$B$105,MATCH(E498,Counters!$A$6:$A$105,0)),""))</x:f>
      </x:c>
      <x:c r="G498" s="107"/>
      <x:c r="H498" s="98" t="str">
        <x:f>IF(C498="","",IF(COUNTIFS('Route List'!$F$6:$F$205,C498)=1,IF(COUNTIFS('Route List'!$F$6:$F$205,C498,'Route List'!$G$6:$G$205,"&lt;&gt;")=1,INDEX('Route List'!$G$6:$G$205,MATCH(C498,'Route List'!$F$6:$F$205,0)),"Enter route fare"),"Enter route fare"))</x:f>
      </x:c>
      <x:c r="I498" s="98" t="str">
        <x:f>IF(F498="","",IF(F498="Own",0,50))</x:f>
      </x:c>
      <x:c r="J498" s="98" t="str">
        <x:f>IF(OR(D498="",E498=""),"",IF(AND(ISNUMBER(G498),ISNUMBER(H498)),ROUND(G498*H498,2),""))</x:f>
      </x:c>
      <x:c r="K498" s="98" t="str">
        <x:f>IF(OR(D498="",E498=""),"",IF(AND(ISNUMBER(G498),ISNUMBER(I498)),ROUND(G498*I498,2),""))</x:f>
      </x:c>
      <x:c r="L498" s="98" t="str">
        <x:f>IF(OR(D498="",E498=""),"",IF(AND(ISNUMBER(J498),ISNUMBER(K498)),J498-K498,""))</x:f>
      </x:c>
      <x:c r="M498" s="114"/>
      <x:c r="N498" s="98" t="str">
        <x:f>IF(OR(D498="",E498=""),"",IF(COUNTIFS($D$6:D498,D498,$E$6:E498,E498)=1,MAX(SUMIFS($L$6:$L$505,$D$6:$D$505,D498,$E$6:$E$505,E498)-SUMIFS($M$6:$M$505,$D$6:$D$505,D498,$E$6:$E$505,E498),0),""))</x:f>
      </x:c>
    </x:row>
    <x:row r="499" ht="28" customHeight="1">
      <x:c r="A499" s="113" t="str">
        <x:f>IF(D499="","",IF(COUNTIFS(Trips!$A$6:$A$105,D499)=1,INDEX(Trips!$C$6:$C$105,MATCH(D499,Trips!$A$6:$A$105,0)),""))</x:f>
      </x:c>
      <x:c r="B499" s="90" t="str">
        <x:f>IF(D499="","",IF(COUNTIFS(Trips!$A$6:$A$105,D499)=1,INDEX(Trips!$B$6:$B$105,MATCH(D499,Trips!$A$6:$A$105,0)),""))</x:f>
      </x:c>
      <x:c r="C499" s="90" t="str">
        <x:f>IF(D499="","",IF(COUNTIFS(Trips!$A$6:$A$105,D499)=1,INDEX(Trips!$D$6:$D$105,MATCH(D499,Trips!$A$6:$A$105,0)),""))</x:f>
      </x:c>
      <x:c r="D499" s="107"/>
      <x:c r="E499" s="107"/>
      <x:c r="F499" s="90" t="str">
        <x:f>IF(E499="","",IF(COUNTIFS(Counters!$A$6:$A$105,E499)=1,INDEX(Counters!$B$6:$B$105,MATCH(E499,Counters!$A$6:$A$105,0)),""))</x:f>
      </x:c>
      <x:c r="G499" s="107"/>
      <x:c r="H499" s="98" t="str">
        <x:f>IF(C499="","",IF(COUNTIFS('Route List'!$F$6:$F$205,C499)=1,IF(COUNTIFS('Route List'!$F$6:$F$205,C499,'Route List'!$G$6:$G$205,"&lt;&gt;")=1,INDEX('Route List'!$G$6:$G$205,MATCH(C499,'Route List'!$F$6:$F$205,0)),"Enter route fare"),"Enter route fare"))</x:f>
      </x:c>
      <x:c r="I499" s="98" t="str">
        <x:f>IF(F499="","",IF(F499="Own",0,50))</x:f>
      </x:c>
      <x:c r="J499" s="98" t="str">
        <x:f>IF(OR(D499="",E499=""),"",IF(AND(ISNUMBER(G499),ISNUMBER(H499)),ROUND(G499*H499,2),""))</x:f>
      </x:c>
      <x:c r="K499" s="98" t="str">
        <x:f>IF(OR(D499="",E499=""),"",IF(AND(ISNUMBER(G499),ISNUMBER(I499)),ROUND(G499*I499,2),""))</x:f>
      </x:c>
      <x:c r="L499" s="98" t="str">
        <x:f>IF(OR(D499="",E499=""),"",IF(AND(ISNUMBER(J499),ISNUMBER(K499)),J499-K499,""))</x:f>
      </x:c>
      <x:c r="M499" s="114"/>
      <x:c r="N499" s="98" t="str">
        <x:f>IF(OR(D499="",E499=""),"",IF(COUNTIFS($D$6:D499,D499,$E$6:E499,E499)=1,MAX(SUMIFS($L$6:$L$505,$D$6:$D$505,D499,$E$6:$E$505,E499)-SUMIFS($M$6:$M$505,$D$6:$D$505,D499,$E$6:$E$505,E499),0),""))</x:f>
      </x:c>
    </x:row>
    <x:row r="500" ht="28" customHeight="1">
      <x:c r="A500" s="113" t="str">
        <x:f>IF(D500="","",IF(COUNTIFS(Trips!$A$6:$A$105,D500)=1,INDEX(Trips!$C$6:$C$105,MATCH(D500,Trips!$A$6:$A$105,0)),""))</x:f>
      </x:c>
      <x:c r="B500" s="90" t="str">
        <x:f>IF(D500="","",IF(COUNTIFS(Trips!$A$6:$A$105,D500)=1,INDEX(Trips!$B$6:$B$105,MATCH(D500,Trips!$A$6:$A$105,0)),""))</x:f>
      </x:c>
      <x:c r="C500" s="90" t="str">
        <x:f>IF(D500="","",IF(COUNTIFS(Trips!$A$6:$A$105,D500)=1,INDEX(Trips!$D$6:$D$105,MATCH(D500,Trips!$A$6:$A$105,0)),""))</x:f>
      </x:c>
      <x:c r="D500" s="107"/>
      <x:c r="E500" s="107"/>
      <x:c r="F500" s="90" t="str">
        <x:f>IF(E500="","",IF(COUNTIFS(Counters!$A$6:$A$105,E500)=1,INDEX(Counters!$B$6:$B$105,MATCH(E500,Counters!$A$6:$A$105,0)),""))</x:f>
      </x:c>
      <x:c r="G500" s="107"/>
      <x:c r="H500" s="98" t="str">
        <x:f>IF(C500="","",IF(COUNTIFS('Route List'!$F$6:$F$205,C500)=1,IF(COUNTIFS('Route List'!$F$6:$F$205,C500,'Route List'!$G$6:$G$205,"&lt;&gt;")=1,INDEX('Route List'!$G$6:$G$205,MATCH(C500,'Route List'!$F$6:$F$205,0)),"Enter route fare"),"Enter route fare"))</x:f>
      </x:c>
      <x:c r="I500" s="98" t="str">
        <x:f>IF(F500="","",IF(F500="Own",0,50))</x:f>
      </x:c>
      <x:c r="J500" s="98" t="str">
        <x:f>IF(OR(D500="",E500=""),"",IF(AND(ISNUMBER(G500),ISNUMBER(H500)),ROUND(G500*H500,2),""))</x:f>
      </x:c>
      <x:c r="K500" s="98" t="str">
        <x:f>IF(OR(D500="",E500=""),"",IF(AND(ISNUMBER(G500),ISNUMBER(I500)),ROUND(G500*I500,2),""))</x:f>
      </x:c>
      <x:c r="L500" s="98" t="str">
        <x:f>IF(OR(D500="",E500=""),"",IF(AND(ISNUMBER(J500),ISNUMBER(K500)),J500-K500,""))</x:f>
      </x:c>
      <x:c r="M500" s="114"/>
      <x:c r="N500" s="98" t="str">
        <x:f>IF(OR(D500="",E500=""),"",IF(COUNTIFS($D$6:D500,D500,$E$6:E500,E500)=1,MAX(SUMIFS($L$6:$L$505,$D$6:$D$505,D500,$E$6:$E$505,E500)-SUMIFS($M$6:$M$505,$D$6:$D$505,D500,$E$6:$E$505,E500),0),""))</x:f>
      </x:c>
    </x:row>
    <x:row r="501" ht="28" customHeight="1">
      <x:c r="A501" s="113" t="str">
        <x:f>IF(D501="","",IF(COUNTIFS(Trips!$A$6:$A$105,D501)=1,INDEX(Trips!$C$6:$C$105,MATCH(D501,Trips!$A$6:$A$105,0)),""))</x:f>
      </x:c>
      <x:c r="B501" s="90" t="str">
        <x:f>IF(D501="","",IF(COUNTIFS(Trips!$A$6:$A$105,D501)=1,INDEX(Trips!$B$6:$B$105,MATCH(D501,Trips!$A$6:$A$105,0)),""))</x:f>
      </x:c>
      <x:c r="C501" s="90" t="str">
        <x:f>IF(D501="","",IF(COUNTIFS(Trips!$A$6:$A$105,D501)=1,INDEX(Trips!$D$6:$D$105,MATCH(D501,Trips!$A$6:$A$105,0)),""))</x:f>
      </x:c>
      <x:c r="D501" s="107"/>
      <x:c r="E501" s="107"/>
      <x:c r="F501" s="90" t="str">
        <x:f>IF(E501="","",IF(COUNTIFS(Counters!$A$6:$A$105,E501)=1,INDEX(Counters!$B$6:$B$105,MATCH(E501,Counters!$A$6:$A$105,0)),""))</x:f>
      </x:c>
      <x:c r="G501" s="107"/>
      <x:c r="H501" s="98" t="str">
        <x:f>IF(C501="","",IF(COUNTIFS('Route List'!$F$6:$F$205,C501)=1,IF(COUNTIFS('Route List'!$F$6:$F$205,C501,'Route List'!$G$6:$G$205,"&lt;&gt;")=1,INDEX('Route List'!$G$6:$G$205,MATCH(C501,'Route List'!$F$6:$F$205,0)),"Enter route fare"),"Enter route fare"))</x:f>
      </x:c>
      <x:c r="I501" s="98" t="str">
        <x:f>IF(F501="","",IF(F501="Own",0,50))</x:f>
      </x:c>
      <x:c r="J501" s="98" t="str">
        <x:f>IF(OR(D501="",E501=""),"",IF(AND(ISNUMBER(G501),ISNUMBER(H501)),ROUND(G501*H501,2),""))</x:f>
      </x:c>
      <x:c r="K501" s="98" t="str">
        <x:f>IF(OR(D501="",E501=""),"",IF(AND(ISNUMBER(G501),ISNUMBER(I501)),ROUND(G501*I501,2),""))</x:f>
      </x:c>
      <x:c r="L501" s="98" t="str">
        <x:f>IF(OR(D501="",E501=""),"",IF(AND(ISNUMBER(J501),ISNUMBER(K501)),J501-K501,""))</x:f>
      </x:c>
      <x:c r="M501" s="114"/>
      <x:c r="N501" s="98" t="str">
        <x:f>IF(OR(D501="",E501=""),"",IF(COUNTIFS($D$6:D501,D501,$E$6:E501,E501)=1,MAX(SUMIFS($L$6:$L$505,$D$6:$D$505,D501,$E$6:$E$505,E501)-SUMIFS($M$6:$M$505,$D$6:$D$505,D501,$E$6:$E$505,E501),0),""))</x:f>
      </x:c>
    </x:row>
    <x:row r="502" ht="28" customHeight="1">
      <x:c r="A502" s="113" t="str">
        <x:f>IF(D502="","",IF(COUNTIFS(Trips!$A$6:$A$105,D502)=1,INDEX(Trips!$C$6:$C$105,MATCH(D502,Trips!$A$6:$A$105,0)),""))</x:f>
      </x:c>
      <x:c r="B502" s="90" t="str">
        <x:f>IF(D502="","",IF(COUNTIFS(Trips!$A$6:$A$105,D502)=1,INDEX(Trips!$B$6:$B$105,MATCH(D502,Trips!$A$6:$A$105,0)),""))</x:f>
      </x:c>
      <x:c r="C502" s="90" t="str">
        <x:f>IF(D502="","",IF(COUNTIFS(Trips!$A$6:$A$105,D502)=1,INDEX(Trips!$D$6:$D$105,MATCH(D502,Trips!$A$6:$A$105,0)),""))</x:f>
      </x:c>
      <x:c r="D502" s="107"/>
      <x:c r="E502" s="107"/>
      <x:c r="F502" s="90" t="str">
        <x:f>IF(E502="","",IF(COUNTIFS(Counters!$A$6:$A$105,E502)=1,INDEX(Counters!$B$6:$B$105,MATCH(E502,Counters!$A$6:$A$105,0)),""))</x:f>
      </x:c>
      <x:c r="G502" s="107"/>
      <x:c r="H502" s="98" t="str">
        <x:f>IF(C502="","",IF(COUNTIFS('Route List'!$F$6:$F$205,C502)=1,IF(COUNTIFS('Route List'!$F$6:$F$205,C502,'Route List'!$G$6:$G$205,"&lt;&gt;")=1,INDEX('Route List'!$G$6:$G$205,MATCH(C502,'Route List'!$F$6:$F$205,0)),"Enter route fare"),"Enter route fare"))</x:f>
      </x:c>
      <x:c r="I502" s="98" t="str">
        <x:f>IF(F502="","",IF(F502="Own",0,50))</x:f>
      </x:c>
      <x:c r="J502" s="98" t="str">
        <x:f>IF(OR(D502="",E502=""),"",IF(AND(ISNUMBER(G502),ISNUMBER(H502)),ROUND(G502*H502,2),""))</x:f>
      </x:c>
      <x:c r="K502" s="98" t="str">
        <x:f>IF(OR(D502="",E502=""),"",IF(AND(ISNUMBER(G502),ISNUMBER(I502)),ROUND(G502*I502,2),""))</x:f>
      </x:c>
      <x:c r="L502" s="98" t="str">
        <x:f>IF(OR(D502="",E502=""),"",IF(AND(ISNUMBER(J502),ISNUMBER(K502)),J502-K502,""))</x:f>
      </x:c>
      <x:c r="M502" s="114"/>
      <x:c r="N502" s="98" t="str">
        <x:f>IF(OR(D502="",E502=""),"",IF(COUNTIFS($D$6:D502,D502,$E$6:E502,E502)=1,MAX(SUMIFS($L$6:$L$505,$D$6:$D$505,D502,$E$6:$E$505,E502)-SUMIFS($M$6:$M$505,$D$6:$D$505,D502,$E$6:$E$505,E502),0),""))</x:f>
      </x:c>
    </x:row>
    <x:row r="503" ht="28" customHeight="1">
      <x:c r="A503" s="113" t="str">
        <x:f>IF(D503="","",IF(COUNTIFS(Trips!$A$6:$A$105,D503)=1,INDEX(Trips!$C$6:$C$105,MATCH(D503,Trips!$A$6:$A$105,0)),""))</x:f>
      </x:c>
      <x:c r="B503" s="90" t="str">
        <x:f>IF(D503="","",IF(COUNTIFS(Trips!$A$6:$A$105,D503)=1,INDEX(Trips!$B$6:$B$105,MATCH(D503,Trips!$A$6:$A$105,0)),""))</x:f>
      </x:c>
      <x:c r="C503" s="90" t="str">
        <x:f>IF(D503="","",IF(COUNTIFS(Trips!$A$6:$A$105,D503)=1,INDEX(Trips!$D$6:$D$105,MATCH(D503,Trips!$A$6:$A$105,0)),""))</x:f>
      </x:c>
      <x:c r="D503" s="107"/>
      <x:c r="E503" s="107"/>
      <x:c r="F503" s="90" t="str">
        <x:f>IF(E503="","",IF(COUNTIFS(Counters!$A$6:$A$105,E503)=1,INDEX(Counters!$B$6:$B$105,MATCH(E503,Counters!$A$6:$A$105,0)),""))</x:f>
      </x:c>
      <x:c r="G503" s="107"/>
      <x:c r="H503" s="98" t="str">
        <x:f>IF(C503="","",IF(COUNTIFS('Route List'!$F$6:$F$205,C503)=1,IF(COUNTIFS('Route List'!$F$6:$F$205,C503,'Route List'!$G$6:$G$205,"&lt;&gt;")=1,INDEX('Route List'!$G$6:$G$205,MATCH(C503,'Route List'!$F$6:$F$205,0)),"Enter route fare"),"Enter route fare"))</x:f>
      </x:c>
      <x:c r="I503" s="98" t="str">
        <x:f>IF(F503="","",IF(F503="Own",0,50))</x:f>
      </x:c>
      <x:c r="J503" s="98" t="str">
        <x:f>IF(OR(D503="",E503=""),"",IF(AND(ISNUMBER(G503),ISNUMBER(H503)),ROUND(G503*H503,2),""))</x:f>
      </x:c>
      <x:c r="K503" s="98" t="str">
        <x:f>IF(OR(D503="",E503=""),"",IF(AND(ISNUMBER(G503),ISNUMBER(I503)),ROUND(G503*I503,2),""))</x:f>
      </x:c>
      <x:c r="L503" s="98" t="str">
        <x:f>IF(OR(D503="",E503=""),"",IF(AND(ISNUMBER(J503),ISNUMBER(K503)),J503-K503,""))</x:f>
      </x:c>
      <x:c r="M503" s="114"/>
      <x:c r="N503" s="98" t="str">
        <x:f>IF(OR(D503="",E503=""),"",IF(COUNTIFS($D$6:D503,D503,$E$6:E503,E503)=1,MAX(SUMIFS($L$6:$L$505,$D$6:$D$505,D503,$E$6:$E$505,E503)-SUMIFS($M$6:$M$505,$D$6:$D$505,D503,$E$6:$E$505,E503),0),""))</x:f>
      </x:c>
    </x:row>
    <x:row r="504" ht="28" customHeight="1">
      <x:c r="A504" s="113" t="str">
        <x:f>IF(D504="","",IF(COUNTIFS(Trips!$A$6:$A$105,D504)=1,INDEX(Trips!$C$6:$C$105,MATCH(D504,Trips!$A$6:$A$105,0)),""))</x:f>
      </x:c>
      <x:c r="B504" s="90" t="str">
        <x:f>IF(D504="","",IF(COUNTIFS(Trips!$A$6:$A$105,D504)=1,INDEX(Trips!$B$6:$B$105,MATCH(D504,Trips!$A$6:$A$105,0)),""))</x:f>
      </x:c>
      <x:c r="C504" s="90" t="str">
        <x:f>IF(D504="","",IF(COUNTIFS(Trips!$A$6:$A$105,D504)=1,INDEX(Trips!$D$6:$D$105,MATCH(D504,Trips!$A$6:$A$105,0)),""))</x:f>
      </x:c>
      <x:c r="D504" s="107"/>
      <x:c r="E504" s="107"/>
      <x:c r="F504" s="90" t="str">
        <x:f>IF(E504="","",IF(COUNTIFS(Counters!$A$6:$A$105,E504)=1,INDEX(Counters!$B$6:$B$105,MATCH(E504,Counters!$A$6:$A$105,0)),""))</x:f>
      </x:c>
      <x:c r="G504" s="107"/>
      <x:c r="H504" s="98" t="str">
        <x:f>IF(C504="","",IF(COUNTIFS('Route List'!$F$6:$F$205,C504)=1,IF(COUNTIFS('Route List'!$F$6:$F$205,C504,'Route List'!$G$6:$G$205,"&lt;&gt;")=1,INDEX('Route List'!$G$6:$G$205,MATCH(C504,'Route List'!$F$6:$F$205,0)),"Enter route fare"),"Enter route fare"))</x:f>
      </x:c>
      <x:c r="I504" s="98" t="str">
        <x:f>IF(F504="","",IF(F504="Own",0,50))</x:f>
      </x:c>
      <x:c r="J504" s="98" t="str">
        <x:f>IF(OR(D504="",E504=""),"",IF(AND(ISNUMBER(G504),ISNUMBER(H504)),ROUND(G504*H504,2),""))</x:f>
      </x:c>
      <x:c r="K504" s="98" t="str">
        <x:f>IF(OR(D504="",E504=""),"",IF(AND(ISNUMBER(G504),ISNUMBER(I504)),ROUND(G504*I504,2),""))</x:f>
      </x:c>
      <x:c r="L504" s="98" t="str">
        <x:f>IF(OR(D504="",E504=""),"",IF(AND(ISNUMBER(J504),ISNUMBER(K504)),J504-K504,""))</x:f>
      </x:c>
      <x:c r="M504" s="114"/>
      <x:c r="N504" s="98" t="str">
        <x:f>IF(OR(D504="",E504=""),"",IF(COUNTIFS($D$6:D504,D504,$E$6:E504,E504)=1,MAX(SUMIFS($L$6:$L$505,$D$6:$D$505,D504,$E$6:$E$505,E504)-SUMIFS($M$6:$M$505,$D$6:$D$505,D504,$E$6:$E$505,E504),0),""))</x:f>
      </x:c>
    </x:row>
    <x:row r="505" ht="28" customHeight="1">
      <x:c r="A505" s="113" t="str">
        <x:f>IF(D505="","",IF(COUNTIFS(Trips!$A$6:$A$105,D505)=1,INDEX(Trips!$C$6:$C$105,MATCH(D505,Trips!$A$6:$A$105,0)),""))</x:f>
      </x:c>
      <x:c r="B505" s="90" t="str">
        <x:f>IF(D505="","",IF(COUNTIFS(Trips!$A$6:$A$105,D505)=1,INDEX(Trips!$B$6:$B$105,MATCH(D505,Trips!$A$6:$A$105,0)),""))</x:f>
      </x:c>
      <x:c r="C505" s="90" t="str">
        <x:f>IF(D505="","",IF(COUNTIFS(Trips!$A$6:$A$105,D505)=1,INDEX(Trips!$D$6:$D$105,MATCH(D505,Trips!$A$6:$A$105,0)),""))</x:f>
      </x:c>
      <x:c r="D505" s="107"/>
      <x:c r="E505" s="107"/>
      <x:c r="F505" s="90" t="str">
        <x:f>IF(E505="","",IF(COUNTIFS(Counters!$A$6:$A$105,E505)=1,INDEX(Counters!$B$6:$B$105,MATCH(E505,Counters!$A$6:$A$105,0)),""))</x:f>
      </x:c>
      <x:c r="G505" s="107"/>
      <x:c r="H505" s="98" t="str">
        <x:f>IF(C505="","",IF(COUNTIFS('Route List'!$F$6:$F$205,C505)=1,IF(COUNTIFS('Route List'!$F$6:$F$205,C505,'Route List'!$G$6:$G$205,"&lt;&gt;")=1,INDEX('Route List'!$G$6:$G$205,MATCH(C505,'Route List'!$F$6:$F$205,0)),"Enter route fare"),"Enter route fare"))</x:f>
      </x:c>
      <x:c r="I505" s="98" t="str">
        <x:f>IF(F505="","",IF(F505="Own",0,50))</x:f>
      </x:c>
      <x:c r="J505" s="98" t="str">
        <x:f>IF(OR(D505="",E505=""),"",IF(AND(ISNUMBER(G505),ISNUMBER(H505)),ROUND(G505*H505,2),""))</x:f>
      </x:c>
      <x:c r="K505" s="98" t="str">
        <x:f>IF(OR(D505="",E505=""),"",IF(AND(ISNUMBER(G505),ISNUMBER(I505)),ROUND(G505*I505,2),""))</x:f>
      </x:c>
      <x:c r="L505" s="98" t="str">
        <x:f>IF(OR(D505="",E505=""),"",IF(AND(ISNUMBER(J505),ISNUMBER(K505)),J505-K505,""))</x:f>
      </x:c>
      <x:c r="M505" s="114"/>
      <x:c r="N505" s="98" t="str">
        <x:f>IF(OR(D505="",E505=""),"",IF(COUNTIFS($D$6:D505,D505,$E$6:E505,E505)=1,MAX(SUMIFS($L$6:$L$505,$D$6:$D$505,D505,$E$6:$E$505,E505)-SUMIFS($M$6:$M$505,$D$6:$D$505,D505,$E$6:$E$505,E505),0),""))</x:f>
      </x:c>
    </x:row>
  </x:sheetData>
  <x:dataValidations count="2">
    <x:dataValidation type="list" sqref="D6:D505">
      <x:formula1>TripChoices</x:formula1>
    </x:dataValidation>
    <x:dataValidation type="list" sqref="E6:E505">
      <x:formula1>CounterChoices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1329ac8cb9400c"/>
  </x:tableParts>
</x:worksheet>
</file>

<file path=xl/worksheets/sheet4.xml><?xml version="1.0" encoding="utf-8"?>
<x:worksheet xmlns:x="http://schemas.openxmlformats.org/spreadsheetml/2006/main">
  <x:sheetPr>
    <x:tabColor rgb="FF40566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0" hidden="0" customWidth="1"/>
    <x:col min="4" max="4" width="20" hidden="0" customWidth="1"/>
  </x:cols>
  <x:sheetData>
    <x:row r="1" ht="28" customHeight="1">
      <x:c r="A1" s="90"/>
      <x:c r="B1" s="90"/>
      <x:c r="C1" s="90"/>
      <x:c r="D1" s="90"/>
      <x:c r="E1" s="111"/>
      <x:c r="F1" s="111"/>
      <x:c r="G1" s="111"/>
      <x:c r="H1" s="111"/>
      <x:c r="I1" s="111"/>
      <x:c r="J1" s="111"/>
      <x:c r="K1" s="111"/>
      <x:c r="L1" s="111"/>
      <x:c r="M1" s="111"/>
      <x:c r="N1" s="111"/>
      <x:c r="O1" s="111"/>
      <x:c r="P1" s="111"/>
      <x:c r="Q1" s="111"/>
      <x:c r="R1" s="111"/>
      <x:c r="S1" s="111"/>
      <x:c r="T1" s="111"/>
    </x:row>
    <x:row r="2" ht="28" customHeight="1">
      <x:c r="A2" s="103" t="str">
        <x:v>Buses</x:v>
      </x:c>
      <x:c r="B2" s="90"/>
      <x:c r="C2" s="90"/>
      <x:c r="D2" s="90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1"/>
      <x:c r="P2" s="111"/>
      <x:c r="Q2" s="111"/>
      <x:c r="R2" s="111"/>
      <x:c r="S2" s="111"/>
      <x:c r="T2" s="111"/>
    </x:row>
    <x:row r="3" ht="28" customHeight="1">
      <x:c r="A3" s="90" t="str">
        <x:v>Enter records in yellow cells.</x:v>
      </x:c>
      <x:c r="B3" s="90"/>
      <x:c r="C3" s="90"/>
      <x:c r="D3" s="90"/>
      <x:c r="E3" s="111"/>
      <x:c r="F3" s="111"/>
      <x:c r="G3" s="111"/>
      <x:c r="H3" s="111"/>
      <x:c r="I3" s="111"/>
      <x:c r="J3" s="111"/>
      <x:c r="K3" s="111"/>
      <x:c r="L3" s="111"/>
      <x:c r="M3" s="111"/>
      <x:c r="N3" s="111"/>
      <x:c r="O3" s="111"/>
      <x:c r="P3" s="111"/>
      <x:c r="Q3" s="111"/>
      <x:c r="R3" s="111"/>
      <x:c r="S3" s="111"/>
      <x:c r="T3" s="111"/>
    </x:row>
    <x:row r="4" ht="28" customHeight="1">
      <x:c r="A4" s="90"/>
      <x:c r="B4" s="90"/>
      <x:c r="C4" s="90"/>
      <x:c r="D4" s="90"/>
      <x:c r="E4" s="111"/>
      <x:c r="F4" s="111"/>
      <x:c r="G4" s="111"/>
      <x:c r="H4" s="111"/>
      <x:c r="I4" s="111"/>
      <x:c r="J4" s="111"/>
      <x:c r="K4" s="111"/>
      <x:c r="L4" s="111"/>
      <x:c r="M4" s="111"/>
      <x:c r="N4" s="111"/>
      <x:c r="O4" s="111"/>
      <x:c r="P4" s="111"/>
      <x:c r="Q4" s="111"/>
      <x:c r="R4" s="111"/>
      <x:c r="S4" s="111"/>
      <x:c r="T4" s="111"/>
    </x:row>
    <x:row r="5" ht="60" customHeight="1">
      <x:c r="A5" s="104" t="str">
        <x:v>Bus number</x:v>
      </x:c>
      <x:c r="B5" s="104" t="str">
        <x:v>Assigned driver</x:v>
      </x:c>
      <x:c r="C5" s="104" t="str">
        <x:v>Seats</x:v>
      </x:c>
      <x:c r="D5" s="104" t="str">
        <x:v>Driver phone</x:v>
      </x:c>
      <x:c r="E5" s="111"/>
      <x:c r="F5" s="111"/>
      <x:c r="G5" s="111"/>
      <x:c r="H5" s="111"/>
      <x:c r="I5" s="111"/>
      <x:c r="J5" s="111"/>
      <x:c r="K5" s="111"/>
      <x:c r="L5" s="111"/>
      <x:c r="M5" s="111"/>
      <x:c r="N5" s="111"/>
      <x:c r="O5" s="111"/>
      <x:c r="P5" s="111"/>
      <x:c r="Q5" s="111"/>
      <x:c r="R5" s="111"/>
      <x:c r="S5" s="111"/>
      <x:c r="T5" s="111"/>
    </x:row>
    <x:row r="6" ht="28" customHeight="1">
      <x:c r="A6" s="107"/>
      <x:c r="B6" s="107"/>
      <x:c r="C6" s="90" t="str">
        <x:f>IF(A6="","",62)</x:f>
      </x:c>
      <x:c r="D6" s="109" t="str">
        <x:f>IF(B6="","",IF(COUNTIFS(Crew!$A$6:$A$105,B6)=1,INDEX(Crew!$C$6:$C$105,MATCH(B6,Crew!$A$6:$A$105,0)),""))</x:f>
      </x:c>
      <x:c r="E6" s="111"/>
      <x:c r="F6" s="111"/>
      <x:c r="G6" s="111"/>
      <x:c r="H6" s="111"/>
      <x:c r="I6" s="111"/>
      <x:c r="J6" s="111"/>
      <x:c r="K6" s="111"/>
      <x:c r="L6" s="111"/>
      <x:c r="M6" s="111"/>
      <x:c r="N6" s="111"/>
      <x:c r="O6" s="111"/>
      <x:c r="P6" s="111"/>
      <x:c r="Q6" s="111"/>
      <x:c r="R6" s="111"/>
      <x:c r="S6" s="111"/>
      <x:c r="T6" s="111"/>
    </x:row>
    <x:row r="7" ht="28" customHeight="1">
      <x:c r="A7" s="107"/>
      <x:c r="B7" s="107"/>
      <x:c r="C7" s="90" t="str">
        <x:f>IF(A7="","",62)</x:f>
      </x:c>
      <x:c r="D7" s="109" t="str">
        <x:f>IF(B7="","",IF(COUNTIFS(Crew!$A$6:$A$105,B7)=1,INDEX(Crew!$C$6:$C$105,MATCH(B7,Crew!$A$6:$A$105,0)),""))</x:f>
      </x:c>
      <x:c r="E7" s="111"/>
      <x:c r="F7" s="111"/>
      <x:c r="G7" s="111"/>
      <x:c r="H7" s="111"/>
      <x:c r="I7" s="111"/>
      <x:c r="J7" s="111"/>
      <x:c r="K7" s="111"/>
      <x:c r="L7" s="111"/>
      <x:c r="M7" s="111"/>
      <x:c r="N7" s="111"/>
      <x:c r="O7" s="111"/>
      <x:c r="P7" s="111"/>
      <x:c r="Q7" s="111"/>
      <x:c r="R7" s="111"/>
      <x:c r="S7" s="111"/>
      <x:c r="T7" s="111"/>
    </x:row>
    <x:row r="8" ht="28" customHeight="1">
      <x:c r="A8" s="107"/>
      <x:c r="B8" s="107"/>
      <x:c r="C8" s="90" t="str">
        <x:f>IF(A8="","",62)</x:f>
      </x:c>
      <x:c r="D8" s="109" t="str">
        <x:f>IF(B8="","",IF(COUNTIFS(Crew!$A$6:$A$105,B8)=1,INDEX(Crew!$C$6:$C$105,MATCH(B8,Crew!$A$6:$A$105,0)),""))</x:f>
      </x:c>
      <x:c r="E8" s="111"/>
      <x:c r="F8" s="111"/>
      <x:c r="G8" s="111"/>
      <x:c r="H8" s="111"/>
      <x:c r="I8" s="111"/>
      <x:c r="J8" s="111"/>
      <x:c r="K8" s="111"/>
      <x:c r="L8" s="111"/>
      <x:c r="M8" s="111"/>
      <x:c r="N8" s="111"/>
      <x:c r="O8" s="111"/>
      <x:c r="P8" s="111"/>
      <x:c r="Q8" s="111"/>
      <x:c r="R8" s="111"/>
      <x:c r="S8" s="111"/>
      <x:c r="T8" s="111"/>
    </x:row>
    <x:row r="9" ht="28" customHeight="1">
      <x:c r="A9" s="107"/>
      <x:c r="B9" s="107"/>
      <x:c r="C9" s="90" t="str">
        <x:f>IF(A9="","",62)</x:f>
      </x:c>
      <x:c r="D9" s="109" t="str">
        <x:f>IF(B9="","",IF(COUNTIFS(Crew!$A$6:$A$105,B9)=1,INDEX(Crew!$C$6:$C$105,MATCH(B9,Crew!$A$6:$A$105,0)),""))</x:f>
      </x:c>
      <x:c r="E9" s="111"/>
      <x:c r="F9" s="111"/>
      <x:c r="G9" s="111"/>
      <x:c r="H9" s="111"/>
      <x:c r="I9" s="111"/>
      <x:c r="J9" s="111"/>
      <x:c r="K9" s="111"/>
      <x:c r="L9" s="111"/>
      <x:c r="M9" s="111"/>
      <x:c r="N9" s="111"/>
      <x:c r="O9" s="111"/>
      <x:c r="P9" s="111"/>
      <x:c r="Q9" s="111"/>
      <x:c r="R9" s="111"/>
      <x:c r="S9" s="111"/>
      <x:c r="T9" s="111"/>
    </x:row>
    <x:row r="10" ht="28" customHeight="1">
      <x:c r="A10" s="107"/>
      <x:c r="B10" s="107"/>
      <x:c r="C10" s="90" t="str">
        <x:f>IF(A10="","",62)</x:f>
      </x:c>
      <x:c r="D10" s="109" t="str">
        <x:f>IF(B10="","",IF(COUNTIFS(Crew!$A$6:$A$105,B10)=1,INDEX(Crew!$C$6:$C$105,MATCH(B10,Crew!$A$6:$A$105,0)),""))</x:f>
      </x:c>
      <x:c r="E10" s="111"/>
      <x:c r="F10" s="111"/>
      <x:c r="G10" s="111"/>
      <x:c r="H10" s="111"/>
      <x:c r="I10" s="111"/>
      <x:c r="J10" s="111"/>
      <x:c r="K10" s="111"/>
      <x:c r="L10" s="111"/>
      <x:c r="M10" s="111"/>
      <x:c r="N10" s="111"/>
      <x:c r="O10" s="111"/>
      <x:c r="P10" s="111"/>
      <x:c r="Q10" s="111"/>
      <x:c r="R10" s="111"/>
      <x:c r="S10" s="111"/>
      <x:c r="T10" s="111"/>
    </x:row>
    <x:row r="11" ht="28" customHeight="1">
      <x:c r="A11" s="107"/>
      <x:c r="B11" s="107"/>
      <x:c r="C11" s="90" t="str">
        <x:f>IF(A11="","",62)</x:f>
      </x:c>
      <x:c r="D11" s="109" t="str">
        <x:f>IF(B11="","",IF(COUNTIFS(Crew!$A$6:$A$105,B11)=1,INDEX(Crew!$C$6:$C$105,MATCH(B11,Crew!$A$6:$A$105,0)),""))</x:f>
      </x:c>
      <x:c r="E11" s="111"/>
      <x:c r="F11" s="111"/>
      <x:c r="G11" s="111"/>
      <x:c r="H11" s="111"/>
      <x:c r="I11" s="111"/>
      <x:c r="J11" s="111"/>
      <x:c r="K11" s="111"/>
      <x:c r="L11" s="111"/>
      <x:c r="M11" s="111"/>
      <x:c r="N11" s="111"/>
      <x:c r="O11" s="111"/>
      <x:c r="P11" s="111"/>
      <x:c r="Q11" s="111"/>
      <x:c r="R11" s="111"/>
      <x:c r="S11" s="111"/>
      <x:c r="T11" s="111"/>
    </x:row>
    <x:row r="12" ht="28" customHeight="1">
      <x:c r="A12" s="107"/>
      <x:c r="B12" s="107"/>
      <x:c r="C12" s="90" t="str">
        <x:f>IF(A12="","",62)</x:f>
      </x:c>
      <x:c r="D12" s="109" t="str">
        <x:f>IF(B12="","",IF(COUNTIFS(Crew!$A$6:$A$105,B12)=1,INDEX(Crew!$C$6:$C$105,MATCH(B12,Crew!$A$6:$A$105,0)),""))</x:f>
      </x:c>
      <x:c r="E12" s="111"/>
      <x:c r="F12" s="111"/>
      <x:c r="G12" s="111"/>
      <x:c r="H12" s="111"/>
      <x:c r="I12" s="111"/>
      <x:c r="J12" s="111"/>
      <x:c r="K12" s="111"/>
      <x:c r="L12" s="111"/>
      <x:c r="M12" s="111"/>
      <x:c r="N12" s="111"/>
      <x:c r="O12" s="111"/>
      <x:c r="P12" s="111"/>
      <x:c r="Q12" s="111"/>
      <x:c r="R12" s="111"/>
      <x:c r="S12" s="111"/>
      <x:c r="T12" s="111"/>
    </x:row>
    <x:row r="13" ht="28" customHeight="1">
      <x:c r="A13" s="107"/>
      <x:c r="B13" s="107"/>
      <x:c r="C13" s="90" t="str">
        <x:f>IF(A13="","",62)</x:f>
      </x:c>
      <x:c r="D13" s="109" t="str">
        <x:f>IF(B13="","",IF(COUNTIFS(Crew!$A$6:$A$105,B13)=1,INDEX(Crew!$C$6:$C$105,MATCH(B13,Crew!$A$6:$A$105,0)),""))</x:f>
      </x:c>
      <x:c r="E13" s="111"/>
      <x:c r="F13" s="111"/>
      <x:c r="G13" s="111"/>
      <x:c r="H13" s="111"/>
      <x:c r="I13" s="111"/>
      <x:c r="J13" s="111"/>
      <x:c r="K13" s="111"/>
      <x:c r="L13" s="111"/>
      <x:c r="M13" s="111"/>
      <x:c r="N13" s="111"/>
      <x:c r="O13" s="111"/>
      <x:c r="P13" s="111"/>
      <x:c r="Q13" s="111"/>
      <x:c r="R13" s="111"/>
      <x:c r="S13" s="111"/>
      <x:c r="T13" s="111"/>
    </x:row>
    <x:row r="14" ht="28" customHeight="1">
      <x:c r="A14" s="107"/>
      <x:c r="B14" s="107"/>
      <x:c r="C14" s="90" t="str">
        <x:f>IF(A14="","",62)</x:f>
      </x:c>
      <x:c r="D14" s="109" t="str">
        <x:f>IF(B14="","",IF(COUNTIFS(Crew!$A$6:$A$105,B14)=1,INDEX(Crew!$C$6:$C$105,MATCH(B14,Crew!$A$6:$A$105,0)),""))</x:f>
      </x:c>
      <x:c r="E14" s="111"/>
      <x:c r="F14" s="111"/>
      <x:c r="G14" s="111"/>
      <x:c r="H14" s="111"/>
      <x:c r="I14" s="111"/>
      <x:c r="J14" s="111"/>
      <x:c r="K14" s="111"/>
      <x:c r="L14" s="111"/>
      <x:c r="M14" s="111"/>
      <x:c r="N14" s="111"/>
      <x:c r="O14" s="111"/>
      <x:c r="P14" s="111"/>
      <x:c r="Q14" s="111"/>
      <x:c r="R14" s="111"/>
      <x:c r="S14" s="111"/>
      <x:c r="T14" s="111"/>
    </x:row>
    <x:row r="15" ht="28" customHeight="1">
      <x:c r="A15" s="107"/>
      <x:c r="B15" s="107"/>
      <x:c r="C15" s="90" t="str">
        <x:f>IF(A15="","",62)</x:f>
      </x:c>
      <x:c r="D15" s="109" t="str">
        <x:f>IF(B15="","",IF(COUNTIFS(Crew!$A$6:$A$105,B15)=1,INDEX(Crew!$C$6:$C$105,MATCH(B15,Crew!$A$6:$A$105,0)),""))</x:f>
      </x:c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11"/>
      <x:c r="O15" s="111"/>
      <x:c r="P15" s="111"/>
      <x:c r="Q15" s="111"/>
      <x:c r="R15" s="111"/>
      <x:c r="S15" s="111"/>
      <x:c r="T15" s="111"/>
    </x:row>
    <x:row r="16" ht="28" customHeight="1">
      <x:c r="A16" s="107"/>
      <x:c r="B16" s="107"/>
      <x:c r="C16" s="90" t="str">
        <x:f>IF(A16="","",62)</x:f>
      </x:c>
      <x:c r="D16" s="109" t="str">
        <x:f>IF(B16="","",IF(COUNTIFS(Crew!$A$6:$A$105,B16)=1,INDEX(Crew!$C$6:$C$105,MATCH(B16,Crew!$A$6:$A$105,0)),""))</x:f>
      </x:c>
      <x:c r="E16" s="111"/>
      <x:c r="F16" s="111"/>
      <x:c r="G16" s="111"/>
      <x:c r="H16" s="111"/>
      <x:c r="I16" s="111"/>
      <x:c r="J16" s="111"/>
      <x:c r="K16" s="111"/>
      <x:c r="L16" s="111"/>
      <x:c r="M16" s="111"/>
      <x:c r="N16" s="111"/>
      <x:c r="O16" s="111"/>
      <x:c r="P16" s="111"/>
      <x:c r="Q16" s="111"/>
      <x:c r="R16" s="111"/>
      <x:c r="S16" s="111"/>
      <x:c r="T16" s="111"/>
    </x:row>
    <x:row r="17" ht="28" customHeight="1">
      <x:c r="A17" s="107"/>
      <x:c r="B17" s="107"/>
      <x:c r="C17" s="90" t="str">
        <x:f>IF(A17="","",62)</x:f>
      </x:c>
      <x:c r="D17" s="109" t="str">
        <x:f>IF(B17="","",IF(COUNTIFS(Crew!$A$6:$A$105,B17)=1,INDEX(Crew!$C$6:$C$105,MATCH(B17,Crew!$A$6:$A$105,0)),""))</x:f>
      </x:c>
      <x:c r="E17" s="111"/>
      <x:c r="F17" s="111"/>
      <x:c r="G17" s="111"/>
      <x:c r="H17" s="111"/>
      <x:c r="I17" s="111"/>
      <x:c r="J17" s="111"/>
      <x:c r="K17" s="111"/>
      <x:c r="L17" s="111"/>
      <x:c r="M17" s="111"/>
      <x:c r="N17" s="111"/>
      <x:c r="O17" s="111"/>
      <x:c r="P17" s="111"/>
      <x:c r="Q17" s="111"/>
      <x:c r="R17" s="111"/>
      <x:c r="S17" s="111"/>
      <x:c r="T17" s="111"/>
    </x:row>
    <x:row r="18" ht="28" customHeight="1">
      <x:c r="A18" s="107"/>
      <x:c r="B18" s="107"/>
      <x:c r="C18" s="90" t="str">
        <x:f>IF(A18="","",62)</x:f>
      </x:c>
      <x:c r="D18" s="109" t="str">
        <x:f>IF(B18="","",IF(COUNTIFS(Crew!$A$6:$A$105,B18)=1,INDEX(Crew!$C$6:$C$105,MATCH(B18,Crew!$A$6:$A$105,0)),""))</x:f>
      </x:c>
      <x:c r="E18" s="111"/>
      <x:c r="F18" s="111"/>
      <x:c r="G18" s="111"/>
      <x:c r="H18" s="111"/>
      <x:c r="I18" s="111"/>
      <x:c r="J18" s="111"/>
      <x:c r="K18" s="111"/>
      <x:c r="L18" s="111"/>
      <x:c r="M18" s="111"/>
      <x:c r="N18" s="111"/>
      <x:c r="O18" s="111"/>
      <x:c r="P18" s="111"/>
      <x:c r="Q18" s="111"/>
      <x:c r="R18" s="111"/>
      <x:c r="S18" s="111"/>
      <x:c r="T18" s="111"/>
    </x:row>
    <x:row r="19" ht="28" customHeight="1">
      <x:c r="A19" s="107"/>
      <x:c r="B19" s="107"/>
      <x:c r="C19" s="90" t="str">
        <x:f>IF(A19="","",62)</x:f>
      </x:c>
      <x:c r="D19" s="109" t="str">
        <x:f>IF(B19="","",IF(COUNTIFS(Crew!$A$6:$A$105,B19)=1,INDEX(Crew!$C$6:$C$105,MATCH(B19,Crew!$A$6:$A$105,0)),""))</x:f>
      </x:c>
      <x:c r="E19" s="111"/>
      <x:c r="F19" s="111"/>
      <x:c r="G19" s="111"/>
      <x:c r="H19" s="111"/>
      <x:c r="I19" s="111"/>
      <x:c r="J19" s="111"/>
      <x:c r="K19" s="111"/>
      <x:c r="L19" s="111"/>
      <x:c r="M19" s="111"/>
      <x:c r="N19" s="111"/>
      <x:c r="O19" s="111"/>
      <x:c r="P19" s="111"/>
      <x:c r="Q19" s="111"/>
      <x:c r="R19" s="111"/>
      <x:c r="S19" s="111"/>
      <x:c r="T19" s="111"/>
    </x:row>
    <x:row r="20" ht="28" customHeight="1">
      <x:c r="A20" s="107"/>
      <x:c r="B20" s="107"/>
      <x:c r="C20" s="90" t="str">
        <x:f>IF(A20="","",62)</x:f>
      </x:c>
      <x:c r="D20" s="109" t="str">
        <x:f>IF(B20="","",IF(COUNTIFS(Crew!$A$6:$A$105,B20)=1,INDEX(Crew!$C$6:$C$105,MATCH(B20,Crew!$A$6:$A$105,0)),""))</x:f>
      </x:c>
      <x:c r="E20" s="111"/>
      <x:c r="F20" s="111"/>
      <x:c r="G20" s="111"/>
      <x:c r="H20" s="111"/>
      <x:c r="I20" s="111"/>
      <x:c r="J20" s="111"/>
      <x:c r="K20" s="111"/>
      <x:c r="L20" s="111"/>
      <x:c r="M20" s="111"/>
      <x:c r="N20" s="111"/>
      <x:c r="O20" s="111"/>
      <x:c r="P20" s="111"/>
      <x:c r="Q20" s="111"/>
      <x:c r="R20" s="111"/>
      <x:c r="S20" s="111"/>
      <x:c r="T20" s="111"/>
    </x:row>
    <x:row r="21" ht="28" customHeight="1">
      <x:c r="A21" s="107"/>
      <x:c r="B21" s="107"/>
      <x:c r="C21" s="90" t="str">
        <x:f>IF(A21="","",62)</x:f>
      </x:c>
      <x:c r="D21" s="109" t="str">
        <x:f>IF(B21="","",IF(COUNTIFS(Crew!$A$6:$A$105,B21)=1,INDEX(Crew!$C$6:$C$105,MATCH(B21,Crew!$A$6:$A$105,0)),""))</x:f>
      </x:c>
      <x:c r="E21" s="111"/>
      <x:c r="F21" s="111"/>
      <x:c r="G21" s="111"/>
      <x:c r="H21" s="111"/>
      <x:c r="I21" s="111"/>
      <x:c r="J21" s="111"/>
      <x:c r="K21" s="111"/>
      <x:c r="L21" s="111"/>
      <x:c r="M21" s="111"/>
      <x:c r="N21" s="111"/>
      <x:c r="O21" s="111"/>
      <x:c r="P21" s="111"/>
      <x:c r="Q21" s="111"/>
      <x:c r="R21" s="111"/>
      <x:c r="S21" s="111"/>
      <x:c r="T21" s="111"/>
    </x:row>
    <x:row r="22" ht="28" customHeight="1">
      <x:c r="A22" s="107"/>
      <x:c r="B22" s="107"/>
      <x:c r="C22" s="90" t="str">
        <x:f>IF(A22="","",62)</x:f>
      </x:c>
      <x:c r="D22" s="109" t="str">
        <x:f>IF(B22="","",IF(COUNTIFS(Crew!$A$6:$A$105,B22)=1,INDEX(Crew!$C$6:$C$105,MATCH(B22,Crew!$A$6:$A$105,0)),""))</x:f>
      </x:c>
      <x:c r="E22" s="111"/>
      <x:c r="F22" s="111"/>
      <x:c r="G22" s="111"/>
      <x:c r="H22" s="111"/>
      <x:c r="I22" s="111"/>
      <x:c r="J22" s="111"/>
      <x:c r="K22" s="111"/>
      <x:c r="L22" s="111"/>
      <x:c r="M22" s="111"/>
      <x:c r="N22" s="111"/>
      <x:c r="O22" s="111"/>
      <x:c r="P22" s="111"/>
      <x:c r="Q22" s="111"/>
      <x:c r="R22" s="111"/>
      <x:c r="S22" s="111"/>
      <x:c r="T22" s="111"/>
    </x:row>
    <x:row r="23" ht="28" customHeight="1">
      <x:c r="A23" s="107"/>
      <x:c r="B23" s="107"/>
      <x:c r="C23" s="90" t="str">
        <x:f>IF(A23="","",62)</x:f>
      </x:c>
      <x:c r="D23" s="109" t="str">
        <x:f>IF(B23="","",IF(COUNTIFS(Crew!$A$6:$A$105,B23)=1,INDEX(Crew!$C$6:$C$105,MATCH(B23,Crew!$A$6:$A$105,0)),""))</x:f>
      </x:c>
      <x:c r="E23" s="111"/>
      <x:c r="F23" s="111"/>
      <x:c r="G23" s="111"/>
      <x:c r="H23" s="111"/>
      <x:c r="I23" s="111"/>
      <x:c r="J23" s="111"/>
      <x:c r="K23" s="111"/>
      <x:c r="L23" s="111"/>
      <x:c r="M23" s="111"/>
      <x:c r="N23" s="111"/>
      <x:c r="O23" s="111"/>
      <x:c r="P23" s="111"/>
      <x:c r="Q23" s="111"/>
      <x:c r="R23" s="111"/>
      <x:c r="S23" s="111"/>
      <x:c r="T23" s="111"/>
    </x:row>
    <x:row r="24" ht="28" customHeight="1">
      <x:c r="A24" s="107"/>
      <x:c r="B24" s="107"/>
      <x:c r="C24" s="90" t="str">
        <x:f>IF(A24="","",62)</x:f>
      </x:c>
      <x:c r="D24" s="109" t="str">
        <x:f>IF(B24="","",IF(COUNTIFS(Crew!$A$6:$A$105,B24)=1,INDEX(Crew!$C$6:$C$105,MATCH(B24,Crew!$A$6:$A$105,0)),""))</x:f>
      </x:c>
      <x:c r="E24" s="111"/>
      <x:c r="F24" s="111"/>
      <x:c r="G24" s="111"/>
      <x:c r="H24" s="111"/>
      <x:c r="I24" s="111"/>
      <x:c r="J24" s="111"/>
      <x:c r="K24" s="111"/>
      <x:c r="L24" s="111"/>
      <x:c r="M24" s="111"/>
      <x:c r="N24" s="111"/>
      <x:c r="O24" s="111"/>
      <x:c r="P24" s="111"/>
      <x:c r="Q24" s="111"/>
      <x:c r="R24" s="111"/>
      <x:c r="S24" s="111"/>
      <x:c r="T24" s="111"/>
    </x:row>
    <x:row r="25" ht="28" customHeight="1">
      <x:c r="A25" s="107"/>
      <x:c r="B25" s="107"/>
      <x:c r="C25" s="90" t="str">
        <x:f>IF(A25="","",62)</x:f>
      </x:c>
      <x:c r="D25" s="109" t="str">
        <x:f>IF(B25="","",IF(COUNTIFS(Crew!$A$6:$A$105,B25)=1,INDEX(Crew!$C$6:$C$105,MATCH(B25,Crew!$A$6:$A$105,0)),""))</x:f>
      </x:c>
      <x:c r="E25" s="111"/>
      <x:c r="F25" s="111"/>
      <x:c r="G25" s="111"/>
      <x:c r="H25" s="111"/>
      <x:c r="I25" s="111"/>
      <x:c r="J25" s="111"/>
      <x:c r="K25" s="111"/>
      <x:c r="L25" s="111"/>
      <x:c r="M25" s="111"/>
      <x:c r="N25" s="111"/>
      <x:c r="O25" s="111"/>
      <x:c r="P25" s="111"/>
      <x:c r="Q25" s="111"/>
      <x:c r="R25" s="111"/>
      <x:c r="S25" s="111"/>
      <x:c r="T25" s="111"/>
    </x:row>
    <x:row r="26" ht="28" customHeight="1">
      <x:c r="A26" s="107"/>
      <x:c r="B26" s="107"/>
      <x:c r="C26" s="90" t="str">
        <x:f>IF(A26="","",62)</x:f>
      </x:c>
      <x:c r="D26" s="109" t="str">
        <x:f>IF(B26="","",IF(COUNTIFS(Crew!$A$6:$A$105,B26)=1,INDEX(Crew!$C$6:$C$105,MATCH(B26,Crew!$A$6:$A$105,0)),""))</x:f>
      </x:c>
      <x:c r="E26" s="111"/>
      <x:c r="F26" s="111"/>
      <x:c r="G26" s="111"/>
      <x:c r="H26" s="111"/>
      <x:c r="I26" s="111"/>
      <x:c r="J26" s="111"/>
      <x:c r="K26" s="111"/>
      <x:c r="L26" s="111"/>
      <x:c r="M26" s="111"/>
      <x:c r="N26" s="111"/>
      <x:c r="O26" s="111"/>
      <x:c r="P26" s="111"/>
      <x:c r="Q26" s="111"/>
      <x:c r="R26" s="111"/>
      <x:c r="S26" s="111"/>
      <x:c r="T26" s="111"/>
    </x:row>
    <x:row r="27" ht="28" customHeight="1">
      <x:c r="A27" s="107"/>
      <x:c r="B27" s="107"/>
      <x:c r="C27" s="90" t="str">
        <x:f>IF(A27="","",62)</x:f>
      </x:c>
      <x:c r="D27" s="109" t="str">
        <x:f>IF(B27="","",IF(COUNTIFS(Crew!$A$6:$A$105,B27)=1,INDEX(Crew!$C$6:$C$105,MATCH(B27,Crew!$A$6:$A$105,0)),""))</x:f>
      </x:c>
      <x:c r="E27" s="111"/>
      <x:c r="F27" s="111"/>
      <x:c r="G27" s="111"/>
      <x:c r="H27" s="111"/>
      <x:c r="I27" s="111"/>
      <x:c r="J27" s="111"/>
      <x:c r="K27" s="111"/>
      <x:c r="L27" s="111"/>
      <x:c r="M27" s="111"/>
      <x:c r="N27" s="111"/>
      <x:c r="O27" s="111"/>
      <x:c r="P27" s="111"/>
      <x:c r="Q27" s="111"/>
      <x:c r="R27" s="111"/>
      <x:c r="S27" s="111"/>
      <x:c r="T27" s="111"/>
    </x:row>
    <x:row r="28" ht="28" customHeight="1">
      <x:c r="A28" s="107"/>
      <x:c r="B28" s="107"/>
      <x:c r="C28" s="90" t="str">
        <x:f>IF(A28="","",62)</x:f>
      </x:c>
      <x:c r="D28" s="109" t="str">
        <x:f>IF(B28="","",IF(COUNTIFS(Crew!$A$6:$A$105,B28)=1,INDEX(Crew!$C$6:$C$105,MATCH(B28,Crew!$A$6:$A$105,0)),""))</x:f>
      </x:c>
      <x:c r="E28" s="111"/>
      <x:c r="F28" s="111"/>
      <x:c r="G28" s="111"/>
      <x:c r="H28" s="111"/>
      <x:c r="I28" s="111"/>
      <x:c r="J28" s="111"/>
      <x:c r="K28" s="111"/>
      <x:c r="L28" s="111"/>
      <x:c r="M28" s="111"/>
      <x:c r="N28" s="111"/>
      <x:c r="O28" s="111"/>
      <x:c r="P28" s="111"/>
      <x:c r="Q28" s="111"/>
      <x:c r="R28" s="111"/>
      <x:c r="S28" s="111"/>
      <x:c r="T28" s="111"/>
    </x:row>
    <x:row r="29" ht="28" customHeight="1">
      <x:c r="A29" s="107"/>
      <x:c r="B29" s="107"/>
      <x:c r="C29" s="90" t="str">
        <x:f>IF(A29="","",62)</x:f>
      </x:c>
      <x:c r="D29" s="109" t="str">
        <x:f>IF(B29="","",IF(COUNTIFS(Crew!$A$6:$A$105,B29)=1,INDEX(Crew!$C$6:$C$105,MATCH(B29,Crew!$A$6:$A$105,0)),""))</x:f>
      </x:c>
      <x:c r="E29" s="111"/>
      <x:c r="F29" s="111"/>
      <x:c r="G29" s="111"/>
      <x:c r="H29" s="111"/>
      <x:c r="I29" s="111"/>
      <x:c r="J29" s="111"/>
      <x:c r="K29" s="111"/>
      <x:c r="L29" s="111"/>
      <x:c r="M29" s="111"/>
      <x:c r="N29" s="111"/>
      <x:c r="O29" s="111"/>
      <x:c r="P29" s="111"/>
      <x:c r="Q29" s="111"/>
      <x:c r="R29" s="111"/>
      <x:c r="S29" s="111"/>
      <x:c r="T29" s="111"/>
    </x:row>
    <x:row r="30" ht="28" customHeight="1">
      <x:c r="A30" s="107"/>
      <x:c r="B30" s="107"/>
      <x:c r="C30" s="90" t="str">
        <x:f>IF(A30="","",62)</x:f>
      </x:c>
      <x:c r="D30" s="109" t="str">
        <x:f>IF(B30="","",IF(COUNTIFS(Crew!$A$6:$A$105,B30)=1,INDEX(Crew!$C$6:$C$105,MATCH(B30,Crew!$A$6:$A$105,0)),""))</x:f>
      </x:c>
      <x:c r="E30" s="111"/>
      <x:c r="F30" s="111"/>
      <x:c r="G30" s="111"/>
      <x:c r="H30" s="111"/>
      <x:c r="I30" s="111"/>
      <x:c r="J30" s="111"/>
      <x:c r="K30" s="111"/>
      <x:c r="L30" s="111"/>
      <x:c r="M30" s="111"/>
      <x:c r="N30" s="111"/>
      <x:c r="O30" s="111"/>
      <x:c r="P30" s="111"/>
      <x:c r="Q30" s="111"/>
      <x:c r="R30" s="111"/>
      <x:c r="S30" s="111"/>
      <x:c r="T30" s="111"/>
    </x:row>
    <x:row r="31" ht="28" customHeight="1">
      <x:c r="A31" s="107"/>
      <x:c r="B31" s="107"/>
      <x:c r="C31" s="90" t="str">
        <x:f>IF(A31="","",62)</x:f>
      </x:c>
      <x:c r="D31" s="109" t="str">
        <x:f>IF(B31="","",IF(COUNTIFS(Crew!$A$6:$A$105,B31)=1,INDEX(Crew!$C$6:$C$105,MATCH(B31,Crew!$A$6:$A$105,0)),""))</x:f>
      </x:c>
      <x:c r="E31" s="111"/>
      <x:c r="F31" s="111"/>
      <x:c r="G31" s="111"/>
      <x:c r="H31" s="111"/>
      <x:c r="I31" s="111"/>
      <x:c r="J31" s="111"/>
      <x:c r="K31" s="111"/>
      <x:c r="L31" s="111"/>
      <x:c r="M31" s="111"/>
      <x:c r="N31" s="111"/>
      <x:c r="O31" s="111"/>
      <x:c r="P31" s="111"/>
      <x:c r="Q31" s="111"/>
      <x:c r="R31" s="111"/>
      <x:c r="S31" s="111"/>
      <x:c r="T31" s="111"/>
    </x:row>
    <x:row r="32" ht="28" customHeight="1">
      <x:c r="A32" s="107"/>
      <x:c r="B32" s="107"/>
      <x:c r="C32" s="90" t="str">
        <x:f>IF(A32="","",62)</x:f>
      </x:c>
      <x:c r="D32" s="109" t="str">
        <x:f>IF(B32="","",IF(COUNTIFS(Crew!$A$6:$A$105,B32)=1,INDEX(Crew!$C$6:$C$105,MATCH(B32,Crew!$A$6:$A$105,0)),""))</x:f>
      </x:c>
      <x:c r="E32" s="111"/>
      <x:c r="F32" s="111"/>
      <x:c r="G32" s="111"/>
      <x:c r="H32" s="111"/>
      <x:c r="I32" s="111"/>
      <x:c r="J32" s="111"/>
      <x:c r="K32" s="111"/>
      <x:c r="L32" s="111"/>
      <x:c r="M32" s="111"/>
      <x:c r="N32" s="111"/>
      <x:c r="O32" s="111"/>
      <x:c r="P32" s="111"/>
      <x:c r="Q32" s="111"/>
      <x:c r="R32" s="111"/>
      <x:c r="S32" s="111"/>
      <x:c r="T32" s="111"/>
    </x:row>
    <x:row r="33" ht="28" customHeight="1">
      <x:c r="A33" s="107"/>
      <x:c r="B33" s="107"/>
      <x:c r="C33" s="90" t="str">
        <x:f>IF(A33="","",62)</x:f>
      </x:c>
      <x:c r="D33" s="109" t="str">
        <x:f>IF(B33="","",IF(COUNTIFS(Crew!$A$6:$A$105,B33)=1,INDEX(Crew!$C$6:$C$105,MATCH(B33,Crew!$A$6:$A$105,0)),""))</x:f>
      </x:c>
      <x:c r="E33" s="111"/>
      <x:c r="F33" s="111"/>
      <x:c r="G33" s="111"/>
      <x:c r="H33" s="111"/>
      <x:c r="I33" s="111"/>
      <x:c r="J33" s="111"/>
      <x:c r="K33" s="111"/>
      <x:c r="L33" s="111"/>
      <x:c r="M33" s="111"/>
      <x:c r="N33" s="111"/>
      <x:c r="O33" s="111"/>
      <x:c r="P33" s="111"/>
      <x:c r="Q33" s="111"/>
      <x:c r="R33" s="111"/>
      <x:c r="S33" s="111"/>
      <x:c r="T33" s="111"/>
    </x:row>
    <x:row r="34" ht="28" customHeight="1">
      <x:c r="A34" s="107"/>
      <x:c r="B34" s="107"/>
      <x:c r="C34" s="90" t="str">
        <x:f>IF(A34="","",62)</x:f>
      </x:c>
      <x:c r="D34" s="109" t="str">
        <x:f>IF(B34="","",IF(COUNTIFS(Crew!$A$6:$A$105,B34)=1,INDEX(Crew!$C$6:$C$105,MATCH(B34,Crew!$A$6:$A$105,0)),""))</x:f>
      </x:c>
      <x:c r="E34" s="111"/>
      <x:c r="F34" s="111"/>
      <x:c r="G34" s="111"/>
      <x:c r="H34" s="111"/>
      <x:c r="I34" s="111"/>
      <x:c r="J34" s="111"/>
      <x:c r="K34" s="111"/>
      <x:c r="L34" s="111"/>
      <x:c r="M34" s="111"/>
      <x:c r="N34" s="111"/>
      <x:c r="O34" s="111"/>
      <x:c r="P34" s="111"/>
      <x:c r="Q34" s="111"/>
      <x:c r="R34" s="111"/>
      <x:c r="S34" s="111"/>
      <x:c r="T34" s="111"/>
    </x:row>
    <x:row r="35" ht="28" customHeight="1">
      <x:c r="A35" s="107"/>
      <x:c r="B35" s="107"/>
      <x:c r="C35" s="90" t="str">
        <x:f>IF(A35="","",62)</x:f>
      </x:c>
      <x:c r="D35" s="109" t="str">
        <x:f>IF(B35="","",IF(COUNTIFS(Crew!$A$6:$A$105,B35)=1,INDEX(Crew!$C$6:$C$105,MATCH(B35,Crew!$A$6:$A$105,0)),""))</x:f>
      </x:c>
      <x:c r="E35" s="111"/>
      <x:c r="F35" s="111"/>
      <x:c r="G35" s="111"/>
      <x:c r="H35" s="111"/>
      <x:c r="I35" s="111"/>
      <x:c r="J35" s="111"/>
      <x:c r="K35" s="111"/>
      <x:c r="L35" s="111"/>
      <x:c r="M35" s="111"/>
      <x:c r="N35" s="111"/>
      <x:c r="O35" s="111"/>
      <x:c r="P35" s="111"/>
      <x:c r="Q35" s="111"/>
      <x:c r="R35" s="111"/>
      <x:c r="S35" s="111"/>
      <x:c r="T35" s="111"/>
    </x:row>
    <x:row r="36" ht="28" customHeight="1">
      <x:c r="A36" s="107"/>
      <x:c r="B36" s="107"/>
      <x:c r="C36" s="90" t="str">
        <x:f>IF(A36="","",62)</x:f>
      </x:c>
      <x:c r="D36" s="109" t="str">
        <x:f>IF(B36="","",IF(COUNTIFS(Crew!$A$6:$A$105,B36)=1,INDEX(Crew!$C$6:$C$105,MATCH(B36,Crew!$A$6:$A$105,0)),""))</x:f>
      </x:c>
      <x:c r="E36" s="111"/>
      <x:c r="F36" s="111"/>
      <x:c r="G36" s="111"/>
      <x:c r="H36" s="111"/>
      <x:c r="I36" s="111"/>
      <x:c r="J36" s="111"/>
      <x:c r="K36" s="111"/>
      <x:c r="L36" s="111"/>
      <x:c r="M36" s="111"/>
      <x:c r="N36" s="111"/>
      <x:c r="O36" s="111"/>
      <x:c r="P36" s="111"/>
      <x:c r="Q36" s="111"/>
      <x:c r="R36" s="111"/>
      <x:c r="S36" s="111"/>
      <x:c r="T36" s="111"/>
    </x:row>
    <x:row r="37" ht="28" customHeight="1">
      <x:c r="A37" s="107"/>
      <x:c r="B37" s="107"/>
      <x:c r="C37" s="90" t="str">
        <x:f>IF(A37="","",62)</x:f>
      </x:c>
      <x:c r="D37" s="109" t="str">
        <x:f>IF(B37="","",IF(COUNTIFS(Crew!$A$6:$A$105,B37)=1,INDEX(Crew!$C$6:$C$105,MATCH(B37,Crew!$A$6:$A$105,0)),""))</x:f>
      </x:c>
      <x:c r="E37" s="111"/>
      <x:c r="F37" s="111"/>
      <x:c r="G37" s="111"/>
      <x:c r="H37" s="111"/>
      <x:c r="I37" s="111"/>
      <x:c r="J37" s="111"/>
      <x:c r="K37" s="111"/>
      <x:c r="L37" s="111"/>
      <x:c r="M37" s="111"/>
      <x:c r="N37" s="111"/>
      <x:c r="O37" s="111"/>
      <x:c r="P37" s="111"/>
      <x:c r="Q37" s="111"/>
      <x:c r="R37" s="111"/>
      <x:c r="S37" s="111"/>
      <x:c r="T37" s="111"/>
    </x:row>
    <x:row r="38" ht="28" customHeight="1">
      <x:c r="A38" s="107"/>
      <x:c r="B38" s="107"/>
      <x:c r="C38" s="90" t="str">
        <x:f>IF(A38="","",62)</x:f>
      </x:c>
      <x:c r="D38" s="109" t="str">
        <x:f>IF(B38="","",IF(COUNTIFS(Crew!$A$6:$A$105,B38)=1,INDEX(Crew!$C$6:$C$105,MATCH(B38,Crew!$A$6:$A$105,0)),""))</x:f>
      </x:c>
      <x:c r="E38" s="111"/>
      <x:c r="F38" s="111"/>
      <x:c r="G38" s="111"/>
      <x:c r="H38" s="111"/>
      <x:c r="I38" s="111"/>
      <x:c r="J38" s="111"/>
      <x:c r="K38" s="111"/>
      <x:c r="L38" s="111"/>
      <x:c r="M38" s="111"/>
      <x:c r="N38" s="111"/>
      <x:c r="O38" s="111"/>
      <x:c r="P38" s="111"/>
      <x:c r="Q38" s="111"/>
      <x:c r="R38" s="111"/>
      <x:c r="S38" s="111"/>
      <x:c r="T38" s="111"/>
    </x:row>
    <x:row r="39" ht="28" customHeight="1">
      <x:c r="A39" s="107"/>
      <x:c r="B39" s="107"/>
      <x:c r="C39" s="90" t="str">
        <x:f>IF(A39="","",62)</x:f>
      </x:c>
      <x:c r="D39" s="109" t="str">
        <x:f>IF(B39="","",IF(COUNTIFS(Crew!$A$6:$A$105,B39)=1,INDEX(Crew!$C$6:$C$105,MATCH(B39,Crew!$A$6:$A$105,0)),""))</x:f>
      </x:c>
      <x:c r="E39" s="111"/>
      <x:c r="F39" s="111"/>
      <x:c r="G39" s="111"/>
      <x:c r="H39" s="111"/>
      <x:c r="I39" s="111"/>
      <x:c r="J39" s="111"/>
      <x:c r="K39" s="111"/>
      <x:c r="L39" s="111"/>
      <x:c r="M39" s="111"/>
      <x:c r="N39" s="111"/>
      <x:c r="O39" s="111"/>
      <x:c r="P39" s="111"/>
      <x:c r="Q39" s="111"/>
      <x:c r="R39" s="111"/>
      <x:c r="S39" s="111"/>
      <x:c r="T39" s="111"/>
    </x:row>
    <x:row r="40" ht="28" customHeight="1">
      <x:c r="A40" s="107"/>
      <x:c r="B40" s="107"/>
      <x:c r="C40" s="90" t="str">
        <x:f>IF(A40="","",62)</x:f>
      </x:c>
      <x:c r="D40" s="109" t="str">
        <x:f>IF(B40="","",IF(COUNTIFS(Crew!$A$6:$A$105,B40)=1,INDEX(Crew!$C$6:$C$105,MATCH(B40,Crew!$A$6:$A$105,0)),""))</x:f>
      </x:c>
      <x:c r="E40" s="111"/>
      <x:c r="F40" s="111"/>
      <x:c r="G40" s="111"/>
      <x:c r="H40" s="111"/>
      <x:c r="I40" s="111"/>
      <x:c r="J40" s="111"/>
      <x:c r="K40" s="111"/>
      <x:c r="L40" s="111"/>
      <x:c r="M40" s="111"/>
      <x:c r="N40" s="111"/>
      <x:c r="O40" s="111"/>
      <x:c r="P40" s="111"/>
      <x:c r="Q40" s="111"/>
      <x:c r="R40" s="111"/>
      <x:c r="S40" s="111"/>
      <x:c r="T40" s="111"/>
    </x:row>
    <x:row r="41" ht="28" customHeight="1">
      <x:c r="A41" s="107"/>
      <x:c r="B41" s="107"/>
      <x:c r="C41" s="90" t="str">
        <x:f>IF(A41="","",62)</x:f>
      </x:c>
      <x:c r="D41" s="109" t="str">
        <x:f>IF(B41="","",IF(COUNTIFS(Crew!$A$6:$A$105,B41)=1,INDEX(Crew!$C$6:$C$105,MATCH(B41,Crew!$A$6:$A$105,0)),""))</x:f>
      </x:c>
      <x:c r="E41" s="111"/>
      <x:c r="F41" s="111"/>
      <x:c r="G41" s="111"/>
      <x:c r="H41" s="111"/>
      <x:c r="I41" s="111"/>
      <x:c r="J41" s="111"/>
      <x:c r="K41" s="111"/>
      <x:c r="L41" s="111"/>
      <x:c r="M41" s="111"/>
      <x:c r="N41" s="111"/>
      <x:c r="O41" s="111"/>
      <x:c r="P41" s="111"/>
      <x:c r="Q41" s="111"/>
      <x:c r="R41" s="111"/>
      <x:c r="S41" s="111"/>
      <x:c r="T41" s="111"/>
    </x:row>
    <x:row r="42" ht="28" customHeight="1">
      <x:c r="A42" s="107"/>
      <x:c r="B42" s="107"/>
      <x:c r="C42" s="90" t="str">
        <x:f>IF(A42="","",62)</x:f>
      </x:c>
      <x:c r="D42" s="109" t="str">
        <x:f>IF(B42="","",IF(COUNTIFS(Crew!$A$6:$A$105,B42)=1,INDEX(Crew!$C$6:$C$105,MATCH(B42,Crew!$A$6:$A$105,0)),""))</x:f>
      </x:c>
      <x:c r="E42" s="111"/>
      <x:c r="F42" s="111"/>
      <x:c r="G42" s="111"/>
      <x:c r="H42" s="111"/>
      <x:c r="I42" s="111"/>
      <x:c r="J42" s="111"/>
      <x:c r="K42" s="111"/>
      <x:c r="L42" s="111"/>
      <x:c r="M42" s="111"/>
      <x:c r="N42" s="111"/>
      <x:c r="O42" s="111"/>
      <x:c r="P42" s="111"/>
      <x:c r="Q42" s="111"/>
      <x:c r="R42" s="111"/>
      <x:c r="S42" s="111"/>
      <x:c r="T42" s="111"/>
    </x:row>
    <x:row r="43" ht="28" customHeight="1">
      <x:c r="A43" s="107"/>
      <x:c r="B43" s="107"/>
      <x:c r="C43" s="90" t="str">
        <x:f>IF(A43="","",62)</x:f>
      </x:c>
      <x:c r="D43" s="109" t="str">
        <x:f>IF(B43="","",IF(COUNTIFS(Crew!$A$6:$A$105,B43)=1,INDEX(Crew!$C$6:$C$105,MATCH(B43,Crew!$A$6:$A$105,0)),""))</x:f>
      </x:c>
      <x:c r="E43" s="111"/>
      <x:c r="F43" s="111"/>
      <x:c r="G43" s="111"/>
      <x:c r="H43" s="111"/>
      <x:c r="I43" s="111"/>
      <x:c r="J43" s="111"/>
      <x:c r="K43" s="111"/>
      <x:c r="L43" s="111"/>
      <x:c r="M43" s="111"/>
      <x:c r="N43" s="111"/>
      <x:c r="O43" s="111"/>
      <x:c r="P43" s="111"/>
      <x:c r="Q43" s="111"/>
      <x:c r="R43" s="111"/>
      <x:c r="S43" s="111"/>
      <x:c r="T43" s="111"/>
    </x:row>
    <x:row r="44" ht="28" customHeight="1">
      <x:c r="A44" s="107"/>
      <x:c r="B44" s="107"/>
      <x:c r="C44" s="90" t="str">
        <x:f>IF(A44="","",62)</x:f>
      </x:c>
      <x:c r="D44" s="109" t="str">
        <x:f>IF(B44="","",IF(COUNTIFS(Crew!$A$6:$A$105,B44)=1,INDEX(Crew!$C$6:$C$105,MATCH(B44,Crew!$A$6:$A$105,0)),""))</x:f>
      </x:c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1"/>
      <x:c r="P44" s="111"/>
      <x:c r="Q44" s="111"/>
      <x:c r="R44" s="111"/>
      <x:c r="S44" s="111"/>
      <x:c r="T44" s="111"/>
    </x:row>
    <x:row r="45" ht="28" customHeight="1">
      <x:c r="A45" s="107"/>
      <x:c r="B45" s="107"/>
      <x:c r="C45" s="90" t="str">
        <x:f>IF(A45="","",62)</x:f>
      </x:c>
      <x:c r="D45" s="109" t="str">
        <x:f>IF(B45="","",IF(COUNTIFS(Crew!$A$6:$A$105,B45)=1,INDEX(Crew!$C$6:$C$105,MATCH(B45,Crew!$A$6:$A$105,0)),""))</x:f>
      </x:c>
      <x:c r="E45" s="111"/>
      <x:c r="F45" s="111"/>
      <x:c r="G45" s="111"/>
      <x:c r="H45" s="111"/>
      <x:c r="I45" s="111"/>
      <x:c r="J45" s="111"/>
      <x:c r="K45" s="111"/>
      <x:c r="L45" s="111"/>
      <x:c r="M45" s="111"/>
      <x:c r="N45" s="111"/>
      <x:c r="O45" s="111"/>
      <x:c r="P45" s="111"/>
      <x:c r="Q45" s="111"/>
      <x:c r="R45" s="111"/>
      <x:c r="S45" s="111"/>
      <x:c r="T45" s="111"/>
    </x:row>
    <x:row r="46" ht="28" customHeight="1">
      <x:c r="A46" s="107"/>
      <x:c r="B46" s="107"/>
      <x:c r="C46" s="90" t="str">
        <x:f>IF(A46="","",62)</x:f>
      </x:c>
      <x:c r="D46" s="109" t="str">
        <x:f>IF(B46="","",IF(COUNTIFS(Crew!$A$6:$A$105,B46)=1,INDEX(Crew!$C$6:$C$105,MATCH(B46,Crew!$A$6:$A$105,0)),""))</x:f>
      </x:c>
      <x:c r="E46" s="111"/>
      <x:c r="F46" s="111"/>
      <x:c r="G46" s="111"/>
      <x:c r="H46" s="111"/>
      <x:c r="I46" s="111"/>
      <x:c r="J46" s="111"/>
      <x:c r="K46" s="111"/>
      <x:c r="L46" s="111"/>
      <x:c r="M46" s="111"/>
      <x:c r="N46" s="111"/>
      <x:c r="O46" s="111"/>
      <x:c r="P46" s="111"/>
      <x:c r="Q46" s="111"/>
      <x:c r="R46" s="111"/>
      <x:c r="S46" s="111"/>
      <x:c r="T46" s="111"/>
    </x:row>
    <x:row r="47" ht="28" customHeight="1">
      <x:c r="A47" s="107"/>
      <x:c r="B47" s="107"/>
      <x:c r="C47" s="90" t="str">
        <x:f>IF(A47="","",62)</x:f>
      </x:c>
      <x:c r="D47" s="109" t="str">
        <x:f>IF(B47="","",IF(COUNTIFS(Crew!$A$6:$A$105,B47)=1,INDEX(Crew!$C$6:$C$105,MATCH(B47,Crew!$A$6:$A$105,0)),""))</x:f>
      </x:c>
      <x:c r="E47" s="111"/>
      <x:c r="F47" s="111"/>
      <x:c r="G47" s="111"/>
      <x:c r="H47" s="111"/>
      <x:c r="I47" s="111"/>
      <x:c r="J47" s="111"/>
      <x:c r="K47" s="111"/>
      <x:c r="L47" s="111"/>
      <x:c r="M47" s="111"/>
      <x:c r="N47" s="111"/>
      <x:c r="O47" s="111"/>
      <x:c r="P47" s="111"/>
      <x:c r="Q47" s="111"/>
      <x:c r="R47" s="111"/>
      <x:c r="S47" s="111"/>
      <x:c r="T47" s="111"/>
    </x:row>
    <x:row r="48" ht="28" customHeight="1">
      <x:c r="A48" s="107"/>
      <x:c r="B48" s="107"/>
      <x:c r="C48" s="90" t="str">
        <x:f>IF(A48="","",62)</x:f>
      </x:c>
      <x:c r="D48" s="109" t="str">
        <x:f>IF(B48="","",IF(COUNTIFS(Crew!$A$6:$A$105,B48)=1,INDEX(Crew!$C$6:$C$105,MATCH(B48,Crew!$A$6:$A$105,0)),""))</x:f>
      </x:c>
      <x:c r="E48" s="111"/>
      <x:c r="F48" s="111"/>
      <x:c r="G48" s="111"/>
      <x:c r="H48" s="111"/>
      <x:c r="I48" s="111"/>
      <x:c r="J48" s="111"/>
      <x:c r="K48" s="111"/>
      <x:c r="L48" s="111"/>
      <x:c r="M48" s="111"/>
      <x:c r="N48" s="111"/>
      <x:c r="O48" s="111"/>
      <x:c r="P48" s="111"/>
      <x:c r="Q48" s="111"/>
      <x:c r="R48" s="111"/>
      <x:c r="S48" s="111"/>
      <x:c r="T48" s="111"/>
    </x:row>
    <x:row r="49" ht="28" customHeight="1">
      <x:c r="A49" s="107"/>
      <x:c r="B49" s="107"/>
      <x:c r="C49" s="90" t="str">
        <x:f>IF(A49="","",62)</x:f>
      </x:c>
      <x:c r="D49" s="109" t="str">
        <x:f>IF(B49="","",IF(COUNTIFS(Crew!$A$6:$A$105,B49)=1,INDEX(Crew!$C$6:$C$105,MATCH(B49,Crew!$A$6:$A$105,0)),""))</x:f>
      </x:c>
      <x:c r="E49" s="111"/>
      <x:c r="F49" s="111"/>
      <x:c r="G49" s="111"/>
      <x:c r="H49" s="111"/>
      <x:c r="I49" s="111"/>
      <x:c r="J49" s="111"/>
      <x:c r="K49" s="111"/>
      <x:c r="L49" s="111"/>
      <x:c r="M49" s="111"/>
      <x:c r="N49" s="111"/>
      <x:c r="O49" s="111"/>
      <x:c r="P49" s="111"/>
      <x:c r="Q49" s="111"/>
      <x:c r="R49" s="111"/>
      <x:c r="S49" s="111"/>
      <x:c r="T49" s="111"/>
    </x:row>
    <x:row r="50" ht="28" customHeight="1">
      <x:c r="A50" s="107"/>
      <x:c r="B50" s="107"/>
      <x:c r="C50" s="90" t="str">
        <x:f>IF(A50="","",62)</x:f>
      </x:c>
      <x:c r="D50" s="109" t="str">
        <x:f>IF(B50="","",IF(COUNTIFS(Crew!$A$6:$A$105,B50)=1,INDEX(Crew!$C$6:$C$105,MATCH(B50,Crew!$A$6:$A$105,0)),""))</x:f>
      </x:c>
      <x:c r="E50" s="111"/>
      <x:c r="F50" s="111"/>
      <x:c r="G50" s="111"/>
      <x:c r="H50" s="111"/>
      <x:c r="I50" s="111"/>
      <x:c r="J50" s="111"/>
      <x:c r="K50" s="111"/>
      <x:c r="L50" s="111"/>
      <x:c r="M50" s="111"/>
      <x:c r="N50" s="111"/>
      <x:c r="O50" s="111"/>
      <x:c r="P50" s="111"/>
      <x:c r="Q50" s="111"/>
      <x:c r="R50" s="111"/>
      <x:c r="S50" s="111"/>
      <x:c r="T50" s="111"/>
    </x:row>
    <x:row r="51" ht="28" customHeight="1">
      <x:c r="A51" s="107"/>
      <x:c r="B51" s="107"/>
      <x:c r="C51" s="90" t="str">
        <x:f>IF(A51="","",62)</x:f>
      </x:c>
      <x:c r="D51" s="109" t="str">
        <x:f>IF(B51="","",IF(COUNTIFS(Crew!$A$6:$A$105,B51)=1,INDEX(Crew!$C$6:$C$105,MATCH(B51,Crew!$A$6:$A$105,0)),""))</x:f>
      </x:c>
      <x:c r="E51" s="111"/>
      <x:c r="F51" s="111"/>
      <x:c r="G51" s="111"/>
      <x:c r="H51" s="111"/>
      <x:c r="I51" s="111"/>
      <x:c r="J51" s="111"/>
      <x:c r="K51" s="111"/>
      <x:c r="L51" s="111"/>
      <x:c r="M51" s="111"/>
      <x:c r="N51" s="111"/>
      <x:c r="O51" s="111"/>
      <x:c r="P51" s="111"/>
      <x:c r="Q51" s="111"/>
      <x:c r="R51" s="111"/>
      <x:c r="S51" s="111"/>
      <x:c r="T51" s="111"/>
    </x:row>
    <x:row r="52" ht="28" customHeight="1">
      <x:c r="A52" s="107"/>
      <x:c r="B52" s="107"/>
      <x:c r="C52" s="90" t="str">
        <x:f>IF(A52="","",62)</x:f>
      </x:c>
      <x:c r="D52" s="109" t="str">
        <x:f>IF(B52="","",IF(COUNTIFS(Crew!$A$6:$A$105,B52)=1,INDEX(Crew!$C$6:$C$105,MATCH(B52,Crew!$A$6:$A$105,0)),""))</x:f>
      </x:c>
      <x:c r="E52" s="111"/>
      <x:c r="F52" s="111"/>
      <x:c r="G52" s="111"/>
      <x:c r="H52" s="111"/>
      <x:c r="I52" s="111"/>
      <x:c r="J52" s="111"/>
      <x:c r="K52" s="111"/>
      <x:c r="L52" s="111"/>
      <x:c r="M52" s="111"/>
      <x:c r="N52" s="111"/>
      <x:c r="O52" s="111"/>
      <x:c r="P52" s="111"/>
      <x:c r="Q52" s="111"/>
      <x:c r="R52" s="111"/>
      <x:c r="S52" s="111"/>
      <x:c r="T52" s="111"/>
    </x:row>
    <x:row r="53" ht="28" customHeight="1">
      <x:c r="A53" s="107"/>
      <x:c r="B53" s="107"/>
      <x:c r="C53" s="90" t="str">
        <x:f>IF(A53="","",62)</x:f>
      </x:c>
      <x:c r="D53" s="109" t="str">
        <x:f>IF(B53="","",IF(COUNTIFS(Crew!$A$6:$A$105,B53)=1,INDEX(Crew!$C$6:$C$105,MATCH(B53,Crew!$A$6:$A$105,0)),""))</x:f>
      </x:c>
      <x:c r="E53" s="111"/>
      <x:c r="F53" s="111"/>
      <x:c r="G53" s="111"/>
      <x:c r="H53" s="111"/>
      <x:c r="I53" s="111"/>
      <x:c r="J53" s="111"/>
      <x:c r="K53" s="111"/>
      <x:c r="L53" s="111"/>
      <x:c r="M53" s="111"/>
      <x:c r="N53" s="111"/>
      <x:c r="O53" s="111"/>
      <x:c r="P53" s="111"/>
      <x:c r="Q53" s="111"/>
      <x:c r="R53" s="111"/>
      <x:c r="S53" s="111"/>
      <x:c r="T53" s="111"/>
    </x:row>
    <x:row r="54" ht="28" customHeight="1">
      <x:c r="A54" s="107"/>
      <x:c r="B54" s="107"/>
      <x:c r="C54" s="90" t="str">
        <x:f>IF(A54="","",62)</x:f>
      </x:c>
      <x:c r="D54" s="109" t="str">
        <x:f>IF(B54="","",IF(COUNTIFS(Crew!$A$6:$A$105,B54)=1,INDEX(Crew!$C$6:$C$105,MATCH(B54,Crew!$A$6:$A$105,0)),""))</x:f>
      </x:c>
      <x:c r="E54" s="111"/>
      <x:c r="F54" s="111"/>
      <x:c r="G54" s="111"/>
      <x:c r="H54" s="111"/>
      <x:c r="I54" s="111"/>
      <x:c r="J54" s="111"/>
      <x:c r="K54" s="111"/>
      <x:c r="L54" s="111"/>
      <x:c r="M54" s="111"/>
      <x:c r="N54" s="111"/>
      <x:c r="O54" s="111"/>
      <x:c r="P54" s="111"/>
      <x:c r="Q54" s="111"/>
      <x:c r="R54" s="111"/>
      <x:c r="S54" s="111"/>
      <x:c r="T54" s="111"/>
    </x:row>
    <x:row r="55" ht="28" customHeight="1">
      <x:c r="A55" s="107"/>
      <x:c r="B55" s="107"/>
      <x:c r="C55" s="90" t="str">
        <x:f>IF(A55="","",62)</x:f>
      </x:c>
      <x:c r="D55" s="109" t="str">
        <x:f>IF(B55="","",IF(COUNTIFS(Crew!$A$6:$A$105,B55)=1,INDEX(Crew!$C$6:$C$105,MATCH(B55,Crew!$A$6:$A$105,0)),""))</x:f>
      </x:c>
      <x:c r="E55" s="111"/>
      <x:c r="F55" s="111"/>
      <x:c r="G55" s="111"/>
      <x:c r="H55" s="111"/>
      <x:c r="I55" s="111"/>
      <x:c r="J55" s="111"/>
      <x:c r="K55" s="111"/>
      <x:c r="L55" s="111"/>
      <x:c r="M55" s="111"/>
      <x:c r="N55" s="111"/>
      <x:c r="O55" s="111"/>
      <x:c r="P55" s="111"/>
      <x:c r="Q55" s="111"/>
      <x:c r="R55" s="111"/>
      <x:c r="S55" s="111"/>
      <x:c r="T55" s="111"/>
    </x:row>
    <x:row r="56" ht="28" customHeight="1">
      <x:c r="A56" s="107"/>
      <x:c r="B56" s="107"/>
      <x:c r="C56" s="90" t="str">
        <x:f>IF(A56="","",62)</x:f>
      </x:c>
      <x:c r="D56" s="109" t="str">
        <x:f>IF(B56="","",IF(COUNTIFS(Crew!$A$6:$A$105,B56)=1,INDEX(Crew!$C$6:$C$105,MATCH(B56,Crew!$A$6:$A$105,0)),""))</x:f>
      </x:c>
      <x:c r="E56" s="111"/>
      <x:c r="F56" s="111"/>
      <x:c r="G56" s="111"/>
      <x:c r="H56" s="111"/>
      <x:c r="I56" s="111"/>
      <x:c r="J56" s="111"/>
      <x:c r="K56" s="111"/>
      <x:c r="L56" s="111"/>
      <x:c r="M56" s="111"/>
      <x:c r="N56" s="111"/>
      <x:c r="O56" s="111"/>
      <x:c r="P56" s="111"/>
      <x:c r="Q56" s="111"/>
      <x:c r="R56" s="111"/>
      <x:c r="S56" s="111"/>
      <x:c r="T56" s="111"/>
    </x:row>
    <x:row r="57" ht="28" customHeight="1">
      <x:c r="A57" s="107"/>
      <x:c r="B57" s="107"/>
      <x:c r="C57" s="90" t="str">
        <x:f>IF(A57="","",62)</x:f>
      </x:c>
      <x:c r="D57" s="109" t="str">
        <x:f>IF(B57="","",IF(COUNTIFS(Crew!$A$6:$A$105,B57)=1,INDEX(Crew!$C$6:$C$105,MATCH(B57,Crew!$A$6:$A$105,0)),""))</x:f>
      </x:c>
      <x:c r="E57" s="111"/>
      <x:c r="F57" s="111"/>
      <x:c r="G57" s="111"/>
      <x:c r="H57" s="111"/>
      <x:c r="I57" s="111"/>
      <x:c r="J57" s="111"/>
      <x:c r="K57" s="111"/>
      <x:c r="L57" s="111"/>
      <x:c r="M57" s="111"/>
      <x:c r="N57" s="111"/>
      <x:c r="O57" s="111"/>
      <x:c r="P57" s="111"/>
      <x:c r="Q57" s="111"/>
      <x:c r="R57" s="111"/>
      <x:c r="S57" s="111"/>
      <x:c r="T57" s="111"/>
    </x:row>
    <x:row r="58" ht="28" customHeight="1">
      <x:c r="A58" s="107"/>
      <x:c r="B58" s="107"/>
      <x:c r="C58" s="90" t="str">
        <x:f>IF(A58="","",62)</x:f>
      </x:c>
      <x:c r="D58" s="109" t="str">
        <x:f>IF(B58="","",IF(COUNTIFS(Crew!$A$6:$A$105,B58)=1,INDEX(Crew!$C$6:$C$105,MATCH(B58,Crew!$A$6:$A$105,0)),""))</x:f>
      </x:c>
      <x:c r="E58" s="111"/>
      <x:c r="F58" s="111"/>
      <x:c r="G58" s="111"/>
      <x:c r="H58" s="111"/>
      <x:c r="I58" s="111"/>
      <x:c r="J58" s="111"/>
      <x:c r="K58" s="111"/>
      <x:c r="L58" s="111"/>
      <x:c r="M58" s="111"/>
      <x:c r="N58" s="111"/>
      <x:c r="O58" s="111"/>
      <x:c r="P58" s="111"/>
      <x:c r="Q58" s="111"/>
      <x:c r="R58" s="111"/>
      <x:c r="S58" s="111"/>
      <x:c r="T58" s="111"/>
    </x:row>
    <x:row r="59" ht="28" customHeight="1">
      <x:c r="A59" s="107"/>
      <x:c r="B59" s="107"/>
      <x:c r="C59" s="90" t="str">
        <x:f>IF(A59="","",62)</x:f>
      </x:c>
      <x:c r="D59" s="109" t="str">
        <x:f>IF(B59="","",IF(COUNTIFS(Crew!$A$6:$A$105,B59)=1,INDEX(Crew!$C$6:$C$105,MATCH(B59,Crew!$A$6:$A$105,0)),""))</x:f>
      </x:c>
      <x:c r="E59" s="111"/>
      <x:c r="F59" s="111"/>
      <x:c r="G59" s="111"/>
      <x:c r="H59" s="111"/>
      <x:c r="I59" s="111"/>
      <x:c r="J59" s="111"/>
      <x:c r="K59" s="111"/>
      <x:c r="L59" s="111"/>
      <x:c r="M59" s="111"/>
      <x:c r="N59" s="111"/>
      <x:c r="O59" s="111"/>
      <x:c r="P59" s="111"/>
      <x:c r="Q59" s="111"/>
      <x:c r="R59" s="111"/>
      <x:c r="S59" s="111"/>
      <x:c r="T59" s="111"/>
    </x:row>
    <x:row r="60" ht="28" customHeight="1">
      <x:c r="A60" s="107"/>
      <x:c r="B60" s="107"/>
      <x:c r="C60" s="90" t="str">
        <x:f>IF(A60="","",62)</x:f>
      </x:c>
      <x:c r="D60" s="109" t="str">
        <x:f>IF(B60="","",IF(COUNTIFS(Crew!$A$6:$A$105,B60)=1,INDEX(Crew!$C$6:$C$105,MATCH(B60,Crew!$A$6:$A$105,0)),""))</x:f>
      </x:c>
      <x:c r="E60" s="111"/>
      <x:c r="F60" s="111"/>
      <x:c r="G60" s="111"/>
      <x:c r="H60" s="111"/>
      <x:c r="I60" s="111"/>
      <x:c r="J60" s="111"/>
      <x:c r="K60" s="111"/>
      <x:c r="L60" s="111"/>
      <x:c r="M60" s="111"/>
      <x:c r="N60" s="111"/>
      <x:c r="O60" s="111"/>
      <x:c r="P60" s="111"/>
      <x:c r="Q60" s="111"/>
      <x:c r="R60" s="111"/>
      <x:c r="S60" s="111"/>
      <x:c r="T60" s="111"/>
    </x:row>
    <x:row r="61" ht="28" customHeight="1">
      <x:c r="A61" s="107"/>
      <x:c r="B61" s="107"/>
      <x:c r="C61" s="90" t="str">
        <x:f>IF(A61="","",62)</x:f>
      </x:c>
      <x:c r="D61" s="109" t="str">
        <x:f>IF(B61="","",IF(COUNTIFS(Crew!$A$6:$A$105,B61)=1,INDEX(Crew!$C$6:$C$105,MATCH(B61,Crew!$A$6:$A$105,0)),""))</x:f>
      </x:c>
      <x:c r="E61" s="111"/>
      <x:c r="F61" s="111"/>
      <x:c r="G61" s="111"/>
      <x:c r="H61" s="111"/>
      <x:c r="I61" s="111"/>
      <x:c r="J61" s="111"/>
      <x:c r="K61" s="111"/>
      <x:c r="L61" s="111"/>
      <x:c r="M61" s="111"/>
      <x:c r="N61" s="111"/>
      <x:c r="O61" s="111"/>
      <x:c r="P61" s="111"/>
      <x:c r="Q61" s="111"/>
      <x:c r="R61" s="111"/>
      <x:c r="S61" s="111"/>
      <x:c r="T61" s="111"/>
    </x:row>
    <x:row r="62" ht="28" customHeight="1">
      <x:c r="A62" s="107"/>
      <x:c r="B62" s="107"/>
      <x:c r="C62" s="90" t="str">
        <x:f>IF(A62="","",62)</x:f>
      </x:c>
      <x:c r="D62" s="109" t="str">
        <x:f>IF(B62="","",IF(COUNTIFS(Crew!$A$6:$A$105,B62)=1,INDEX(Crew!$C$6:$C$105,MATCH(B62,Crew!$A$6:$A$105,0)),""))</x:f>
      </x:c>
      <x:c r="E62" s="111"/>
      <x:c r="F62" s="111"/>
      <x:c r="G62" s="111"/>
      <x:c r="H62" s="111"/>
      <x:c r="I62" s="111"/>
      <x:c r="J62" s="111"/>
      <x:c r="K62" s="111"/>
      <x:c r="L62" s="111"/>
      <x:c r="M62" s="111"/>
      <x:c r="N62" s="111"/>
      <x:c r="O62" s="111"/>
      <x:c r="P62" s="111"/>
      <x:c r="Q62" s="111"/>
      <x:c r="R62" s="111"/>
      <x:c r="S62" s="111"/>
      <x:c r="T62" s="111"/>
    </x:row>
    <x:row r="63" ht="28" customHeight="1">
      <x:c r="A63" s="107"/>
      <x:c r="B63" s="107"/>
      <x:c r="C63" s="90" t="str">
        <x:f>IF(A63="","",62)</x:f>
      </x:c>
      <x:c r="D63" s="109" t="str">
        <x:f>IF(B63="","",IF(COUNTIFS(Crew!$A$6:$A$105,B63)=1,INDEX(Crew!$C$6:$C$105,MATCH(B63,Crew!$A$6:$A$105,0)),""))</x:f>
      </x:c>
      <x:c r="E63" s="111"/>
      <x:c r="F63" s="111"/>
      <x:c r="G63" s="111"/>
      <x:c r="H63" s="111"/>
      <x:c r="I63" s="111"/>
      <x:c r="J63" s="111"/>
      <x:c r="K63" s="111"/>
      <x:c r="L63" s="111"/>
      <x:c r="M63" s="111"/>
      <x:c r="N63" s="111"/>
      <x:c r="O63" s="111"/>
      <x:c r="P63" s="111"/>
      <x:c r="Q63" s="111"/>
      <x:c r="R63" s="111"/>
      <x:c r="S63" s="111"/>
      <x:c r="T63" s="111"/>
    </x:row>
    <x:row r="64" ht="28" customHeight="1">
      <x:c r="A64" s="107"/>
      <x:c r="B64" s="107"/>
      <x:c r="C64" s="90" t="str">
        <x:f>IF(A64="","",62)</x:f>
      </x:c>
      <x:c r="D64" s="109" t="str">
        <x:f>IF(B64="","",IF(COUNTIFS(Crew!$A$6:$A$105,B64)=1,INDEX(Crew!$C$6:$C$105,MATCH(B64,Crew!$A$6:$A$105,0)),""))</x:f>
      </x:c>
      <x:c r="E64" s="111"/>
      <x:c r="F64" s="111"/>
      <x:c r="G64" s="111"/>
      <x:c r="H64" s="111"/>
      <x:c r="I64" s="111"/>
      <x:c r="J64" s="111"/>
      <x:c r="K64" s="111"/>
      <x:c r="L64" s="111"/>
      <x:c r="M64" s="111"/>
      <x:c r="N64" s="111"/>
      <x:c r="O64" s="111"/>
      <x:c r="P64" s="111"/>
      <x:c r="Q64" s="111"/>
      <x:c r="R64" s="111"/>
      <x:c r="S64" s="111"/>
      <x:c r="T64" s="111"/>
    </x:row>
    <x:row r="65" ht="28" customHeight="1">
      <x:c r="A65" s="107"/>
      <x:c r="B65" s="107"/>
      <x:c r="C65" s="90" t="str">
        <x:f>IF(A65="","",62)</x:f>
      </x:c>
      <x:c r="D65" s="109" t="str">
        <x:f>IF(B65="","",IF(COUNTIFS(Crew!$A$6:$A$105,B65)=1,INDEX(Crew!$C$6:$C$105,MATCH(B65,Crew!$A$6:$A$105,0)),""))</x:f>
      </x:c>
      <x:c r="E65" s="111"/>
      <x:c r="F65" s="111"/>
      <x:c r="G65" s="111"/>
      <x:c r="H65" s="111"/>
      <x:c r="I65" s="111"/>
      <x:c r="J65" s="111"/>
      <x:c r="K65" s="111"/>
      <x:c r="L65" s="111"/>
      <x:c r="M65" s="111"/>
      <x:c r="N65" s="111"/>
      <x:c r="O65" s="111"/>
      <x:c r="P65" s="111"/>
      <x:c r="Q65" s="111"/>
      <x:c r="R65" s="111"/>
      <x:c r="S65" s="111"/>
      <x:c r="T65" s="111"/>
    </x:row>
    <x:row r="66" ht="28" customHeight="1">
      <x:c r="A66" s="107"/>
      <x:c r="B66" s="107"/>
      <x:c r="C66" s="90" t="str">
        <x:f>IF(A66="","",62)</x:f>
      </x:c>
      <x:c r="D66" s="109" t="str">
        <x:f>IF(B66="","",IF(COUNTIFS(Crew!$A$6:$A$105,B66)=1,INDEX(Crew!$C$6:$C$105,MATCH(B66,Crew!$A$6:$A$105,0)),""))</x:f>
      </x:c>
      <x:c r="E66" s="111"/>
      <x:c r="F66" s="111"/>
      <x:c r="G66" s="111"/>
      <x:c r="H66" s="111"/>
      <x:c r="I66" s="111"/>
      <x:c r="J66" s="111"/>
      <x:c r="K66" s="111"/>
      <x:c r="L66" s="111"/>
      <x:c r="M66" s="111"/>
      <x:c r="N66" s="111"/>
      <x:c r="O66" s="111"/>
      <x:c r="P66" s="111"/>
      <x:c r="Q66" s="111"/>
      <x:c r="R66" s="111"/>
      <x:c r="S66" s="111"/>
      <x:c r="T66" s="111"/>
    </x:row>
    <x:row r="67" ht="28" customHeight="1">
      <x:c r="A67" s="107"/>
      <x:c r="B67" s="107"/>
      <x:c r="C67" s="90" t="str">
        <x:f>IF(A67="","",62)</x:f>
      </x:c>
      <x:c r="D67" s="109" t="str">
        <x:f>IF(B67="","",IF(COUNTIFS(Crew!$A$6:$A$105,B67)=1,INDEX(Crew!$C$6:$C$105,MATCH(B67,Crew!$A$6:$A$105,0)),""))</x:f>
      </x:c>
      <x:c r="E67" s="111"/>
      <x:c r="F67" s="111"/>
      <x:c r="G67" s="111"/>
      <x:c r="H67" s="111"/>
      <x:c r="I67" s="111"/>
      <x:c r="J67" s="111"/>
      <x:c r="K67" s="111"/>
      <x:c r="L67" s="111"/>
      <x:c r="M67" s="111"/>
      <x:c r="N67" s="111"/>
      <x:c r="O67" s="111"/>
      <x:c r="P67" s="111"/>
      <x:c r="Q67" s="111"/>
      <x:c r="R67" s="111"/>
      <x:c r="S67" s="111"/>
      <x:c r="T67" s="111"/>
    </x:row>
    <x:row r="68" ht="28" customHeight="1">
      <x:c r="A68" s="107"/>
      <x:c r="B68" s="107"/>
      <x:c r="C68" s="90" t="str">
        <x:f>IF(A68="","",62)</x:f>
      </x:c>
      <x:c r="D68" s="109" t="str">
        <x:f>IF(B68="","",IF(COUNTIFS(Crew!$A$6:$A$105,B68)=1,INDEX(Crew!$C$6:$C$105,MATCH(B68,Crew!$A$6:$A$105,0)),""))</x:f>
      </x:c>
      <x:c r="E68" s="111"/>
      <x:c r="F68" s="111"/>
      <x:c r="G68" s="111"/>
      <x:c r="H68" s="111"/>
      <x:c r="I68" s="111"/>
      <x:c r="J68" s="111"/>
      <x:c r="K68" s="111"/>
      <x:c r="L68" s="111"/>
      <x:c r="M68" s="111"/>
      <x:c r="N68" s="111"/>
      <x:c r="O68" s="111"/>
      <x:c r="P68" s="111"/>
      <x:c r="Q68" s="111"/>
      <x:c r="R68" s="111"/>
      <x:c r="S68" s="111"/>
      <x:c r="T68" s="111"/>
    </x:row>
    <x:row r="69" ht="28" customHeight="1">
      <x:c r="A69" s="107"/>
      <x:c r="B69" s="107"/>
      <x:c r="C69" s="90" t="str">
        <x:f>IF(A69="","",62)</x:f>
      </x:c>
      <x:c r="D69" s="109" t="str">
        <x:f>IF(B69="","",IF(COUNTIFS(Crew!$A$6:$A$105,B69)=1,INDEX(Crew!$C$6:$C$105,MATCH(B69,Crew!$A$6:$A$105,0)),""))</x:f>
      </x:c>
      <x:c r="E69" s="111"/>
      <x:c r="F69" s="111"/>
      <x:c r="G69" s="111"/>
      <x:c r="H69" s="111"/>
      <x:c r="I69" s="111"/>
      <x:c r="J69" s="111"/>
      <x:c r="K69" s="111"/>
      <x:c r="L69" s="111"/>
      <x:c r="M69" s="111"/>
      <x:c r="N69" s="111"/>
      <x:c r="O69" s="111"/>
      <x:c r="P69" s="111"/>
      <x:c r="Q69" s="111"/>
      <x:c r="R69" s="111"/>
      <x:c r="S69" s="111"/>
      <x:c r="T69" s="111"/>
    </x:row>
    <x:row r="70" ht="28" customHeight="1">
      <x:c r="A70" s="107"/>
      <x:c r="B70" s="107"/>
      <x:c r="C70" s="90" t="str">
        <x:f>IF(A70="","",62)</x:f>
      </x:c>
      <x:c r="D70" s="109" t="str">
        <x:f>IF(B70="","",IF(COUNTIFS(Crew!$A$6:$A$105,B70)=1,INDEX(Crew!$C$6:$C$105,MATCH(B70,Crew!$A$6:$A$105,0)),""))</x:f>
      </x:c>
      <x:c r="E70" s="111"/>
      <x:c r="F70" s="111"/>
      <x:c r="G70" s="111"/>
      <x:c r="H70" s="111"/>
      <x:c r="I70" s="111"/>
      <x:c r="J70" s="111"/>
      <x:c r="K70" s="111"/>
      <x:c r="L70" s="111"/>
      <x:c r="M70" s="111"/>
      <x:c r="N70" s="111"/>
      <x:c r="O70" s="111"/>
      <x:c r="P70" s="111"/>
      <x:c r="Q70" s="111"/>
      <x:c r="R70" s="111"/>
      <x:c r="S70" s="111"/>
      <x:c r="T70" s="111"/>
    </x:row>
    <x:row r="71" ht="28" customHeight="1">
      <x:c r="A71" s="107"/>
      <x:c r="B71" s="107"/>
      <x:c r="C71" s="90" t="str">
        <x:f>IF(A71="","",62)</x:f>
      </x:c>
      <x:c r="D71" s="109" t="str">
        <x:f>IF(B71="","",IF(COUNTIFS(Crew!$A$6:$A$105,B71)=1,INDEX(Crew!$C$6:$C$105,MATCH(B71,Crew!$A$6:$A$105,0)),""))</x:f>
      </x:c>
      <x:c r="E71" s="111"/>
      <x:c r="F71" s="111"/>
      <x:c r="G71" s="111"/>
      <x:c r="H71" s="111"/>
      <x:c r="I71" s="111"/>
      <x:c r="J71" s="111"/>
      <x:c r="K71" s="111"/>
      <x:c r="L71" s="111"/>
      <x:c r="M71" s="111"/>
      <x:c r="N71" s="111"/>
      <x:c r="O71" s="111"/>
      <x:c r="P71" s="111"/>
      <x:c r="Q71" s="111"/>
      <x:c r="R71" s="111"/>
      <x:c r="S71" s="111"/>
      <x:c r="T71" s="111"/>
    </x:row>
    <x:row r="72" ht="28" customHeight="1">
      <x:c r="A72" s="107"/>
      <x:c r="B72" s="107"/>
      <x:c r="C72" s="90" t="str">
        <x:f>IF(A72="","",62)</x:f>
      </x:c>
      <x:c r="D72" s="109" t="str">
        <x:f>IF(B72="","",IF(COUNTIFS(Crew!$A$6:$A$105,B72)=1,INDEX(Crew!$C$6:$C$105,MATCH(B72,Crew!$A$6:$A$105,0)),""))</x:f>
      </x:c>
      <x:c r="E72" s="111"/>
      <x:c r="F72" s="111"/>
      <x:c r="G72" s="111"/>
      <x:c r="H72" s="111"/>
      <x:c r="I72" s="111"/>
      <x:c r="J72" s="111"/>
      <x:c r="K72" s="111"/>
      <x:c r="L72" s="111"/>
      <x:c r="M72" s="111"/>
      <x:c r="N72" s="111"/>
      <x:c r="O72" s="111"/>
      <x:c r="P72" s="111"/>
      <x:c r="Q72" s="111"/>
      <x:c r="R72" s="111"/>
      <x:c r="S72" s="111"/>
      <x:c r="T72" s="111"/>
    </x:row>
    <x:row r="73" ht="28" customHeight="1">
      <x:c r="A73" s="107"/>
      <x:c r="B73" s="107"/>
      <x:c r="C73" s="90" t="str">
        <x:f>IF(A73="","",62)</x:f>
      </x:c>
      <x:c r="D73" s="109" t="str">
        <x:f>IF(B73="","",IF(COUNTIFS(Crew!$A$6:$A$105,B73)=1,INDEX(Crew!$C$6:$C$105,MATCH(B73,Crew!$A$6:$A$105,0)),""))</x:f>
      </x:c>
      <x:c r="E73" s="111"/>
      <x:c r="F73" s="111"/>
      <x:c r="G73" s="111"/>
      <x:c r="H73" s="111"/>
      <x:c r="I73" s="111"/>
      <x:c r="J73" s="111"/>
      <x:c r="K73" s="111"/>
      <x:c r="L73" s="111"/>
      <x:c r="M73" s="111"/>
      <x:c r="N73" s="111"/>
      <x:c r="O73" s="111"/>
      <x:c r="P73" s="111"/>
      <x:c r="Q73" s="111"/>
      <x:c r="R73" s="111"/>
      <x:c r="S73" s="111"/>
      <x:c r="T73" s="111"/>
    </x:row>
    <x:row r="74" ht="28" customHeight="1">
      <x:c r="A74" s="107"/>
      <x:c r="B74" s="107"/>
      <x:c r="C74" s="90" t="str">
        <x:f>IF(A74="","",62)</x:f>
      </x:c>
      <x:c r="D74" s="109" t="str">
        <x:f>IF(B74="","",IF(COUNTIFS(Crew!$A$6:$A$105,B74)=1,INDEX(Crew!$C$6:$C$105,MATCH(B74,Crew!$A$6:$A$105,0)),""))</x:f>
      </x:c>
      <x:c r="E74" s="111"/>
      <x:c r="F74" s="111"/>
      <x:c r="G74" s="111"/>
      <x:c r="H74" s="111"/>
      <x:c r="I74" s="111"/>
      <x:c r="J74" s="111"/>
      <x:c r="K74" s="111"/>
      <x:c r="L74" s="111"/>
      <x:c r="M74" s="111"/>
      <x:c r="N74" s="111"/>
      <x:c r="O74" s="111"/>
      <x:c r="P74" s="111"/>
      <x:c r="Q74" s="111"/>
      <x:c r="R74" s="111"/>
      <x:c r="S74" s="111"/>
      <x:c r="T74" s="111"/>
    </x:row>
    <x:row r="75" ht="28" customHeight="1">
      <x:c r="A75" s="107"/>
      <x:c r="B75" s="107"/>
      <x:c r="C75" s="90" t="str">
        <x:f>IF(A75="","",62)</x:f>
      </x:c>
      <x:c r="D75" s="109" t="str">
        <x:f>IF(B75="","",IF(COUNTIFS(Crew!$A$6:$A$105,B75)=1,INDEX(Crew!$C$6:$C$105,MATCH(B75,Crew!$A$6:$A$105,0)),""))</x:f>
      </x:c>
      <x:c r="E75" s="111"/>
      <x:c r="F75" s="111"/>
      <x:c r="G75" s="111"/>
      <x:c r="H75" s="111"/>
      <x:c r="I75" s="111"/>
      <x:c r="J75" s="111"/>
      <x:c r="K75" s="111"/>
      <x:c r="L75" s="111"/>
      <x:c r="M75" s="111"/>
      <x:c r="N75" s="111"/>
      <x:c r="O75" s="111"/>
      <x:c r="P75" s="111"/>
      <x:c r="Q75" s="111"/>
      <x:c r="R75" s="111"/>
      <x:c r="S75" s="111"/>
      <x:c r="T75" s="111"/>
    </x:row>
    <x:row r="76" ht="28" customHeight="1">
      <x:c r="A76" s="107"/>
      <x:c r="B76" s="107"/>
      <x:c r="C76" s="90" t="str">
        <x:f>IF(A76="","",62)</x:f>
      </x:c>
      <x:c r="D76" s="109" t="str">
        <x:f>IF(B76="","",IF(COUNTIFS(Crew!$A$6:$A$105,B76)=1,INDEX(Crew!$C$6:$C$105,MATCH(B76,Crew!$A$6:$A$105,0)),""))</x:f>
      </x:c>
      <x:c r="E76" s="111"/>
      <x:c r="F76" s="111"/>
      <x:c r="G76" s="111"/>
      <x:c r="H76" s="111"/>
      <x:c r="I76" s="111"/>
      <x:c r="J76" s="111"/>
      <x:c r="K76" s="111"/>
      <x:c r="L76" s="111"/>
      <x:c r="M76" s="111"/>
      <x:c r="N76" s="111"/>
      <x:c r="O76" s="111"/>
      <x:c r="P76" s="111"/>
      <x:c r="Q76" s="111"/>
      <x:c r="R76" s="111"/>
      <x:c r="S76" s="111"/>
      <x:c r="T76" s="111"/>
    </x:row>
    <x:row r="77" ht="28" customHeight="1">
      <x:c r="A77" s="107"/>
      <x:c r="B77" s="107"/>
      <x:c r="C77" s="90" t="str">
        <x:f>IF(A77="","",62)</x:f>
      </x:c>
      <x:c r="D77" s="109" t="str">
        <x:f>IF(B77="","",IF(COUNTIFS(Crew!$A$6:$A$105,B77)=1,INDEX(Crew!$C$6:$C$105,MATCH(B77,Crew!$A$6:$A$105,0)),""))</x:f>
      </x:c>
      <x:c r="E77" s="111"/>
      <x:c r="F77" s="111"/>
      <x:c r="G77" s="111"/>
      <x:c r="H77" s="111"/>
      <x:c r="I77" s="111"/>
      <x:c r="J77" s="111"/>
      <x:c r="K77" s="111"/>
      <x:c r="L77" s="111"/>
      <x:c r="M77" s="111"/>
      <x:c r="N77" s="111"/>
      <x:c r="O77" s="111"/>
      <x:c r="P77" s="111"/>
      <x:c r="Q77" s="111"/>
      <x:c r="R77" s="111"/>
      <x:c r="S77" s="111"/>
      <x:c r="T77" s="111"/>
    </x:row>
    <x:row r="78" ht="28" customHeight="1">
      <x:c r="A78" s="107"/>
      <x:c r="B78" s="107"/>
      <x:c r="C78" s="90" t="str">
        <x:f>IF(A78="","",62)</x:f>
      </x:c>
      <x:c r="D78" s="109" t="str">
        <x:f>IF(B78="","",IF(COUNTIFS(Crew!$A$6:$A$105,B78)=1,INDEX(Crew!$C$6:$C$105,MATCH(B78,Crew!$A$6:$A$105,0)),""))</x:f>
      </x:c>
      <x:c r="E78" s="111"/>
      <x:c r="F78" s="111"/>
      <x:c r="G78" s="111"/>
      <x:c r="H78" s="111"/>
      <x:c r="I78" s="111"/>
      <x:c r="J78" s="111"/>
      <x:c r="K78" s="111"/>
      <x:c r="L78" s="111"/>
      <x:c r="M78" s="111"/>
      <x:c r="N78" s="111"/>
      <x:c r="O78" s="111"/>
      <x:c r="P78" s="111"/>
      <x:c r="Q78" s="111"/>
      <x:c r="R78" s="111"/>
      <x:c r="S78" s="111"/>
      <x:c r="T78" s="111"/>
    </x:row>
    <x:row r="79" ht="28" customHeight="1">
      <x:c r="A79" s="107"/>
      <x:c r="B79" s="107"/>
      <x:c r="C79" s="90" t="str">
        <x:f>IF(A79="","",62)</x:f>
      </x:c>
      <x:c r="D79" s="109" t="str">
        <x:f>IF(B79="","",IF(COUNTIFS(Crew!$A$6:$A$105,B79)=1,INDEX(Crew!$C$6:$C$105,MATCH(B79,Crew!$A$6:$A$105,0)),""))</x:f>
      </x:c>
      <x:c r="E79" s="111"/>
      <x:c r="F79" s="111"/>
      <x:c r="G79" s="111"/>
      <x:c r="H79" s="111"/>
      <x:c r="I79" s="111"/>
      <x:c r="J79" s="111"/>
      <x:c r="K79" s="111"/>
      <x:c r="L79" s="111"/>
      <x:c r="M79" s="111"/>
      <x:c r="N79" s="111"/>
      <x:c r="O79" s="111"/>
      <x:c r="P79" s="111"/>
      <x:c r="Q79" s="111"/>
      <x:c r="R79" s="111"/>
      <x:c r="S79" s="111"/>
      <x:c r="T79" s="111"/>
    </x:row>
    <x:row r="80" ht="28" customHeight="1">
      <x:c r="A80" s="107"/>
      <x:c r="B80" s="107"/>
      <x:c r="C80" s="90" t="str">
        <x:f>IF(A80="","",62)</x:f>
      </x:c>
      <x:c r="D80" s="109" t="str">
        <x:f>IF(B80="","",IF(COUNTIFS(Crew!$A$6:$A$105,B80)=1,INDEX(Crew!$C$6:$C$105,MATCH(B80,Crew!$A$6:$A$105,0)),""))</x:f>
      </x:c>
      <x:c r="E80" s="111"/>
      <x:c r="F80" s="111"/>
      <x:c r="G80" s="111"/>
      <x:c r="H80" s="111"/>
      <x:c r="I80" s="111"/>
      <x:c r="J80" s="111"/>
      <x:c r="K80" s="111"/>
      <x:c r="L80" s="111"/>
      <x:c r="M80" s="111"/>
      <x:c r="N80" s="111"/>
      <x:c r="O80" s="111"/>
      <x:c r="P80" s="111"/>
      <x:c r="Q80" s="111"/>
      <x:c r="R80" s="111"/>
      <x:c r="S80" s="111"/>
      <x:c r="T80" s="111"/>
    </x:row>
    <x:row r="81" ht="28" customHeight="1">
      <x:c r="A81" s="107"/>
      <x:c r="B81" s="107"/>
      <x:c r="C81" s="90" t="str">
        <x:f>IF(A81="","",62)</x:f>
      </x:c>
      <x:c r="D81" s="109" t="str">
        <x:f>IF(B81="","",IF(COUNTIFS(Crew!$A$6:$A$105,B81)=1,INDEX(Crew!$C$6:$C$105,MATCH(B81,Crew!$A$6:$A$105,0)),""))</x:f>
      </x:c>
      <x:c r="E81" s="111"/>
      <x:c r="F81" s="111"/>
      <x:c r="G81" s="111"/>
      <x:c r="H81" s="111"/>
      <x:c r="I81" s="111"/>
      <x:c r="J81" s="111"/>
      <x:c r="K81" s="111"/>
      <x:c r="L81" s="111"/>
      <x:c r="M81" s="111"/>
      <x:c r="N81" s="111"/>
      <x:c r="O81" s="111"/>
      <x:c r="P81" s="111"/>
      <x:c r="Q81" s="111"/>
      <x:c r="R81" s="111"/>
      <x:c r="S81" s="111"/>
      <x:c r="T81" s="111"/>
    </x:row>
    <x:row r="82" ht="28" customHeight="1">
      <x:c r="A82" s="107"/>
      <x:c r="B82" s="107"/>
      <x:c r="C82" s="90" t="str">
        <x:f>IF(A82="","",62)</x:f>
      </x:c>
      <x:c r="D82" s="109" t="str">
        <x:f>IF(B82="","",IF(COUNTIFS(Crew!$A$6:$A$105,B82)=1,INDEX(Crew!$C$6:$C$105,MATCH(B82,Crew!$A$6:$A$105,0)),""))</x:f>
      </x:c>
      <x:c r="E82" s="111"/>
      <x:c r="F82" s="111"/>
      <x:c r="G82" s="111"/>
      <x:c r="H82" s="111"/>
      <x:c r="I82" s="111"/>
      <x:c r="J82" s="111"/>
      <x:c r="K82" s="111"/>
      <x:c r="L82" s="111"/>
      <x:c r="M82" s="111"/>
      <x:c r="N82" s="111"/>
      <x:c r="O82" s="111"/>
      <x:c r="P82" s="111"/>
      <x:c r="Q82" s="111"/>
      <x:c r="R82" s="111"/>
      <x:c r="S82" s="111"/>
      <x:c r="T82" s="111"/>
    </x:row>
    <x:row r="83" ht="28" customHeight="1">
      <x:c r="A83" s="107"/>
      <x:c r="B83" s="107"/>
      <x:c r="C83" s="90" t="str">
        <x:f>IF(A83="","",62)</x:f>
      </x:c>
      <x:c r="D83" s="109" t="str">
        <x:f>IF(B83="","",IF(COUNTIFS(Crew!$A$6:$A$105,B83)=1,INDEX(Crew!$C$6:$C$105,MATCH(B83,Crew!$A$6:$A$105,0)),""))</x:f>
      </x:c>
      <x:c r="E83" s="111"/>
      <x:c r="F83" s="111"/>
      <x:c r="G83" s="111"/>
      <x:c r="H83" s="111"/>
      <x:c r="I83" s="111"/>
      <x:c r="J83" s="111"/>
      <x:c r="K83" s="111"/>
      <x:c r="L83" s="111"/>
      <x:c r="M83" s="111"/>
      <x:c r="N83" s="111"/>
      <x:c r="O83" s="111"/>
      <x:c r="P83" s="111"/>
      <x:c r="Q83" s="111"/>
      <x:c r="R83" s="111"/>
      <x:c r="S83" s="111"/>
      <x:c r="T83" s="111"/>
    </x:row>
    <x:row r="84" ht="28" customHeight="1">
      <x:c r="A84" s="107"/>
      <x:c r="B84" s="107"/>
      <x:c r="C84" s="90" t="str">
        <x:f>IF(A84="","",62)</x:f>
      </x:c>
      <x:c r="D84" s="109" t="str">
        <x:f>IF(B84="","",IF(COUNTIFS(Crew!$A$6:$A$105,B84)=1,INDEX(Crew!$C$6:$C$105,MATCH(B84,Crew!$A$6:$A$105,0)),""))</x:f>
      </x:c>
      <x:c r="E84" s="111"/>
      <x:c r="F84" s="111"/>
      <x:c r="G84" s="111"/>
      <x:c r="H84" s="111"/>
      <x:c r="I84" s="111"/>
      <x:c r="J84" s="111"/>
      <x:c r="K84" s="111"/>
      <x:c r="L84" s="111"/>
      <x:c r="M84" s="111"/>
      <x:c r="N84" s="111"/>
      <x:c r="O84" s="111"/>
      <x:c r="P84" s="111"/>
      <x:c r="Q84" s="111"/>
      <x:c r="R84" s="111"/>
      <x:c r="S84" s="111"/>
      <x:c r="T84" s="111"/>
    </x:row>
    <x:row r="85" ht="28" customHeight="1">
      <x:c r="A85" s="107"/>
      <x:c r="B85" s="107"/>
      <x:c r="C85" s="90" t="str">
        <x:f>IF(A85="","",62)</x:f>
      </x:c>
      <x:c r="D85" s="109" t="str">
        <x:f>IF(B85="","",IF(COUNTIFS(Crew!$A$6:$A$105,B85)=1,INDEX(Crew!$C$6:$C$105,MATCH(B85,Crew!$A$6:$A$105,0)),""))</x:f>
      </x:c>
      <x:c r="E85" s="111"/>
      <x:c r="F85" s="111"/>
      <x:c r="G85" s="111"/>
      <x:c r="H85" s="111"/>
      <x:c r="I85" s="111"/>
      <x:c r="J85" s="111"/>
      <x:c r="K85" s="111"/>
      <x:c r="L85" s="111"/>
      <x:c r="M85" s="111"/>
      <x:c r="N85" s="111"/>
      <x:c r="O85" s="111"/>
      <x:c r="P85" s="111"/>
      <x:c r="Q85" s="111"/>
      <x:c r="R85" s="111"/>
      <x:c r="S85" s="111"/>
      <x:c r="T85" s="111"/>
    </x:row>
    <x:row r="86" ht="28" customHeight="1">
      <x:c r="A86" s="107"/>
      <x:c r="B86" s="107"/>
      <x:c r="C86" s="90" t="str">
        <x:f>IF(A86="","",62)</x:f>
      </x:c>
      <x:c r="D86" s="109" t="str">
        <x:f>IF(B86="","",IF(COUNTIFS(Crew!$A$6:$A$105,B86)=1,INDEX(Crew!$C$6:$C$105,MATCH(B86,Crew!$A$6:$A$105,0)),""))</x:f>
      </x:c>
      <x:c r="E86" s="111"/>
      <x:c r="F86" s="111"/>
      <x:c r="G86" s="111"/>
      <x:c r="H86" s="111"/>
      <x:c r="I86" s="111"/>
      <x:c r="J86" s="111"/>
      <x:c r="K86" s="111"/>
      <x:c r="L86" s="111"/>
      <x:c r="M86" s="111"/>
      <x:c r="N86" s="111"/>
      <x:c r="O86" s="111"/>
      <x:c r="P86" s="111"/>
      <x:c r="Q86" s="111"/>
      <x:c r="R86" s="111"/>
      <x:c r="S86" s="111"/>
      <x:c r="T86" s="111"/>
    </x:row>
    <x:row r="87" ht="28" customHeight="1">
      <x:c r="A87" s="107"/>
      <x:c r="B87" s="107"/>
      <x:c r="C87" s="90" t="str">
        <x:f>IF(A87="","",62)</x:f>
      </x:c>
      <x:c r="D87" s="109" t="str">
        <x:f>IF(B87="","",IF(COUNTIFS(Crew!$A$6:$A$105,B87)=1,INDEX(Crew!$C$6:$C$105,MATCH(B87,Crew!$A$6:$A$105,0)),""))</x:f>
      </x:c>
      <x:c r="E87" s="111"/>
      <x:c r="F87" s="111"/>
      <x:c r="G87" s="111"/>
      <x:c r="H87" s="111"/>
      <x:c r="I87" s="111"/>
      <x:c r="J87" s="111"/>
      <x:c r="K87" s="111"/>
      <x:c r="L87" s="111"/>
      <x:c r="M87" s="111"/>
      <x:c r="N87" s="111"/>
      <x:c r="O87" s="111"/>
      <x:c r="P87" s="111"/>
      <x:c r="Q87" s="111"/>
      <x:c r="R87" s="111"/>
      <x:c r="S87" s="111"/>
      <x:c r="T87" s="111"/>
    </x:row>
    <x:row r="88" ht="28" customHeight="1">
      <x:c r="A88" s="107"/>
      <x:c r="B88" s="107"/>
      <x:c r="C88" s="90" t="str">
        <x:f>IF(A88="","",62)</x:f>
      </x:c>
      <x:c r="D88" s="109" t="str">
        <x:f>IF(B88="","",IF(COUNTIFS(Crew!$A$6:$A$105,B88)=1,INDEX(Crew!$C$6:$C$105,MATCH(B88,Crew!$A$6:$A$105,0)),""))</x:f>
      </x:c>
      <x:c r="E88" s="111"/>
      <x:c r="F88" s="111"/>
      <x:c r="G88" s="111"/>
      <x:c r="H88" s="111"/>
      <x:c r="I88" s="111"/>
      <x:c r="J88" s="111"/>
      <x:c r="K88" s="111"/>
      <x:c r="L88" s="111"/>
      <x:c r="M88" s="111"/>
      <x:c r="N88" s="111"/>
      <x:c r="O88" s="111"/>
      <x:c r="P88" s="111"/>
      <x:c r="Q88" s="111"/>
      <x:c r="R88" s="111"/>
      <x:c r="S88" s="111"/>
      <x:c r="T88" s="111"/>
    </x:row>
    <x:row r="89" ht="28" customHeight="1">
      <x:c r="A89" s="107"/>
      <x:c r="B89" s="107"/>
      <x:c r="C89" s="90" t="str">
        <x:f>IF(A89="","",62)</x:f>
      </x:c>
      <x:c r="D89" s="109" t="str">
        <x:f>IF(B89="","",IF(COUNTIFS(Crew!$A$6:$A$105,B89)=1,INDEX(Crew!$C$6:$C$105,MATCH(B89,Crew!$A$6:$A$105,0)),""))</x:f>
      </x:c>
      <x:c r="E89" s="111"/>
      <x:c r="F89" s="111"/>
      <x:c r="G89" s="111"/>
      <x:c r="H89" s="111"/>
      <x:c r="I89" s="111"/>
      <x:c r="J89" s="111"/>
      <x:c r="K89" s="111"/>
      <x:c r="L89" s="111"/>
      <x:c r="M89" s="111"/>
      <x:c r="N89" s="111"/>
      <x:c r="O89" s="111"/>
      <x:c r="P89" s="111"/>
      <x:c r="Q89" s="111"/>
      <x:c r="R89" s="111"/>
      <x:c r="S89" s="111"/>
      <x:c r="T89" s="111"/>
    </x:row>
    <x:row r="90" ht="28" customHeight="1">
      <x:c r="A90" s="107"/>
      <x:c r="B90" s="107"/>
      <x:c r="C90" s="90" t="str">
        <x:f>IF(A90="","",62)</x:f>
      </x:c>
      <x:c r="D90" s="109" t="str">
        <x:f>IF(B90="","",IF(COUNTIFS(Crew!$A$6:$A$105,B90)=1,INDEX(Crew!$C$6:$C$105,MATCH(B90,Crew!$A$6:$A$105,0)),""))</x:f>
      </x:c>
      <x:c r="E90" s="111"/>
      <x:c r="F90" s="111"/>
      <x:c r="G90" s="111"/>
      <x:c r="H90" s="111"/>
      <x:c r="I90" s="111"/>
      <x:c r="J90" s="111"/>
      <x:c r="K90" s="111"/>
      <x:c r="L90" s="111"/>
      <x:c r="M90" s="111"/>
      <x:c r="N90" s="111"/>
      <x:c r="O90" s="111"/>
      <x:c r="P90" s="111"/>
      <x:c r="Q90" s="111"/>
      <x:c r="R90" s="111"/>
      <x:c r="S90" s="111"/>
      <x:c r="T90" s="111"/>
    </x:row>
    <x:row r="91" ht="28" customHeight="1">
      <x:c r="A91" s="107"/>
      <x:c r="B91" s="107"/>
      <x:c r="C91" s="90" t="str">
        <x:f>IF(A91="","",62)</x:f>
      </x:c>
      <x:c r="D91" s="109" t="str">
        <x:f>IF(B91="","",IF(COUNTIFS(Crew!$A$6:$A$105,B91)=1,INDEX(Crew!$C$6:$C$105,MATCH(B91,Crew!$A$6:$A$105,0)),""))</x:f>
      </x:c>
      <x:c r="E91" s="111"/>
      <x:c r="F91" s="111"/>
      <x:c r="G91" s="111"/>
      <x:c r="H91" s="111"/>
      <x:c r="I91" s="111"/>
      <x:c r="J91" s="111"/>
      <x:c r="K91" s="111"/>
      <x:c r="L91" s="111"/>
      <x:c r="M91" s="111"/>
      <x:c r="N91" s="111"/>
      <x:c r="O91" s="111"/>
      <x:c r="P91" s="111"/>
      <x:c r="Q91" s="111"/>
      <x:c r="R91" s="111"/>
      <x:c r="S91" s="111"/>
      <x:c r="T91" s="111"/>
    </x:row>
    <x:row r="92" ht="28" customHeight="1">
      <x:c r="A92" s="107"/>
      <x:c r="B92" s="107"/>
      <x:c r="C92" s="90" t="str">
        <x:f>IF(A92="","",62)</x:f>
      </x:c>
      <x:c r="D92" s="109" t="str">
        <x:f>IF(B92="","",IF(COUNTIFS(Crew!$A$6:$A$105,B92)=1,INDEX(Crew!$C$6:$C$105,MATCH(B92,Crew!$A$6:$A$105,0)),""))</x:f>
      </x:c>
      <x:c r="E92" s="111"/>
      <x:c r="F92" s="111"/>
      <x:c r="G92" s="111"/>
      <x:c r="H92" s="111"/>
      <x:c r="I92" s="111"/>
      <x:c r="J92" s="111"/>
      <x:c r="K92" s="111"/>
      <x:c r="L92" s="111"/>
      <x:c r="M92" s="111"/>
      <x:c r="N92" s="111"/>
      <x:c r="O92" s="111"/>
      <x:c r="P92" s="111"/>
      <x:c r="Q92" s="111"/>
      <x:c r="R92" s="111"/>
      <x:c r="S92" s="111"/>
      <x:c r="T92" s="111"/>
    </x:row>
    <x:row r="93" ht="28" customHeight="1">
      <x:c r="A93" s="107"/>
      <x:c r="B93" s="107"/>
      <x:c r="C93" s="90" t="str">
        <x:f>IF(A93="","",62)</x:f>
      </x:c>
      <x:c r="D93" s="109" t="str">
        <x:f>IF(B93="","",IF(COUNTIFS(Crew!$A$6:$A$105,B93)=1,INDEX(Crew!$C$6:$C$105,MATCH(B93,Crew!$A$6:$A$105,0)),""))</x:f>
      </x:c>
      <x:c r="E93" s="111"/>
      <x:c r="F93" s="111"/>
      <x:c r="G93" s="111"/>
      <x:c r="H93" s="111"/>
      <x:c r="I93" s="111"/>
      <x:c r="J93" s="111"/>
      <x:c r="K93" s="111"/>
      <x:c r="L93" s="111"/>
      <x:c r="M93" s="111"/>
      <x:c r="N93" s="111"/>
      <x:c r="O93" s="111"/>
      <x:c r="P93" s="111"/>
      <x:c r="Q93" s="111"/>
      <x:c r="R93" s="111"/>
      <x:c r="S93" s="111"/>
      <x:c r="T93" s="111"/>
    </x:row>
    <x:row r="94" ht="28" customHeight="1">
      <x:c r="A94" s="107"/>
      <x:c r="B94" s="107"/>
      <x:c r="C94" s="90" t="str">
        <x:f>IF(A94="","",62)</x:f>
      </x:c>
      <x:c r="D94" s="109" t="str">
        <x:f>IF(B94="","",IF(COUNTIFS(Crew!$A$6:$A$105,B94)=1,INDEX(Crew!$C$6:$C$105,MATCH(B94,Crew!$A$6:$A$105,0)),""))</x:f>
      </x:c>
      <x:c r="E94" s="111"/>
      <x:c r="F94" s="111"/>
      <x:c r="G94" s="111"/>
      <x:c r="H94" s="111"/>
      <x:c r="I94" s="111"/>
      <x:c r="J94" s="111"/>
      <x:c r="K94" s="111"/>
      <x:c r="L94" s="111"/>
      <x:c r="M94" s="111"/>
      <x:c r="N94" s="111"/>
      <x:c r="O94" s="111"/>
      <x:c r="P94" s="111"/>
      <x:c r="Q94" s="111"/>
      <x:c r="R94" s="111"/>
      <x:c r="S94" s="111"/>
      <x:c r="T94" s="111"/>
    </x:row>
    <x:row r="95" ht="28" customHeight="1">
      <x:c r="A95" s="107"/>
      <x:c r="B95" s="107"/>
      <x:c r="C95" s="90" t="str">
        <x:f>IF(A95="","",62)</x:f>
      </x:c>
      <x:c r="D95" s="109" t="str">
        <x:f>IF(B95="","",IF(COUNTIFS(Crew!$A$6:$A$105,B95)=1,INDEX(Crew!$C$6:$C$105,MATCH(B95,Crew!$A$6:$A$105,0)),""))</x:f>
      </x:c>
      <x:c r="E95" s="111"/>
      <x:c r="F95" s="111"/>
      <x:c r="G95" s="111"/>
      <x:c r="H95" s="111"/>
      <x:c r="I95" s="111"/>
      <x:c r="J95" s="111"/>
      <x:c r="K95" s="111"/>
      <x:c r="L95" s="111"/>
      <x:c r="M95" s="111"/>
      <x:c r="N95" s="111"/>
      <x:c r="O95" s="111"/>
      <x:c r="P95" s="111"/>
      <x:c r="Q95" s="111"/>
      <x:c r="R95" s="111"/>
      <x:c r="S95" s="111"/>
      <x:c r="T95" s="111"/>
    </x:row>
    <x:row r="96" ht="28" customHeight="1">
      <x:c r="A96" s="107"/>
      <x:c r="B96" s="107"/>
      <x:c r="C96" s="90" t="str">
        <x:f>IF(A96="","",62)</x:f>
      </x:c>
      <x:c r="D96" s="109" t="str">
        <x:f>IF(B96="","",IF(COUNTIFS(Crew!$A$6:$A$105,B96)=1,INDEX(Crew!$C$6:$C$105,MATCH(B96,Crew!$A$6:$A$105,0)),""))</x:f>
      </x:c>
      <x:c r="E96" s="111"/>
      <x:c r="F96" s="111"/>
      <x:c r="G96" s="111"/>
      <x:c r="H96" s="111"/>
      <x:c r="I96" s="111"/>
      <x:c r="J96" s="111"/>
      <x:c r="K96" s="111"/>
      <x:c r="L96" s="111"/>
      <x:c r="M96" s="111"/>
      <x:c r="N96" s="111"/>
      <x:c r="O96" s="111"/>
      <x:c r="P96" s="111"/>
      <x:c r="Q96" s="111"/>
      <x:c r="R96" s="111"/>
      <x:c r="S96" s="111"/>
      <x:c r="T96" s="111"/>
    </x:row>
    <x:row r="97" ht="28" customHeight="1">
      <x:c r="A97" s="107"/>
      <x:c r="B97" s="107"/>
      <x:c r="C97" s="90" t="str">
        <x:f>IF(A97="","",62)</x:f>
      </x:c>
      <x:c r="D97" s="109" t="str">
        <x:f>IF(B97="","",IF(COUNTIFS(Crew!$A$6:$A$105,B97)=1,INDEX(Crew!$C$6:$C$105,MATCH(B97,Crew!$A$6:$A$105,0)),""))</x:f>
      </x:c>
      <x:c r="E97" s="111"/>
      <x:c r="F97" s="111"/>
      <x:c r="G97" s="111"/>
      <x:c r="H97" s="111"/>
      <x:c r="I97" s="111"/>
      <x:c r="J97" s="111"/>
      <x:c r="K97" s="111"/>
      <x:c r="L97" s="111"/>
      <x:c r="M97" s="111"/>
      <x:c r="N97" s="111"/>
      <x:c r="O97" s="111"/>
      <x:c r="P97" s="111"/>
      <x:c r="Q97" s="111"/>
      <x:c r="R97" s="111"/>
      <x:c r="S97" s="111"/>
      <x:c r="T97" s="111"/>
    </x:row>
    <x:row r="98" ht="28" customHeight="1">
      <x:c r="A98" s="107"/>
      <x:c r="B98" s="107"/>
      <x:c r="C98" s="90" t="str">
        <x:f>IF(A98="","",62)</x:f>
      </x:c>
      <x:c r="D98" s="109" t="str">
        <x:f>IF(B98="","",IF(COUNTIFS(Crew!$A$6:$A$105,B98)=1,INDEX(Crew!$C$6:$C$105,MATCH(B98,Crew!$A$6:$A$105,0)),""))</x:f>
      </x:c>
      <x:c r="E98" s="111"/>
      <x:c r="F98" s="111"/>
      <x:c r="G98" s="111"/>
      <x:c r="H98" s="111"/>
      <x:c r="I98" s="111"/>
      <x:c r="J98" s="111"/>
      <x:c r="K98" s="111"/>
      <x:c r="L98" s="111"/>
      <x:c r="M98" s="111"/>
      <x:c r="N98" s="111"/>
      <x:c r="O98" s="111"/>
      <x:c r="P98" s="111"/>
      <x:c r="Q98" s="111"/>
      <x:c r="R98" s="111"/>
      <x:c r="S98" s="111"/>
      <x:c r="T98" s="111"/>
    </x:row>
    <x:row r="99" ht="28" customHeight="1">
      <x:c r="A99" s="107"/>
      <x:c r="B99" s="107"/>
      <x:c r="C99" s="90" t="str">
        <x:f>IF(A99="","",62)</x:f>
      </x:c>
      <x:c r="D99" s="109" t="str">
        <x:f>IF(B99="","",IF(COUNTIFS(Crew!$A$6:$A$105,B99)=1,INDEX(Crew!$C$6:$C$105,MATCH(B99,Crew!$A$6:$A$105,0)),""))</x:f>
      </x:c>
      <x:c r="E99" s="111"/>
      <x:c r="F99" s="111"/>
      <x:c r="G99" s="111"/>
      <x:c r="H99" s="111"/>
      <x:c r="I99" s="111"/>
      <x:c r="J99" s="111"/>
      <x:c r="K99" s="111"/>
      <x:c r="L99" s="111"/>
      <x:c r="M99" s="111"/>
      <x:c r="N99" s="111"/>
      <x:c r="O99" s="111"/>
      <x:c r="P99" s="111"/>
      <x:c r="Q99" s="111"/>
      <x:c r="R99" s="111"/>
      <x:c r="S99" s="111"/>
      <x:c r="T99" s="111"/>
    </x:row>
    <x:row r="100" ht="28" customHeight="1">
      <x:c r="A100" s="107"/>
      <x:c r="B100" s="107"/>
      <x:c r="C100" s="90" t="str">
        <x:f>IF(A100="","",62)</x:f>
      </x:c>
      <x:c r="D100" s="109" t="str">
        <x:f>IF(B100="","",IF(COUNTIFS(Crew!$A$6:$A$105,B100)=1,INDEX(Crew!$C$6:$C$105,MATCH(B100,Crew!$A$6:$A$105,0)),""))</x:f>
      </x:c>
      <x:c r="E100" s="111"/>
      <x:c r="F100" s="111"/>
      <x:c r="G100" s="111"/>
      <x:c r="H100" s="111"/>
      <x:c r="I100" s="111"/>
      <x:c r="J100" s="111"/>
      <x:c r="K100" s="111"/>
      <x:c r="L100" s="111"/>
      <x:c r="M100" s="111"/>
      <x:c r="N100" s="111"/>
      <x:c r="O100" s="111"/>
      <x:c r="P100" s="111"/>
      <x:c r="Q100" s="111"/>
      <x:c r="R100" s="111"/>
      <x:c r="S100" s="111"/>
      <x:c r="T100" s="111"/>
    </x:row>
    <x:row r="101" ht="28" customHeight="1">
      <x:c r="A101" s="107"/>
      <x:c r="B101" s="107"/>
      <x:c r="C101" s="90" t="str">
        <x:f>IF(A101="","",62)</x:f>
      </x:c>
      <x:c r="D101" s="109" t="str">
        <x:f>IF(B101="","",IF(COUNTIFS(Crew!$A$6:$A$105,B101)=1,INDEX(Crew!$C$6:$C$105,MATCH(B101,Crew!$A$6:$A$105,0)),""))</x:f>
      </x:c>
      <x:c r="E101" s="111"/>
      <x:c r="F101" s="111"/>
      <x:c r="G101" s="111"/>
      <x:c r="H101" s="111"/>
      <x:c r="I101" s="111"/>
      <x:c r="J101" s="111"/>
      <x:c r="K101" s="111"/>
      <x:c r="L101" s="111"/>
      <x:c r="M101" s="111"/>
      <x:c r="N101" s="111"/>
      <x:c r="O101" s="111"/>
      <x:c r="P101" s="111"/>
      <x:c r="Q101" s="111"/>
      <x:c r="R101" s="111"/>
      <x:c r="S101" s="111"/>
      <x:c r="T101" s="111"/>
    </x:row>
    <x:row r="102" ht="28" customHeight="1">
      <x:c r="A102" s="107"/>
      <x:c r="B102" s="107"/>
      <x:c r="C102" s="90" t="str">
        <x:f>IF(A102="","",62)</x:f>
      </x:c>
      <x:c r="D102" s="109" t="str">
        <x:f>IF(B102="","",IF(COUNTIFS(Crew!$A$6:$A$105,B102)=1,INDEX(Crew!$C$6:$C$105,MATCH(B102,Crew!$A$6:$A$105,0)),""))</x:f>
      </x:c>
      <x:c r="E102" s="111"/>
      <x:c r="F102" s="111"/>
      <x:c r="G102" s="111"/>
      <x:c r="H102" s="111"/>
      <x:c r="I102" s="111"/>
      <x:c r="J102" s="111"/>
      <x:c r="K102" s="111"/>
      <x:c r="L102" s="111"/>
      <x:c r="M102" s="111"/>
      <x:c r="N102" s="111"/>
      <x:c r="O102" s="111"/>
      <x:c r="P102" s="111"/>
      <x:c r="Q102" s="111"/>
      <x:c r="R102" s="111"/>
      <x:c r="S102" s="111"/>
      <x:c r="T102" s="111"/>
    </x:row>
    <x:row r="103" ht="28" customHeight="1">
      <x:c r="A103" s="107"/>
      <x:c r="B103" s="107"/>
      <x:c r="C103" s="90" t="str">
        <x:f>IF(A103="","",62)</x:f>
      </x:c>
      <x:c r="D103" s="109" t="str">
        <x:f>IF(B103="","",IF(COUNTIFS(Crew!$A$6:$A$105,B103)=1,INDEX(Crew!$C$6:$C$105,MATCH(B103,Crew!$A$6:$A$105,0)),""))</x:f>
      </x:c>
      <x:c r="E103" s="111"/>
      <x:c r="F103" s="111"/>
      <x:c r="G103" s="111"/>
      <x:c r="H103" s="111"/>
      <x:c r="I103" s="111"/>
      <x:c r="J103" s="111"/>
      <x:c r="K103" s="111"/>
      <x:c r="L103" s="111"/>
      <x:c r="M103" s="111"/>
      <x:c r="N103" s="111"/>
      <x:c r="O103" s="111"/>
      <x:c r="P103" s="111"/>
      <x:c r="Q103" s="111"/>
      <x:c r="R103" s="111"/>
      <x:c r="S103" s="111"/>
      <x:c r="T103" s="111"/>
    </x:row>
    <x:row r="104" ht="28" customHeight="1">
      <x:c r="A104" s="107"/>
      <x:c r="B104" s="107"/>
      <x:c r="C104" s="90" t="str">
        <x:f>IF(A104="","",62)</x:f>
      </x:c>
      <x:c r="D104" s="109" t="str">
        <x:f>IF(B104="","",IF(COUNTIFS(Crew!$A$6:$A$105,B104)=1,INDEX(Crew!$C$6:$C$105,MATCH(B104,Crew!$A$6:$A$105,0)),""))</x:f>
      </x:c>
      <x:c r="E104" s="111"/>
      <x:c r="F104" s="111"/>
      <x:c r="G104" s="111"/>
      <x:c r="H104" s="111"/>
      <x:c r="I104" s="111"/>
      <x:c r="J104" s="111"/>
      <x:c r="K104" s="111"/>
      <x:c r="L104" s="111"/>
      <x:c r="M104" s="111"/>
      <x:c r="N104" s="111"/>
      <x:c r="O104" s="111"/>
      <x:c r="P104" s="111"/>
      <x:c r="Q104" s="111"/>
      <x:c r="R104" s="111"/>
      <x:c r="S104" s="111"/>
      <x:c r="T104" s="111"/>
    </x:row>
    <x:row r="105" ht="28" customHeight="1">
      <x:c r="A105" s="107"/>
      <x:c r="B105" s="107"/>
      <x:c r="C105" s="90" t="str">
        <x:f>IF(A105="","",62)</x:f>
      </x:c>
      <x:c r="D105" s="109" t="str">
        <x:f>IF(B105="","",IF(COUNTIFS(Crew!$A$6:$A$105,B105)=1,INDEX(Crew!$C$6:$C$105,MATCH(B105,Crew!$A$6:$A$105,0)),""))</x:f>
      </x:c>
      <x:c r="E105" s="111"/>
      <x:c r="F105" s="111"/>
      <x:c r="G105" s="111"/>
      <x:c r="H105" s="111"/>
      <x:c r="I105" s="111"/>
      <x:c r="J105" s="111"/>
      <x:c r="K105" s="111"/>
      <x:c r="L105" s="111"/>
      <x:c r="M105" s="111"/>
      <x:c r="N105" s="111"/>
      <x:c r="O105" s="111"/>
      <x:c r="P105" s="111"/>
      <x:c r="Q105" s="111"/>
      <x:c r="R105" s="111"/>
      <x:c r="S105" s="111"/>
      <x:c r="T105" s="111"/>
    </x:row>
    <x:row r="106">
      <x:c r="A106" s="111"/>
      <x:c r="B106" s="111"/>
      <x:c r="C106" s="111"/>
      <x:c r="D106" s="111"/>
      <x:c r="E106" s="111"/>
      <x:c r="F106" s="111"/>
      <x:c r="G106" s="111"/>
      <x:c r="H106" s="111"/>
      <x:c r="I106" s="111"/>
      <x:c r="J106" s="111"/>
      <x:c r="K106" s="111"/>
      <x:c r="L106" s="111"/>
      <x:c r="M106" s="111"/>
      <x:c r="N106" s="111"/>
      <x:c r="O106" s="111"/>
      <x:c r="P106" s="111"/>
      <x:c r="Q106" s="111"/>
      <x:c r="R106" s="111"/>
      <x:c r="S106" s="111"/>
      <x:c r="T106" s="111"/>
    </x:row>
    <x:row r="107">
      <x:c r="A107" s="111"/>
      <x:c r="B107" s="111"/>
      <x:c r="C107" s="111"/>
      <x:c r="D107" s="111"/>
      <x:c r="E107" s="111"/>
      <x:c r="F107" s="111"/>
      <x:c r="G107" s="111"/>
      <x:c r="H107" s="111"/>
      <x:c r="I107" s="111"/>
      <x:c r="J107" s="111"/>
      <x:c r="K107" s="111"/>
      <x:c r="L107" s="111"/>
      <x:c r="M107" s="111"/>
      <x:c r="N107" s="111"/>
      <x:c r="O107" s="111"/>
      <x:c r="P107" s="111"/>
      <x:c r="Q107" s="111"/>
      <x:c r="R107" s="111"/>
      <x:c r="S107" s="111"/>
      <x:c r="T107" s="111"/>
    </x:row>
    <x:row r="108">
      <x:c r="A108" s="111"/>
      <x:c r="B108" s="111"/>
      <x:c r="C108" s="111"/>
      <x:c r="D108" s="111"/>
      <x:c r="E108" s="111"/>
      <x:c r="F108" s="111"/>
      <x:c r="G108" s="111"/>
      <x:c r="H108" s="111"/>
      <x:c r="I108" s="111"/>
      <x:c r="J108" s="111"/>
      <x:c r="K108" s="111"/>
      <x:c r="L108" s="111"/>
      <x:c r="M108" s="111"/>
      <x:c r="N108" s="111"/>
      <x:c r="O108" s="111"/>
      <x:c r="P108" s="111"/>
      <x:c r="Q108" s="111"/>
      <x:c r="R108" s="111"/>
      <x:c r="S108" s="111"/>
      <x:c r="T108" s="111"/>
    </x:row>
    <x:row r="109">
      <x:c r="A109" s="111"/>
      <x:c r="B109" s="111"/>
      <x:c r="C109" s="111"/>
      <x:c r="D109" s="111"/>
      <x:c r="E109" s="111"/>
      <x:c r="F109" s="111"/>
      <x:c r="G109" s="111"/>
      <x:c r="H109" s="111"/>
      <x:c r="I109" s="111"/>
      <x:c r="J109" s="111"/>
      <x:c r="K109" s="111"/>
      <x:c r="L109" s="111"/>
      <x:c r="M109" s="111"/>
      <x:c r="N109" s="111"/>
      <x:c r="O109" s="111"/>
      <x:c r="P109" s="111"/>
      <x:c r="Q109" s="111"/>
      <x:c r="R109" s="111"/>
      <x:c r="S109" s="111"/>
      <x:c r="T109" s="111"/>
    </x:row>
    <x:row r="110">
      <x:c r="A110" s="111"/>
      <x:c r="B110" s="111"/>
      <x:c r="C110" s="111"/>
      <x:c r="D110" s="111"/>
      <x:c r="E110" s="111"/>
      <x:c r="F110" s="111"/>
      <x:c r="G110" s="111"/>
      <x:c r="H110" s="111"/>
      <x:c r="I110" s="111"/>
      <x:c r="J110" s="111"/>
      <x:c r="K110" s="111"/>
      <x:c r="L110" s="111"/>
      <x:c r="M110" s="111"/>
      <x:c r="N110" s="111"/>
      <x:c r="O110" s="111"/>
      <x:c r="P110" s="111"/>
      <x:c r="Q110" s="111"/>
      <x:c r="R110" s="111"/>
      <x:c r="S110" s="111"/>
      <x:c r="T110" s="111"/>
    </x:row>
    <x:row r="111">
      <x:c r="A111" s="111"/>
      <x:c r="B111" s="111"/>
      <x:c r="C111" s="111"/>
      <x:c r="D111" s="111"/>
      <x:c r="E111" s="111"/>
      <x:c r="F111" s="111"/>
      <x:c r="G111" s="111"/>
      <x:c r="H111" s="111"/>
      <x:c r="I111" s="111"/>
      <x:c r="J111" s="111"/>
      <x:c r="K111" s="111"/>
      <x:c r="L111" s="111"/>
      <x:c r="M111" s="111"/>
      <x:c r="N111" s="111"/>
      <x:c r="O111" s="111"/>
      <x:c r="P111" s="111"/>
      <x:c r="Q111" s="111"/>
      <x:c r="R111" s="111"/>
      <x:c r="S111" s="111"/>
      <x:c r="T111" s="111"/>
    </x:row>
    <x:row r="112">
      <x:c r="A112" s="111"/>
      <x:c r="B112" s="111"/>
      <x:c r="C112" s="111"/>
      <x:c r="D112" s="111"/>
      <x:c r="E112" s="111"/>
      <x:c r="F112" s="111"/>
      <x:c r="G112" s="111"/>
      <x:c r="H112" s="111"/>
      <x:c r="I112" s="111"/>
      <x:c r="J112" s="111"/>
      <x:c r="K112" s="111"/>
      <x:c r="L112" s="111"/>
      <x:c r="M112" s="111"/>
      <x:c r="N112" s="111"/>
      <x:c r="O112" s="111"/>
      <x:c r="P112" s="111"/>
      <x:c r="Q112" s="111"/>
      <x:c r="R112" s="111"/>
      <x:c r="S112" s="111"/>
      <x:c r="T112" s="111"/>
    </x:row>
    <x:row r="113">
      <x:c r="A113" s="111"/>
      <x:c r="B113" s="111"/>
      <x:c r="C113" s="111"/>
      <x:c r="D113" s="111"/>
      <x:c r="E113" s="111"/>
      <x:c r="F113" s="111"/>
      <x:c r="G113" s="111"/>
      <x:c r="H113" s="111"/>
      <x:c r="I113" s="111"/>
      <x:c r="J113" s="111"/>
      <x:c r="K113" s="111"/>
      <x:c r="L113" s="111"/>
      <x:c r="M113" s="111"/>
      <x:c r="N113" s="111"/>
      <x:c r="O113" s="111"/>
      <x:c r="P113" s="111"/>
      <x:c r="Q113" s="111"/>
      <x:c r="R113" s="111"/>
      <x:c r="S113" s="111"/>
      <x:c r="T113" s="111"/>
    </x:row>
    <x:row r="114">
      <x:c r="A114" s="111"/>
      <x:c r="B114" s="111"/>
      <x:c r="C114" s="111"/>
      <x:c r="D114" s="111"/>
      <x:c r="E114" s="111"/>
      <x:c r="F114" s="111"/>
      <x:c r="G114" s="111"/>
      <x:c r="H114" s="111"/>
      <x:c r="I114" s="111"/>
      <x:c r="J114" s="111"/>
      <x:c r="K114" s="111"/>
      <x:c r="L114" s="111"/>
      <x:c r="M114" s="111"/>
      <x:c r="N114" s="111"/>
      <x:c r="O114" s="111"/>
      <x:c r="P114" s="111"/>
      <x:c r="Q114" s="111"/>
      <x:c r="R114" s="111"/>
      <x:c r="S114" s="111"/>
      <x:c r="T114" s="111"/>
    </x:row>
    <x:row r="115">
      <x:c r="A115" s="111"/>
      <x:c r="B115" s="111"/>
      <x:c r="C115" s="111"/>
      <x:c r="D115" s="111"/>
      <x:c r="E115" s="111"/>
      <x:c r="F115" s="111"/>
      <x:c r="G115" s="111"/>
      <x:c r="H115" s="111"/>
      <x:c r="I115" s="111"/>
      <x:c r="J115" s="111"/>
      <x:c r="K115" s="111"/>
      <x:c r="L115" s="111"/>
      <x:c r="M115" s="111"/>
      <x:c r="N115" s="111"/>
      <x:c r="O115" s="111"/>
      <x:c r="P115" s="111"/>
      <x:c r="Q115" s="111"/>
      <x:c r="R115" s="111"/>
      <x:c r="S115" s="111"/>
      <x:c r="T115" s="111"/>
    </x:row>
    <x:row r="116">
      <x:c r="A116" s="111"/>
      <x:c r="B116" s="111"/>
      <x:c r="C116" s="111"/>
      <x:c r="D116" s="111"/>
      <x:c r="E116" s="111"/>
      <x:c r="F116" s="111"/>
      <x:c r="G116" s="111"/>
      <x:c r="H116" s="111"/>
      <x:c r="I116" s="111"/>
      <x:c r="J116" s="111"/>
      <x:c r="K116" s="111"/>
      <x:c r="L116" s="111"/>
      <x:c r="M116" s="111"/>
      <x:c r="N116" s="111"/>
      <x:c r="O116" s="111"/>
      <x:c r="P116" s="111"/>
      <x:c r="Q116" s="111"/>
      <x:c r="R116" s="111"/>
      <x:c r="S116" s="111"/>
      <x:c r="T116" s="111"/>
    </x:row>
    <x:row r="117">
      <x:c r="A117" s="111"/>
      <x:c r="B117" s="111"/>
      <x:c r="C117" s="111"/>
      <x:c r="D117" s="111"/>
      <x:c r="E117" s="111"/>
      <x:c r="F117" s="111"/>
      <x:c r="G117" s="111"/>
      <x:c r="H117" s="111"/>
      <x:c r="I117" s="111"/>
      <x:c r="J117" s="111"/>
      <x:c r="K117" s="111"/>
      <x:c r="L117" s="111"/>
      <x:c r="M117" s="111"/>
      <x:c r="N117" s="111"/>
      <x:c r="O117" s="111"/>
      <x:c r="P117" s="111"/>
      <x:c r="Q117" s="111"/>
      <x:c r="R117" s="111"/>
      <x:c r="S117" s="111"/>
      <x:c r="T117" s="111"/>
    </x:row>
    <x:row r="118">
      <x:c r="A118" s="111"/>
      <x:c r="B118" s="111"/>
      <x:c r="C118" s="111"/>
      <x:c r="D118" s="111"/>
      <x:c r="E118" s="111"/>
      <x:c r="F118" s="111"/>
      <x:c r="G118" s="111"/>
      <x:c r="H118" s="111"/>
      <x:c r="I118" s="111"/>
      <x:c r="J118" s="111"/>
      <x:c r="K118" s="111"/>
      <x:c r="L118" s="111"/>
      <x:c r="M118" s="111"/>
      <x:c r="N118" s="111"/>
      <x:c r="O118" s="111"/>
      <x:c r="P118" s="111"/>
      <x:c r="Q118" s="111"/>
      <x:c r="R118" s="111"/>
      <x:c r="S118" s="111"/>
      <x:c r="T118" s="111"/>
    </x:row>
    <x:row r="119">
      <x:c r="A119" s="111"/>
      <x:c r="B119" s="111"/>
      <x:c r="C119" s="111"/>
      <x:c r="D119" s="111"/>
      <x:c r="E119" s="111"/>
      <x:c r="F119" s="111"/>
      <x:c r="G119" s="111"/>
      <x:c r="H119" s="111"/>
      <x:c r="I119" s="111"/>
      <x:c r="J119" s="111"/>
      <x:c r="K119" s="111"/>
      <x:c r="L119" s="111"/>
      <x:c r="M119" s="111"/>
      <x:c r="N119" s="111"/>
      <x:c r="O119" s="111"/>
      <x:c r="P119" s="111"/>
      <x:c r="Q119" s="111"/>
      <x:c r="R119" s="111"/>
      <x:c r="S119" s="111"/>
      <x:c r="T119" s="111"/>
    </x:row>
    <x:row r="120">
      <x:c r="A120" s="111"/>
      <x:c r="B120" s="111"/>
      <x:c r="C120" s="111"/>
      <x:c r="D120" s="111"/>
      <x:c r="E120" s="111"/>
      <x:c r="F120" s="111"/>
      <x:c r="G120" s="111"/>
      <x:c r="H120" s="111"/>
      <x:c r="I120" s="111"/>
      <x:c r="J120" s="111"/>
      <x:c r="K120" s="111"/>
      <x:c r="L120" s="111"/>
      <x:c r="M120" s="111"/>
      <x:c r="N120" s="111"/>
      <x:c r="O120" s="111"/>
      <x:c r="P120" s="111"/>
      <x:c r="Q120" s="111"/>
      <x:c r="R120" s="111"/>
      <x:c r="S120" s="111"/>
      <x:c r="T120" s="111"/>
    </x:row>
    <x:row r="121">
      <x:c r="A121" s="111"/>
      <x:c r="B121" s="111"/>
      <x:c r="C121" s="111"/>
      <x:c r="D121" s="111"/>
      <x:c r="E121" s="111"/>
      <x:c r="F121" s="111"/>
      <x:c r="G121" s="111"/>
      <x:c r="H121" s="111"/>
      <x:c r="I121" s="111"/>
      <x:c r="J121" s="111"/>
      <x:c r="K121" s="111"/>
      <x:c r="L121" s="111"/>
      <x:c r="M121" s="111"/>
      <x:c r="N121" s="111"/>
      <x:c r="O121" s="111"/>
      <x:c r="P121" s="111"/>
      <x:c r="Q121" s="111"/>
      <x:c r="R121" s="111"/>
      <x:c r="S121" s="111"/>
      <x:c r="T121" s="111"/>
    </x:row>
    <x:row r="122">
      <x:c r="A122" s="111"/>
      <x:c r="B122" s="111"/>
      <x:c r="C122" s="111"/>
      <x:c r="D122" s="111"/>
      <x:c r="E122" s="111"/>
      <x:c r="F122" s="111"/>
      <x:c r="G122" s="111"/>
      <x:c r="H122" s="111"/>
      <x:c r="I122" s="111"/>
      <x:c r="J122" s="111"/>
      <x:c r="K122" s="111"/>
      <x:c r="L122" s="111"/>
      <x:c r="M122" s="111"/>
      <x:c r="N122" s="111"/>
      <x:c r="O122" s="111"/>
      <x:c r="P122" s="111"/>
      <x:c r="Q122" s="111"/>
      <x:c r="R122" s="111"/>
      <x:c r="S122" s="111"/>
      <x:c r="T122" s="111"/>
    </x:row>
    <x:row r="123">
      <x:c r="A123" s="111"/>
      <x:c r="B123" s="111"/>
      <x:c r="C123" s="111"/>
      <x:c r="D123" s="111"/>
      <x:c r="E123" s="111"/>
      <x:c r="F123" s="111"/>
      <x:c r="G123" s="111"/>
      <x:c r="H123" s="111"/>
      <x:c r="I123" s="111"/>
      <x:c r="J123" s="111"/>
      <x:c r="K123" s="111"/>
      <x:c r="L123" s="111"/>
      <x:c r="M123" s="111"/>
      <x:c r="N123" s="111"/>
      <x:c r="O123" s="111"/>
      <x:c r="P123" s="111"/>
      <x:c r="Q123" s="111"/>
      <x:c r="R123" s="111"/>
      <x:c r="S123" s="111"/>
      <x:c r="T123" s="111"/>
    </x:row>
    <x:row r="124">
      <x:c r="A124" s="111"/>
      <x:c r="B124" s="111"/>
      <x:c r="C124" s="111"/>
      <x:c r="D124" s="111"/>
      <x:c r="E124" s="111"/>
      <x:c r="F124" s="111"/>
      <x:c r="G124" s="111"/>
      <x:c r="H124" s="111"/>
      <x:c r="I124" s="111"/>
      <x:c r="J124" s="111"/>
      <x:c r="K124" s="111"/>
      <x:c r="L124" s="111"/>
      <x:c r="M124" s="111"/>
      <x:c r="N124" s="111"/>
      <x:c r="O124" s="111"/>
      <x:c r="P124" s="111"/>
      <x:c r="Q124" s="111"/>
      <x:c r="R124" s="111"/>
      <x:c r="S124" s="111"/>
      <x:c r="T124" s="111"/>
    </x:row>
    <x:row r="125">
      <x:c r="A125" s="111"/>
      <x:c r="B125" s="111"/>
      <x:c r="C125" s="111"/>
      <x:c r="D125" s="111"/>
      <x:c r="E125" s="111"/>
      <x:c r="F125" s="111"/>
      <x:c r="G125" s="111"/>
      <x:c r="H125" s="111"/>
      <x:c r="I125" s="111"/>
      <x:c r="J125" s="111"/>
      <x:c r="K125" s="111"/>
      <x:c r="L125" s="111"/>
      <x:c r="M125" s="111"/>
      <x:c r="N125" s="111"/>
      <x:c r="O125" s="111"/>
      <x:c r="P125" s="111"/>
      <x:c r="Q125" s="111"/>
      <x:c r="R125" s="111"/>
      <x:c r="S125" s="111"/>
      <x:c r="T125" s="111"/>
    </x:row>
    <x:row r="126">
      <x:c r="A126" s="111"/>
      <x:c r="B126" s="111"/>
      <x:c r="C126" s="111"/>
      <x:c r="D126" s="111"/>
      <x:c r="E126" s="111"/>
      <x:c r="F126" s="111"/>
      <x:c r="G126" s="111"/>
      <x:c r="H126" s="111"/>
      <x:c r="I126" s="111"/>
      <x:c r="J126" s="111"/>
      <x:c r="K126" s="111"/>
      <x:c r="L126" s="111"/>
      <x:c r="M126" s="111"/>
      <x:c r="N126" s="111"/>
      <x:c r="O126" s="111"/>
      <x:c r="P126" s="111"/>
      <x:c r="Q126" s="111"/>
      <x:c r="R126" s="111"/>
      <x:c r="S126" s="111"/>
      <x:c r="T126" s="111"/>
    </x:row>
    <x:row r="127">
      <x:c r="A127" s="111"/>
      <x:c r="B127" s="111"/>
      <x:c r="C127" s="111"/>
      <x:c r="D127" s="111"/>
      <x:c r="E127" s="111"/>
      <x:c r="F127" s="111"/>
      <x:c r="G127" s="111"/>
      <x:c r="H127" s="111"/>
      <x:c r="I127" s="111"/>
      <x:c r="J127" s="111"/>
      <x:c r="K127" s="111"/>
      <x:c r="L127" s="111"/>
      <x:c r="M127" s="111"/>
      <x:c r="N127" s="111"/>
      <x:c r="O127" s="111"/>
      <x:c r="P127" s="111"/>
      <x:c r="Q127" s="111"/>
      <x:c r="R127" s="111"/>
      <x:c r="S127" s="111"/>
      <x:c r="T127" s="111"/>
    </x:row>
    <x:row r="128">
      <x:c r="A128" s="111"/>
      <x:c r="B128" s="111"/>
      <x:c r="C128" s="111"/>
      <x:c r="D128" s="111"/>
      <x:c r="E128" s="111"/>
      <x:c r="F128" s="111"/>
      <x:c r="G128" s="111"/>
      <x:c r="H128" s="111"/>
      <x:c r="I128" s="111"/>
      <x:c r="J128" s="111"/>
      <x:c r="K128" s="111"/>
      <x:c r="L128" s="111"/>
      <x:c r="M128" s="111"/>
      <x:c r="N128" s="111"/>
      <x:c r="O128" s="111"/>
      <x:c r="P128" s="111"/>
      <x:c r="Q128" s="111"/>
      <x:c r="R128" s="111"/>
      <x:c r="S128" s="111"/>
      <x:c r="T128" s="111"/>
    </x:row>
    <x:row r="129">
      <x:c r="A129" s="111"/>
      <x:c r="B129" s="111"/>
      <x:c r="C129" s="111"/>
      <x:c r="D129" s="111"/>
      <x:c r="E129" s="111"/>
      <x:c r="F129" s="111"/>
      <x:c r="G129" s="111"/>
      <x:c r="H129" s="111"/>
      <x:c r="I129" s="111"/>
      <x:c r="J129" s="111"/>
      <x:c r="K129" s="111"/>
      <x:c r="L129" s="111"/>
      <x:c r="M129" s="111"/>
      <x:c r="N129" s="111"/>
      <x:c r="O129" s="111"/>
      <x:c r="P129" s="111"/>
      <x:c r="Q129" s="111"/>
      <x:c r="R129" s="111"/>
      <x:c r="S129" s="111"/>
      <x:c r="T129" s="111"/>
    </x:row>
    <x:row r="130">
      <x:c r="A130" s="111"/>
      <x:c r="B130" s="111"/>
      <x:c r="C130" s="111"/>
      <x:c r="D130" s="111"/>
      <x:c r="E130" s="111"/>
      <x:c r="F130" s="111"/>
      <x:c r="G130" s="111"/>
      <x:c r="H130" s="111"/>
      <x:c r="I130" s="111"/>
      <x:c r="J130" s="111"/>
      <x:c r="K130" s="111"/>
      <x:c r="L130" s="111"/>
      <x:c r="M130" s="111"/>
      <x:c r="N130" s="111"/>
      <x:c r="O130" s="111"/>
      <x:c r="P130" s="111"/>
      <x:c r="Q130" s="111"/>
      <x:c r="R130" s="111"/>
      <x:c r="S130" s="111"/>
      <x:c r="T130" s="111"/>
    </x:row>
    <x:row r="131">
      <x:c r="A131" s="111"/>
      <x:c r="B131" s="111"/>
      <x:c r="C131" s="111"/>
      <x:c r="D131" s="111"/>
      <x:c r="E131" s="111"/>
      <x:c r="F131" s="111"/>
      <x:c r="G131" s="111"/>
      <x:c r="H131" s="111"/>
      <x:c r="I131" s="111"/>
      <x:c r="J131" s="111"/>
      <x:c r="K131" s="111"/>
      <x:c r="L131" s="111"/>
      <x:c r="M131" s="111"/>
      <x:c r="N131" s="111"/>
      <x:c r="O131" s="111"/>
      <x:c r="P131" s="111"/>
      <x:c r="Q131" s="111"/>
      <x:c r="R131" s="111"/>
      <x:c r="S131" s="111"/>
      <x:c r="T131" s="111"/>
    </x:row>
    <x:row r="132">
      <x:c r="A132" s="111"/>
      <x:c r="B132" s="111"/>
      <x:c r="C132" s="111"/>
      <x:c r="D132" s="111"/>
      <x:c r="E132" s="111"/>
      <x:c r="F132" s="111"/>
      <x:c r="G132" s="111"/>
      <x:c r="H132" s="111"/>
      <x:c r="I132" s="111"/>
      <x:c r="J132" s="111"/>
      <x:c r="K132" s="111"/>
      <x:c r="L132" s="111"/>
      <x:c r="M132" s="111"/>
      <x:c r="N132" s="111"/>
      <x:c r="O132" s="111"/>
      <x:c r="P132" s="111"/>
      <x:c r="Q132" s="111"/>
      <x:c r="R132" s="111"/>
      <x:c r="S132" s="111"/>
      <x:c r="T132" s="111"/>
    </x:row>
    <x:row r="133">
      <x:c r="A133" s="111"/>
      <x:c r="B133" s="111"/>
      <x:c r="C133" s="111"/>
      <x:c r="D133" s="111"/>
      <x:c r="E133" s="111"/>
      <x:c r="F133" s="111"/>
      <x:c r="G133" s="111"/>
      <x:c r="H133" s="111"/>
      <x:c r="I133" s="111"/>
      <x:c r="J133" s="111"/>
      <x:c r="K133" s="111"/>
      <x:c r="L133" s="111"/>
      <x:c r="M133" s="111"/>
      <x:c r="N133" s="111"/>
      <x:c r="O133" s="111"/>
      <x:c r="P133" s="111"/>
      <x:c r="Q133" s="111"/>
      <x:c r="R133" s="111"/>
      <x:c r="S133" s="111"/>
      <x:c r="T133" s="111"/>
    </x:row>
    <x:row r="134">
      <x:c r="A134" s="111"/>
      <x:c r="B134" s="111"/>
      <x:c r="C134" s="111"/>
      <x:c r="D134" s="111"/>
      <x:c r="E134" s="111"/>
      <x:c r="F134" s="111"/>
      <x:c r="G134" s="111"/>
      <x:c r="H134" s="111"/>
      <x:c r="I134" s="111"/>
      <x:c r="J134" s="111"/>
      <x:c r="K134" s="111"/>
      <x:c r="L134" s="111"/>
      <x:c r="M134" s="111"/>
      <x:c r="N134" s="111"/>
      <x:c r="O134" s="111"/>
      <x:c r="P134" s="111"/>
      <x:c r="Q134" s="111"/>
      <x:c r="R134" s="111"/>
      <x:c r="S134" s="111"/>
      <x:c r="T134" s="111"/>
    </x:row>
    <x:row r="135">
      <x:c r="A135" s="111"/>
      <x:c r="B135" s="111"/>
      <x:c r="C135" s="111"/>
      <x:c r="D135" s="111"/>
      <x:c r="E135" s="111"/>
      <x:c r="F135" s="111"/>
      <x:c r="G135" s="111"/>
      <x:c r="H135" s="111"/>
      <x:c r="I135" s="111"/>
      <x:c r="J135" s="111"/>
      <x:c r="K135" s="111"/>
      <x:c r="L135" s="111"/>
      <x:c r="M135" s="111"/>
      <x:c r="N135" s="111"/>
      <x:c r="O135" s="111"/>
      <x:c r="P135" s="111"/>
      <x:c r="Q135" s="111"/>
      <x:c r="R135" s="111"/>
      <x:c r="S135" s="111"/>
      <x:c r="T135" s="111"/>
    </x:row>
    <x:row r="136">
      <x:c r="A136" s="111"/>
      <x:c r="B136" s="111"/>
      <x:c r="C136" s="111"/>
      <x:c r="D136" s="111"/>
      <x:c r="E136" s="111"/>
      <x:c r="F136" s="111"/>
      <x:c r="G136" s="111"/>
      <x:c r="H136" s="111"/>
      <x:c r="I136" s="111"/>
      <x:c r="J136" s="111"/>
      <x:c r="K136" s="111"/>
      <x:c r="L136" s="111"/>
      <x:c r="M136" s="111"/>
      <x:c r="N136" s="111"/>
      <x:c r="O136" s="111"/>
      <x:c r="P136" s="111"/>
      <x:c r="Q136" s="111"/>
      <x:c r="R136" s="111"/>
      <x:c r="S136" s="111"/>
      <x:c r="T136" s="111"/>
    </x:row>
    <x:row r="137">
      <x:c r="A137" s="111"/>
      <x:c r="B137" s="111"/>
      <x:c r="C137" s="111"/>
      <x:c r="D137" s="111"/>
      <x:c r="E137" s="111"/>
      <x:c r="F137" s="111"/>
      <x:c r="G137" s="111"/>
      <x:c r="H137" s="111"/>
      <x:c r="I137" s="111"/>
      <x:c r="J137" s="111"/>
      <x:c r="K137" s="111"/>
      <x:c r="L137" s="111"/>
      <x:c r="M137" s="111"/>
      <x:c r="N137" s="111"/>
      <x:c r="O137" s="111"/>
      <x:c r="P137" s="111"/>
      <x:c r="Q137" s="111"/>
      <x:c r="R137" s="111"/>
      <x:c r="S137" s="111"/>
      <x:c r="T137" s="111"/>
    </x:row>
    <x:row r="138">
      <x:c r="A138" s="111"/>
      <x:c r="B138" s="111"/>
      <x:c r="C138" s="111"/>
      <x:c r="D138" s="111"/>
      <x:c r="E138" s="111"/>
      <x:c r="F138" s="111"/>
      <x:c r="G138" s="111"/>
      <x:c r="H138" s="111"/>
      <x:c r="I138" s="111"/>
      <x:c r="J138" s="111"/>
      <x:c r="K138" s="111"/>
      <x:c r="L138" s="111"/>
      <x:c r="M138" s="111"/>
      <x:c r="N138" s="111"/>
      <x:c r="O138" s="111"/>
      <x:c r="P138" s="111"/>
      <x:c r="Q138" s="111"/>
      <x:c r="R138" s="111"/>
      <x:c r="S138" s="111"/>
      <x:c r="T138" s="111"/>
    </x:row>
    <x:row r="139">
      <x:c r="A139" s="111"/>
      <x:c r="B139" s="111"/>
      <x:c r="C139" s="111"/>
      <x:c r="D139" s="111"/>
      <x:c r="E139" s="111"/>
      <x:c r="F139" s="111"/>
      <x:c r="G139" s="111"/>
      <x:c r="H139" s="111"/>
      <x:c r="I139" s="111"/>
      <x:c r="J139" s="111"/>
      <x:c r="K139" s="111"/>
      <x:c r="L139" s="111"/>
      <x:c r="M139" s="111"/>
      <x:c r="N139" s="111"/>
      <x:c r="O139" s="111"/>
      <x:c r="P139" s="111"/>
      <x:c r="Q139" s="111"/>
      <x:c r="R139" s="111"/>
      <x:c r="S139" s="111"/>
      <x:c r="T139" s="111"/>
    </x:row>
    <x:row r="140">
      <x:c r="A140" s="111"/>
      <x:c r="B140" s="111"/>
      <x:c r="C140" s="111"/>
      <x:c r="D140" s="111"/>
      <x:c r="E140" s="111"/>
      <x:c r="F140" s="111"/>
      <x:c r="G140" s="111"/>
      <x:c r="H140" s="111"/>
      <x:c r="I140" s="111"/>
      <x:c r="J140" s="111"/>
      <x:c r="K140" s="111"/>
      <x:c r="L140" s="111"/>
      <x:c r="M140" s="111"/>
      <x:c r="N140" s="111"/>
      <x:c r="O140" s="111"/>
      <x:c r="P140" s="111"/>
      <x:c r="Q140" s="111"/>
      <x:c r="R140" s="111"/>
      <x:c r="S140" s="111"/>
      <x:c r="T140" s="111"/>
    </x:row>
    <x:row r="141">
      <x:c r="A141" s="111"/>
      <x:c r="B141" s="111"/>
      <x:c r="C141" s="111"/>
      <x:c r="D141" s="111"/>
      <x:c r="E141" s="111"/>
      <x:c r="F141" s="111"/>
      <x:c r="G141" s="111"/>
      <x:c r="H141" s="111"/>
      <x:c r="I141" s="111"/>
      <x:c r="J141" s="111"/>
      <x:c r="K141" s="111"/>
      <x:c r="L141" s="111"/>
      <x:c r="M141" s="111"/>
      <x:c r="N141" s="111"/>
      <x:c r="O141" s="111"/>
      <x:c r="P141" s="111"/>
      <x:c r="Q141" s="111"/>
      <x:c r="R141" s="111"/>
      <x:c r="S141" s="111"/>
      <x:c r="T141" s="111"/>
    </x:row>
    <x:row r="142">
      <x:c r="A142" s="111"/>
      <x:c r="B142" s="111"/>
      <x:c r="C142" s="111"/>
      <x:c r="D142" s="111"/>
      <x:c r="E142" s="111"/>
      <x:c r="F142" s="111"/>
      <x:c r="G142" s="111"/>
      <x:c r="H142" s="111"/>
      <x:c r="I142" s="111"/>
      <x:c r="J142" s="111"/>
      <x:c r="K142" s="111"/>
      <x:c r="L142" s="111"/>
      <x:c r="M142" s="111"/>
      <x:c r="N142" s="111"/>
      <x:c r="O142" s="111"/>
      <x:c r="P142" s="111"/>
      <x:c r="Q142" s="111"/>
      <x:c r="R142" s="111"/>
      <x:c r="S142" s="111"/>
      <x:c r="T142" s="111"/>
    </x:row>
    <x:row r="143">
      <x:c r="A143" s="111"/>
      <x:c r="B143" s="111"/>
      <x:c r="C143" s="111"/>
      <x:c r="D143" s="111"/>
      <x:c r="E143" s="111"/>
      <x:c r="F143" s="111"/>
      <x:c r="G143" s="111"/>
      <x:c r="H143" s="111"/>
      <x:c r="I143" s="111"/>
      <x:c r="J143" s="111"/>
      <x:c r="K143" s="111"/>
      <x:c r="L143" s="111"/>
      <x:c r="M143" s="111"/>
      <x:c r="N143" s="111"/>
      <x:c r="O143" s="111"/>
      <x:c r="P143" s="111"/>
      <x:c r="Q143" s="111"/>
      <x:c r="R143" s="111"/>
      <x:c r="S143" s="111"/>
      <x:c r="T143" s="111"/>
    </x:row>
    <x:row r="144">
      <x:c r="A144" s="111"/>
      <x:c r="B144" s="111"/>
      <x:c r="C144" s="111"/>
      <x:c r="D144" s="111"/>
      <x:c r="E144" s="111"/>
      <x:c r="F144" s="111"/>
      <x:c r="G144" s="111"/>
      <x:c r="H144" s="111"/>
      <x:c r="I144" s="111"/>
      <x:c r="J144" s="111"/>
      <x:c r="K144" s="111"/>
      <x:c r="L144" s="111"/>
      <x:c r="M144" s="111"/>
      <x:c r="N144" s="111"/>
      <x:c r="O144" s="111"/>
      <x:c r="P144" s="111"/>
      <x:c r="Q144" s="111"/>
      <x:c r="R144" s="111"/>
      <x:c r="S144" s="111"/>
      <x:c r="T144" s="111"/>
    </x:row>
    <x:row r="145">
      <x:c r="A145" s="111"/>
      <x:c r="B145" s="111"/>
      <x:c r="C145" s="111"/>
      <x:c r="D145" s="111"/>
      <x:c r="E145" s="111"/>
      <x:c r="F145" s="111"/>
      <x:c r="G145" s="111"/>
      <x:c r="H145" s="111"/>
      <x:c r="I145" s="111"/>
      <x:c r="J145" s="111"/>
      <x:c r="K145" s="111"/>
      <x:c r="L145" s="111"/>
      <x:c r="M145" s="111"/>
      <x:c r="N145" s="111"/>
      <x:c r="O145" s="111"/>
      <x:c r="P145" s="111"/>
      <x:c r="Q145" s="111"/>
      <x:c r="R145" s="111"/>
      <x:c r="S145" s="111"/>
      <x:c r="T145" s="111"/>
    </x:row>
    <x:row r="146">
      <x:c r="A146" s="111"/>
      <x:c r="B146" s="111"/>
      <x:c r="C146" s="111"/>
      <x:c r="D146" s="111"/>
      <x:c r="E146" s="111"/>
      <x:c r="F146" s="111"/>
      <x:c r="G146" s="111"/>
      <x:c r="H146" s="111"/>
      <x:c r="I146" s="111"/>
      <x:c r="J146" s="111"/>
      <x:c r="K146" s="111"/>
      <x:c r="L146" s="111"/>
      <x:c r="M146" s="111"/>
      <x:c r="N146" s="111"/>
      <x:c r="O146" s="111"/>
      <x:c r="P146" s="111"/>
      <x:c r="Q146" s="111"/>
      <x:c r="R146" s="111"/>
      <x:c r="S146" s="111"/>
      <x:c r="T146" s="111"/>
    </x:row>
    <x:row r="147">
      <x:c r="A147" s="111"/>
      <x:c r="B147" s="111"/>
      <x:c r="C147" s="111"/>
      <x:c r="D147" s="111"/>
      <x:c r="E147" s="111"/>
      <x:c r="F147" s="111"/>
      <x:c r="G147" s="111"/>
      <x:c r="H147" s="111"/>
      <x:c r="I147" s="111"/>
      <x:c r="J147" s="111"/>
      <x:c r="K147" s="111"/>
      <x:c r="L147" s="111"/>
      <x:c r="M147" s="111"/>
      <x:c r="N147" s="111"/>
      <x:c r="O147" s="111"/>
      <x:c r="P147" s="111"/>
      <x:c r="Q147" s="111"/>
      <x:c r="R147" s="111"/>
      <x:c r="S147" s="111"/>
      <x:c r="T147" s="111"/>
    </x:row>
    <x:row r="148">
      <x:c r="A148" s="111"/>
      <x:c r="B148" s="111"/>
      <x:c r="C148" s="111"/>
      <x:c r="D148" s="111"/>
      <x:c r="E148" s="111"/>
      <x:c r="F148" s="111"/>
      <x:c r="G148" s="111"/>
      <x:c r="H148" s="111"/>
      <x:c r="I148" s="111"/>
      <x:c r="J148" s="111"/>
      <x:c r="K148" s="111"/>
      <x:c r="L148" s="111"/>
      <x:c r="M148" s="111"/>
      <x:c r="N148" s="111"/>
      <x:c r="O148" s="111"/>
      <x:c r="P148" s="111"/>
      <x:c r="Q148" s="111"/>
      <x:c r="R148" s="111"/>
      <x:c r="S148" s="111"/>
      <x:c r="T148" s="111"/>
    </x:row>
    <x:row r="149">
      <x:c r="A149" s="111"/>
      <x:c r="B149" s="111"/>
      <x:c r="C149" s="111"/>
      <x:c r="D149" s="111"/>
      <x:c r="E149" s="111"/>
      <x:c r="F149" s="111"/>
      <x:c r="G149" s="111"/>
      <x:c r="H149" s="111"/>
      <x:c r="I149" s="111"/>
      <x:c r="J149" s="111"/>
      <x:c r="K149" s="111"/>
      <x:c r="L149" s="111"/>
      <x:c r="M149" s="111"/>
      <x:c r="N149" s="111"/>
      <x:c r="O149" s="111"/>
      <x:c r="P149" s="111"/>
      <x:c r="Q149" s="111"/>
      <x:c r="R149" s="111"/>
      <x:c r="S149" s="111"/>
      <x:c r="T149" s="111"/>
    </x:row>
    <x:row r="150">
      <x:c r="A150" s="111"/>
      <x:c r="B150" s="111"/>
      <x:c r="C150" s="111"/>
      <x:c r="D150" s="111"/>
      <x:c r="E150" s="111"/>
      <x:c r="F150" s="111"/>
      <x:c r="G150" s="111"/>
      <x:c r="H150" s="111"/>
      <x:c r="I150" s="111"/>
      <x:c r="J150" s="111"/>
      <x:c r="K150" s="111"/>
      <x:c r="L150" s="111"/>
      <x:c r="M150" s="111"/>
      <x:c r="N150" s="111"/>
      <x:c r="O150" s="111"/>
      <x:c r="P150" s="111"/>
      <x:c r="Q150" s="111"/>
      <x:c r="R150" s="111"/>
      <x:c r="S150" s="111"/>
      <x:c r="T150" s="111"/>
    </x:row>
    <x:row r="151">
      <x:c r="A151" s="111"/>
      <x:c r="B151" s="111"/>
      <x:c r="C151" s="111"/>
      <x:c r="D151" s="111"/>
      <x:c r="E151" s="111"/>
      <x:c r="F151" s="111"/>
      <x:c r="G151" s="111"/>
      <x:c r="H151" s="111"/>
      <x:c r="I151" s="111"/>
      <x:c r="J151" s="111"/>
      <x:c r="K151" s="111"/>
      <x:c r="L151" s="111"/>
      <x:c r="M151" s="111"/>
      <x:c r="N151" s="111"/>
      <x:c r="O151" s="111"/>
      <x:c r="P151" s="111"/>
      <x:c r="Q151" s="111"/>
      <x:c r="R151" s="111"/>
      <x:c r="S151" s="111"/>
      <x:c r="T151" s="111"/>
    </x:row>
    <x:row r="152">
      <x:c r="A152" s="111"/>
      <x:c r="B152" s="111"/>
      <x:c r="C152" s="111"/>
      <x:c r="D152" s="111"/>
      <x:c r="E152" s="111"/>
      <x:c r="F152" s="111"/>
      <x:c r="G152" s="111"/>
      <x:c r="H152" s="111"/>
      <x:c r="I152" s="111"/>
      <x:c r="J152" s="111"/>
      <x:c r="K152" s="111"/>
      <x:c r="L152" s="111"/>
      <x:c r="M152" s="111"/>
      <x:c r="N152" s="111"/>
      <x:c r="O152" s="111"/>
      <x:c r="P152" s="111"/>
      <x:c r="Q152" s="111"/>
      <x:c r="R152" s="111"/>
      <x:c r="S152" s="111"/>
      <x:c r="T152" s="111"/>
    </x:row>
    <x:row r="153">
      <x:c r="A153" s="111"/>
      <x:c r="B153" s="111"/>
      <x:c r="C153" s="111"/>
      <x:c r="D153" s="111"/>
      <x:c r="E153" s="111"/>
      <x:c r="F153" s="111"/>
      <x:c r="G153" s="111"/>
      <x:c r="H153" s="111"/>
      <x:c r="I153" s="111"/>
      <x:c r="J153" s="111"/>
      <x:c r="K153" s="111"/>
      <x:c r="L153" s="111"/>
      <x:c r="M153" s="111"/>
      <x:c r="N153" s="111"/>
      <x:c r="O153" s="111"/>
      <x:c r="P153" s="111"/>
      <x:c r="Q153" s="111"/>
      <x:c r="R153" s="111"/>
      <x:c r="S153" s="111"/>
      <x:c r="T153" s="111"/>
    </x:row>
    <x:row r="154">
      <x:c r="A154" s="111"/>
      <x:c r="B154" s="111"/>
      <x:c r="C154" s="111"/>
      <x:c r="D154" s="111"/>
      <x:c r="E154" s="111"/>
      <x:c r="F154" s="111"/>
      <x:c r="G154" s="111"/>
      <x:c r="H154" s="111"/>
      <x:c r="I154" s="111"/>
      <x:c r="J154" s="111"/>
      <x:c r="K154" s="111"/>
      <x:c r="L154" s="111"/>
      <x:c r="M154" s="111"/>
      <x:c r="N154" s="111"/>
      <x:c r="O154" s="111"/>
      <x:c r="P154" s="111"/>
      <x:c r="Q154" s="111"/>
      <x:c r="R154" s="111"/>
      <x:c r="S154" s="111"/>
      <x:c r="T154" s="111"/>
    </x:row>
    <x:row r="155">
      <x:c r="A155" s="111"/>
      <x:c r="B155" s="111"/>
      <x:c r="C155" s="111"/>
      <x:c r="D155" s="111"/>
      <x:c r="E155" s="111"/>
      <x:c r="F155" s="111"/>
      <x:c r="G155" s="111"/>
      <x:c r="H155" s="111"/>
      <x:c r="I155" s="111"/>
      <x:c r="J155" s="111"/>
      <x:c r="K155" s="111"/>
      <x:c r="L155" s="111"/>
      <x:c r="M155" s="111"/>
      <x:c r="N155" s="111"/>
      <x:c r="O155" s="111"/>
      <x:c r="P155" s="111"/>
      <x:c r="Q155" s="111"/>
      <x:c r="R155" s="111"/>
      <x:c r="S155" s="111"/>
      <x:c r="T155" s="111"/>
    </x:row>
    <x:row r="156">
      <x:c r="A156" s="111"/>
      <x:c r="B156" s="111"/>
      <x:c r="C156" s="111"/>
      <x:c r="D156" s="111"/>
      <x:c r="E156" s="111"/>
      <x:c r="F156" s="111"/>
      <x:c r="G156" s="111"/>
      <x:c r="H156" s="111"/>
      <x:c r="I156" s="111"/>
      <x:c r="J156" s="111"/>
      <x:c r="K156" s="111"/>
      <x:c r="L156" s="111"/>
      <x:c r="M156" s="111"/>
      <x:c r="N156" s="111"/>
      <x:c r="O156" s="111"/>
      <x:c r="P156" s="111"/>
      <x:c r="Q156" s="111"/>
      <x:c r="R156" s="111"/>
      <x:c r="S156" s="111"/>
      <x:c r="T156" s="111"/>
    </x:row>
    <x:row r="157">
      <x:c r="A157" s="111"/>
      <x:c r="B157" s="111"/>
      <x:c r="C157" s="111"/>
      <x:c r="D157" s="111"/>
      <x:c r="E157" s="111"/>
      <x:c r="F157" s="111"/>
      <x:c r="G157" s="111"/>
      <x:c r="H157" s="111"/>
      <x:c r="I157" s="111"/>
      <x:c r="J157" s="111"/>
      <x:c r="K157" s="111"/>
      <x:c r="L157" s="111"/>
      <x:c r="M157" s="111"/>
      <x:c r="N157" s="111"/>
      <x:c r="O157" s="111"/>
      <x:c r="P157" s="111"/>
      <x:c r="Q157" s="111"/>
      <x:c r="R157" s="111"/>
      <x:c r="S157" s="111"/>
      <x:c r="T157" s="111"/>
    </x:row>
    <x:row r="158">
      <x:c r="A158" s="111"/>
      <x:c r="B158" s="111"/>
      <x:c r="C158" s="111"/>
      <x:c r="D158" s="111"/>
      <x:c r="E158" s="111"/>
      <x:c r="F158" s="111"/>
      <x:c r="G158" s="111"/>
      <x:c r="H158" s="111"/>
      <x:c r="I158" s="111"/>
      <x:c r="J158" s="111"/>
      <x:c r="K158" s="111"/>
      <x:c r="L158" s="111"/>
      <x:c r="M158" s="111"/>
      <x:c r="N158" s="111"/>
      <x:c r="O158" s="111"/>
      <x:c r="P158" s="111"/>
      <x:c r="Q158" s="111"/>
      <x:c r="R158" s="111"/>
      <x:c r="S158" s="111"/>
      <x:c r="T158" s="111"/>
    </x:row>
    <x:row r="159">
      <x:c r="A159" s="111"/>
      <x:c r="B159" s="111"/>
      <x:c r="C159" s="111"/>
      <x:c r="D159" s="111"/>
      <x:c r="E159" s="111"/>
      <x:c r="F159" s="111"/>
      <x:c r="G159" s="111"/>
      <x:c r="H159" s="111"/>
      <x:c r="I159" s="111"/>
      <x:c r="J159" s="111"/>
      <x:c r="K159" s="111"/>
      <x:c r="L159" s="111"/>
      <x:c r="M159" s="111"/>
      <x:c r="N159" s="111"/>
      <x:c r="O159" s="111"/>
      <x:c r="P159" s="111"/>
      <x:c r="Q159" s="111"/>
      <x:c r="R159" s="111"/>
      <x:c r="S159" s="111"/>
      <x:c r="T159" s="111"/>
    </x:row>
    <x:row r="160">
      <x:c r="A160" s="111"/>
      <x:c r="B160" s="111"/>
      <x:c r="C160" s="111"/>
      <x:c r="D160" s="111"/>
      <x:c r="E160" s="111"/>
      <x:c r="F160" s="111"/>
      <x:c r="G160" s="111"/>
      <x:c r="H160" s="111"/>
      <x:c r="I160" s="111"/>
      <x:c r="J160" s="111"/>
      <x:c r="K160" s="111"/>
      <x:c r="L160" s="111"/>
      <x:c r="M160" s="111"/>
      <x:c r="N160" s="111"/>
      <x:c r="O160" s="111"/>
      <x:c r="P160" s="111"/>
      <x:c r="Q160" s="111"/>
      <x:c r="R160" s="111"/>
      <x:c r="S160" s="111"/>
      <x:c r="T160" s="111"/>
    </x:row>
    <x:row r="161">
      <x:c r="A161" s="111"/>
      <x:c r="B161" s="111"/>
      <x:c r="C161" s="111"/>
      <x:c r="D161" s="111"/>
      <x:c r="E161" s="111"/>
      <x:c r="F161" s="111"/>
      <x:c r="G161" s="111"/>
      <x:c r="H161" s="111"/>
      <x:c r="I161" s="111"/>
      <x:c r="J161" s="111"/>
      <x:c r="K161" s="111"/>
      <x:c r="L161" s="111"/>
      <x:c r="M161" s="111"/>
      <x:c r="N161" s="111"/>
      <x:c r="O161" s="111"/>
      <x:c r="P161" s="111"/>
      <x:c r="Q161" s="111"/>
      <x:c r="R161" s="111"/>
      <x:c r="S161" s="111"/>
      <x:c r="T161" s="111"/>
    </x:row>
    <x:row r="162">
      <x:c r="A162" s="111"/>
      <x:c r="B162" s="111"/>
      <x:c r="C162" s="111"/>
      <x:c r="D162" s="111"/>
      <x:c r="E162" s="111"/>
      <x:c r="F162" s="111"/>
      <x:c r="G162" s="111"/>
      <x:c r="H162" s="111"/>
      <x:c r="I162" s="111"/>
      <x:c r="J162" s="111"/>
      <x:c r="K162" s="111"/>
      <x:c r="L162" s="111"/>
      <x:c r="M162" s="111"/>
      <x:c r="N162" s="111"/>
      <x:c r="O162" s="111"/>
      <x:c r="P162" s="111"/>
      <x:c r="Q162" s="111"/>
      <x:c r="R162" s="111"/>
      <x:c r="S162" s="111"/>
      <x:c r="T162" s="111"/>
    </x:row>
    <x:row r="163">
      <x:c r="A163" s="111"/>
      <x:c r="B163" s="111"/>
      <x:c r="C163" s="111"/>
      <x:c r="D163" s="111"/>
      <x:c r="E163" s="111"/>
      <x:c r="F163" s="111"/>
      <x:c r="G163" s="111"/>
      <x:c r="H163" s="111"/>
      <x:c r="I163" s="111"/>
      <x:c r="J163" s="111"/>
      <x:c r="K163" s="111"/>
      <x:c r="L163" s="111"/>
      <x:c r="M163" s="111"/>
      <x:c r="N163" s="111"/>
      <x:c r="O163" s="111"/>
      <x:c r="P163" s="111"/>
      <x:c r="Q163" s="111"/>
      <x:c r="R163" s="111"/>
      <x:c r="S163" s="111"/>
      <x:c r="T163" s="111"/>
    </x:row>
    <x:row r="164">
      <x:c r="A164" s="111"/>
      <x:c r="B164" s="111"/>
      <x:c r="C164" s="111"/>
      <x:c r="D164" s="111"/>
      <x:c r="E164" s="111"/>
      <x:c r="F164" s="111"/>
      <x:c r="G164" s="111"/>
      <x:c r="H164" s="111"/>
      <x:c r="I164" s="111"/>
      <x:c r="J164" s="111"/>
      <x:c r="K164" s="111"/>
      <x:c r="L164" s="111"/>
      <x:c r="M164" s="111"/>
      <x:c r="N164" s="111"/>
      <x:c r="O164" s="111"/>
      <x:c r="P164" s="111"/>
      <x:c r="Q164" s="111"/>
      <x:c r="R164" s="111"/>
      <x:c r="S164" s="111"/>
      <x:c r="T164" s="111"/>
    </x:row>
    <x:row r="165">
      <x:c r="A165" s="111"/>
      <x:c r="B165" s="111"/>
      <x:c r="C165" s="111"/>
      <x:c r="D165" s="111"/>
      <x:c r="E165" s="111"/>
      <x:c r="F165" s="111"/>
      <x:c r="G165" s="111"/>
      <x:c r="H165" s="111"/>
      <x:c r="I165" s="111"/>
      <x:c r="J165" s="111"/>
      <x:c r="K165" s="111"/>
      <x:c r="L165" s="111"/>
      <x:c r="M165" s="111"/>
      <x:c r="N165" s="111"/>
      <x:c r="O165" s="111"/>
      <x:c r="P165" s="111"/>
      <x:c r="Q165" s="111"/>
      <x:c r="R165" s="111"/>
      <x:c r="S165" s="111"/>
      <x:c r="T165" s="111"/>
    </x:row>
    <x:row r="166">
      <x:c r="A166" s="111"/>
      <x:c r="B166" s="111"/>
      <x:c r="C166" s="111"/>
      <x:c r="D166" s="111"/>
      <x:c r="E166" s="111"/>
      <x:c r="F166" s="111"/>
      <x:c r="G166" s="111"/>
      <x:c r="H166" s="111"/>
      <x:c r="I166" s="111"/>
      <x:c r="J166" s="111"/>
      <x:c r="K166" s="111"/>
      <x:c r="L166" s="111"/>
      <x:c r="M166" s="111"/>
      <x:c r="N166" s="111"/>
      <x:c r="O166" s="111"/>
      <x:c r="P166" s="111"/>
      <x:c r="Q166" s="111"/>
      <x:c r="R166" s="111"/>
      <x:c r="S166" s="111"/>
      <x:c r="T166" s="111"/>
    </x:row>
    <x:row r="167">
      <x:c r="A167" s="111"/>
      <x:c r="B167" s="111"/>
      <x:c r="C167" s="111"/>
      <x:c r="D167" s="111"/>
      <x:c r="E167" s="111"/>
      <x:c r="F167" s="111"/>
      <x:c r="G167" s="111"/>
      <x:c r="H167" s="111"/>
      <x:c r="I167" s="111"/>
      <x:c r="J167" s="111"/>
      <x:c r="K167" s="111"/>
      <x:c r="L167" s="111"/>
      <x:c r="M167" s="111"/>
      <x:c r="N167" s="111"/>
      <x:c r="O167" s="111"/>
      <x:c r="P167" s="111"/>
      <x:c r="Q167" s="111"/>
      <x:c r="R167" s="111"/>
      <x:c r="S167" s="111"/>
      <x:c r="T167" s="111"/>
    </x:row>
    <x:row r="168">
      <x:c r="A168" s="111"/>
      <x:c r="B168" s="111"/>
      <x:c r="C168" s="111"/>
      <x:c r="D168" s="111"/>
      <x:c r="E168" s="111"/>
      <x:c r="F168" s="111"/>
      <x:c r="G168" s="111"/>
      <x:c r="H168" s="111"/>
      <x:c r="I168" s="111"/>
      <x:c r="J168" s="111"/>
      <x:c r="K168" s="111"/>
      <x:c r="L168" s="111"/>
      <x:c r="M168" s="111"/>
      <x:c r="N168" s="111"/>
      <x:c r="O168" s="111"/>
      <x:c r="P168" s="111"/>
      <x:c r="Q168" s="111"/>
      <x:c r="R168" s="111"/>
      <x:c r="S168" s="111"/>
      <x:c r="T168" s="111"/>
    </x:row>
    <x:row r="169">
      <x:c r="A169" s="111"/>
      <x:c r="B169" s="111"/>
      <x:c r="C169" s="111"/>
      <x:c r="D169" s="111"/>
      <x:c r="E169" s="111"/>
      <x:c r="F169" s="111"/>
      <x:c r="G169" s="111"/>
      <x:c r="H169" s="111"/>
      <x:c r="I169" s="111"/>
      <x:c r="J169" s="111"/>
      <x:c r="K169" s="111"/>
      <x:c r="L169" s="111"/>
      <x:c r="M169" s="111"/>
      <x:c r="N169" s="111"/>
      <x:c r="O169" s="111"/>
      <x:c r="P169" s="111"/>
      <x:c r="Q169" s="111"/>
      <x:c r="R169" s="111"/>
      <x:c r="S169" s="111"/>
      <x:c r="T169" s="111"/>
    </x:row>
    <x:row r="170">
      <x:c r="A170" s="111"/>
      <x:c r="B170" s="111"/>
      <x:c r="C170" s="111"/>
      <x:c r="D170" s="111"/>
      <x:c r="E170" s="111"/>
      <x:c r="F170" s="111"/>
      <x:c r="G170" s="111"/>
      <x:c r="H170" s="111"/>
      <x:c r="I170" s="111"/>
      <x:c r="J170" s="111"/>
      <x:c r="K170" s="111"/>
      <x:c r="L170" s="111"/>
      <x:c r="M170" s="111"/>
      <x:c r="N170" s="111"/>
      <x:c r="O170" s="111"/>
      <x:c r="P170" s="111"/>
      <x:c r="Q170" s="111"/>
      <x:c r="R170" s="111"/>
      <x:c r="S170" s="111"/>
      <x:c r="T170" s="111"/>
    </x:row>
    <x:row r="171">
      <x:c r="A171" s="111"/>
      <x:c r="B171" s="111"/>
      <x:c r="C171" s="111"/>
      <x:c r="D171" s="111"/>
      <x:c r="E171" s="111"/>
      <x:c r="F171" s="111"/>
      <x:c r="G171" s="111"/>
      <x:c r="H171" s="111"/>
      <x:c r="I171" s="111"/>
      <x:c r="J171" s="111"/>
      <x:c r="K171" s="111"/>
      <x:c r="L171" s="111"/>
      <x:c r="M171" s="111"/>
      <x:c r="N171" s="111"/>
      <x:c r="O171" s="111"/>
      <x:c r="P171" s="111"/>
      <x:c r="Q171" s="111"/>
      <x:c r="R171" s="111"/>
      <x:c r="S171" s="111"/>
      <x:c r="T171" s="111"/>
    </x:row>
    <x:row r="172">
      <x:c r="A172" s="111"/>
      <x:c r="B172" s="111"/>
      <x:c r="C172" s="111"/>
      <x:c r="D172" s="111"/>
      <x:c r="E172" s="111"/>
      <x:c r="F172" s="111"/>
      <x:c r="G172" s="111"/>
      <x:c r="H172" s="111"/>
      <x:c r="I172" s="111"/>
      <x:c r="J172" s="111"/>
      <x:c r="K172" s="111"/>
      <x:c r="L172" s="111"/>
      <x:c r="M172" s="111"/>
      <x:c r="N172" s="111"/>
      <x:c r="O172" s="111"/>
      <x:c r="P172" s="111"/>
      <x:c r="Q172" s="111"/>
      <x:c r="R172" s="111"/>
      <x:c r="S172" s="111"/>
      <x:c r="T172" s="111"/>
    </x:row>
    <x:row r="173">
      <x:c r="A173" s="111"/>
      <x:c r="B173" s="111"/>
      <x:c r="C173" s="111"/>
      <x:c r="D173" s="111"/>
      <x:c r="E173" s="111"/>
      <x:c r="F173" s="111"/>
      <x:c r="G173" s="111"/>
      <x:c r="H173" s="111"/>
      <x:c r="I173" s="111"/>
      <x:c r="J173" s="111"/>
      <x:c r="K173" s="111"/>
      <x:c r="L173" s="111"/>
      <x:c r="M173" s="111"/>
      <x:c r="N173" s="111"/>
      <x:c r="O173" s="111"/>
      <x:c r="P173" s="111"/>
      <x:c r="Q173" s="111"/>
      <x:c r="R173" s="111"/>
      <x:c r="S173" s="111"/>
      <x:c r="T173" s="111"/>
    </x:row>
    <x:row r="174">
      <x:c r="A174" s="111"/>
      <x:c r="B174" s="111"/>
      <x:c r="C174" s="111"/>
      <x:c r="D174" s="111"/>
      <x:c r="E174" s="111"/>
      <x:c r="F174" s="111"/>
      <x:c r="G174" s="111"/>
      <x:c r="H174" s="111"/>
      <x:c r="I174" s="111"/>
      <x:c r="J174" s="111"/>
      <x:c r="K174" s="111"/>
      <x:c r="L174" s="111"/>
      <x:c r="M174" s="111"/>
      <x:c r="N174" s="111"/>
      <x:c r="O174" s="111"/>
      <x:c r="P174" s="111"/>
      <x:c r="Q174" s="111"/>
      <x:c r="R174" s="111"/>
      <x:c r="S174" s="111"/>
      <x:c r="T174" s="111"/>
    </x:row>
    <x:row r="175">
      <x:c r="A175" s="111"/>
      <x:c r="B175" s="111"/>
      <x:c r="C175" s="111"/>
      <x:c r="D175" s="111"/>
      <x:c r="E175" s="111"/>
      <x:c r="F175" s="111"/>
      <x:c r="G175" s="111"/>
      <x:c r="H175" s="111"/>
      <x:c r="I175" s="111"/>
      <x:c r="J175" s="111"/>
      <x:c r="K175" s="111"/>
      <x:c r="L175" s="111"/>
      <x:c r="M175" s="111"/>
      <x:c r="N175" s="111"/>
      <x:c r="O175" s="111"/>
      <x:c r="P175" s="111"/>
      <x:c r="Q175" s="111"/>
      <x:c r="R175" s="111"/>
      <x:c r="S175" s="111"/>
      <x:c r="T175" s="111"/>
    </x:row>
    <x:row r="176">
      <x:c r="A176" s="111"/>
      <x:c r="B176" s="111"/>
      <x:c r="C176" s="111"/>
      <x:c r="D176" s="111"/>
      <x:c r="E176" s="111"/>
      <x:c r="F176" s="111"/>
      <x:c r="G176" s="111"/>
      <x:c r="H176" s="111"/>
      <x:c r="I176" s="111"/>
      <x:c r="J176" s="111"/>
      <x:c r="K176" s="111"/>
      <x:c r="L176" s="111"/>
      <x:c r="M176" s="111"/>
      <x:c r="N176" s="111"/>
      <x:c r="O176" s="111"/>
      <x:c r="P176" s="111"/>
      <x:c r="Q176" s="111"/>
      <x:c r="R176" s="111"/>
      <x:c r="S176" s="111"/>
      <x:c r="T176" s="111"/>
    </x:row>
    <x:row r="177">
      <x:c r="A177" s="111"/>
      <x:c r="B177" s="111"/>
      <x:c r="C177" s="111"/>
      <x:c r="D177" s="111"/>
      <x:c r="E177" s="111"/>
      <x:c r="F177" s="111"/>
      <x:c r="G177" s="111"/>
      <x:c r="H177" s="111"/>
      <x:c r="I177" s="111"/>
      <x:c r="J177" s="111"/>
      <x:c r="K177" s="111"/>
      <x:c r="L177" s="111"/>
      <x:c r="M177" s="111"/>
      <x:c r="N177" s="111"/>
      <x:c r="O177" s="111"/>
      <x:c r="P177" s="111"/>
      <x:c r="Q177" s="111"/>
      <x:c r="R177" s="111"/>
      <x:c r="S177" s="111"/>
      <x:c r="T177" s="111"/>
    </x:row>
    <x:row r="178">
      <x:c r="A178" s="111"/>
      <x:c r="B178" s="111"/>
      <x:c r="C178" s="111"/>
      <x:c r="D178" s="111"/>
      <x:c r="E178" s="111"/>
      <x:c r="F178" s="111"/>
      <x:c r="G178" s="111"/>
      <x:c r="H178" s="111"/>
      <x:c r="I178" s="111"/>
      <x:c r="J178" s="111"/>
      <x:c r="K178" s="111"/>
      <x:c r="L178" s="111"/>
      <x:c r="M178" s="111"/>
      <x:c r="N178" s="111"/>
      <x:c r="O178" s="111"/>
      <x:c r="P178" s="111"/>
      <x:c r="Q178" s="111"/>
      <x:c r="R178" s="111"/>
      <x:c r="S178" s="111"/>
      <x:c r="T178" s="111"/>
    </x:row>
    <x:row r="179">
      <x:c r="A179" s="111"/>
      <x:c r="B179" s="111"/>
      <x:c r="C179" s="111"/>
      <x:c r="D179" s="111"/>
      <x:c r="E179" s="111"/>
      <x:c r="F179" s="111"/>
      <x:c r="G179" s="111"/>
      <x:c r="H179" s="111"/>
      <x:c r="I179" s="111"/>
      <x:c r="J179" s="111"/>
      <x:c r="K179" s="111"/>
      <x:c r="L179" s="111"/>
      <x:c r="M179" s="111"/>
      <x:c r="N179" s="111"/>
      <x:c r="O179" s="111"/>
      <x:c r="P179" s="111"/>
      <x:c r="Q179" s="111"/>
      <x:c r="R179" s="111"/>
      <x:c r="S179" s="111"/>
      <x:c r="T179" s="111"/>
    </x:row>
    <x:row r="180">
      <x:c r="A180" s="111"/>
      <x:c r="B180" s="111"/>
      <x:c r="C180" s="111"/>
      <x:c r="D180" s="111"/>
      <x:c r="E180" s="111"/>
      <x:c r="F180" s="111"/>
      <x:c r="G180" s="111"/>
      <x:c r="H180" s="111"/>
      <x:c r="I180" s="111"/>
      <x:c r="J180" s="111"/>
      <x:c r="K180" s="111"/>
      <x:c r="L180" s="111"/>
      <x:c r="M180" s="111"/>
      <x:c r="N180" s="111"/>
      <x:c r="O180" s="111"/>
      <x:c r="P180" s="111"/>
      <x:c r="Q180" s="111"/>
      <x:c r="R180" s="111"/>
      <x:c r="S180" s="111"/>
      <x:c r="T180" s="111"/>
    </x:row>
    <x:row r="181">
      <x:c r="A181" s="111"/>
      <x:c r="B181" s="111"/>
      <x:c r="C181" s="111"/>
      <x:c r="D181" s="111"/>
      <x:c r="E181" s="111"/>
      <x:c r="F181" s="111"/>
      <x:c r="G181" s="111"/>
      <x:c r="H181" s="111"/>
      <x:c r="I181" s="111"/>
      <x:c r="J181" s="111"/>
      <x:c r="K181" s="111"/>
      <x:c r="L181" s="111"/>
      <x:c r="M181" s="111"/>
      <x:c r="N181" s="111"/>
      <x:c r="O181" s="111"/>
      <x:c r="P181" s="111"/>
      <x:c r="Q181" s="111"/>
      <x:c r="R181" s="111"/>
      <x:c r="S181" s="111"/>
      <x:c r="T181" s="111"/>
    </x:row>
    <x:row r="182">
      <x:c r="A182" s="111"/>
      <x:c r="B182" s="111"/>
      <x:c r="C182" s="111"/>
      <x:c r="D182" s="111"/>
      <x:c r="E182" s="111"/>
      <x:c r="F182" s="111"/>
      <x:c r="G182" s="111"/>
      <x:c r="H182" s="111"/>
      <x:c r="I182" s="111"/>
      <x:c r="J182" s="111"/>
      <x:c r="K182" s="111"/>
      <x:c r="L182" s="111"/>
      <x:c r="M182" s="111"/>
      <x:c r="N182" s="111"/>
      <x:c r="O182" s="111"/>
      <x:c r="P182" s="111"/>
      <x:c r="Q182" s="111"/>
      <x:c r="R182" s="111"/>
      <x:c r="S182" s="111"/>
      <x:c r="T182" s="111"/>
    </x:row>
    <x:row r="183">
      <x:c r="A183" s="111"/>
      <x:c r="B183" s="111"/>
      <x:c r="C183" s="111"/>
      <x:c r="D183" s="111"/>
      <x:c r="E183" s="111"/>
      <x:c r="F183" s="111"/>
      <x:c r="G183" s="111"/>
      <x:c r="H183" s="111"/>
      <x:c r="I183" s="111"/>
      <x:c r="J183" s="111"/>
      <x:c r="K183" s="111"/>
      <x:c r="L183" s="111"/>
      <x:c r="M183" s="111"/>
      <x:c r="N183" s="111"/>
      <x:c r="O183" s="111"/>
      <x:c r="P183" s="111"/>
      <x:c r="Q183" s="111"/>
      <x:c r="R183" s="111"/>
      <x:c r="S183" s="111"/>
      <x:c r="T183" s="111"/>
    </x:row>
    <x:row r="184">
      <x:c r="A184" s="111"/>
      <x:c r="B184" s="111"/>
      <x:c r="C184" s="111"/>
      <x:c r="D184" s="111"/>
      <x:c r="E184" s="111"/>
      <x:c r="F184" s="111"/>
      <x:c r="G184" s="111"/>
      <x:c r="H184" s="111"/>
      <x:c r="I184" s="111"/>
      <x:c r="J184" s="111"/>
      <x:c r="K184" s="111"/>
      <x:c r="L184" s="111"/>
      <x:c r="M184" s="111"/>
      <x:c r="N184" s="111"/>
      <x:c r="O184" s="111"/>
      <x:c r="P184" s="111"/>
      <x:c r="Q184" s="111"/>
      <x:c r="R184" s="111"/>
      <x:c r="S184" s="111"/>
      <x:c r="T184" s="111"/>
    </x:row>
    <x:row r="185">
      <x:c r="A185" s="111"/>
      <x:c r="B185" s="111"/>
      <x:c r="C185" s="111"/>
      <x:c r="D185" s="111"/>
      <x:c r="E185" s="111"/>
      <x:c r="F185" s="111"/>
      <x:c r="G185" s="111"/>
      <x:c r="H185" s="111"/>
      <x:c r="I185" s="111"/>
      <x:c r="J185" s="111"/>
      <x:c r="K185" s="111"/>
      <x:c r="L185" s="111"/>
      <x:c r="M185" s="111"/>
      <x:c r="N185" s="111"/>
      <x:c r="O185" s="111"/>
      <x:c r="P185" s="111"/>
      <x:c r="Q185" s="111"/>
      <x:c r="R185" s="111"/>
      <x:c r="S185" s="111"/>
      <x:c r="T185" s="111"/>
    </x:row>
    <x:row r="186">
      <x:c r="A186" s="111"/>
      <x:c r="B186" s="111"/>
      <x:c r="C186" s="111"/>
      <x:c r="D186" s="111"/>
      <x:c r="E186" s="111"/>
      <x:c r="F186" s="111"/>
      <x:c r="G186" s="111"/>
      <x:c r="H186" s="111"/>
      <x:c r="I186" s="111"/>
      <x:c r="J186" s="111"/>
      <x:c r="K186" s="111"/>
      <x:c r="L186" s="111"/>
      <x:c r="M186" s="111"/>
      <x:c r="N186" s="111"/>
      <x:c r="O186" s="111"/>
      <x:c r="P186" s="111"/>
      <x:c r="Q186" s="111"/>
      <x:c r="R186" s="111"/>
      <x:c r="S186" s="111"/>
      <x:c r="T186" s="111"/>
    </x:row>
    <x:row r="187">
      <x:c r="A187" s="111"/>
      <x:c r="B187" s="111"/>
      <x:c r="C187" s="111"/>
      <x:c r="D187" s="111"/>
      <x:c r="E187" s="111"/>
      <x:c r="F187" s="111"/>
      <x:c r="G187" s="111"/>
      <x:c r="H187" s="111"/>
      <x:c r="I187" s="111"/>
      <x:c r="J187" s="111"/>
      <x:c r="K187" s="111"/>
      <x:c r="L187" s="111"/>
      <x:c r="M187" s="111"/>
      <x:c r="N187" s="111"/>
      <x:c r="O187" s="111"/>
      <x:c r="P187" s="111"/>
      <x:c r="Q187" s="111"/>
      <x:c r="R187" s="111"/>
      <x:c r="S187" s="111"/>
      <x:c r="T187" s="111"/>
    </x:row>
    <x:row r="188">
      <x:c r="A188" s="111"/>
      <x:c r="B188" s="111"/>
      <x:c r="C188" s="111"/>
      <x:c r="D188" s="111"/>
      <x:c r="E188" s="111"/>
      <x:c r="F188" s="111"/>
      <x:c r="G188" s="111"/>
      <x:c r="H188" s="111"/>
      <x:c r="I188" s="111"/>
      <x:c r="J188" s="111"/>
      <x:c r="K188" s="111"/>
      <x:c r="L188" s="111"/>
      <x:c r="M188" s="111"/>
      <x:c r="N188" s="111"/>
      <x:c r="O188" s="111"/>
      <x:c r="P188" s="111"/>
      <x:c r="Q188" s="111"/>
      <x:c r="R188" s="111"/>
      <x:c r="S188" s="111"/>
      <x:c r="T188" s="111"/>
    </x:row>
    <x:row r="189">
      <x:c r="A189" s="111"/>
      <x:c r="B189" s="111"/>
      <x:c r="C189" s="111"/>
      <x:c r="D189" s="111"/>
      <x:c r="E189" s="111"/>
      <x:c r="F189" s="111"/>
      <x:c r="G189" s="111"/>
      <x:c r="H189" s="111"/>
      <x:c r="I189" s="111"/>
      <x:c r="J189" s="111"/>
      <x:c r="K189" s="111"/>
      <x:c r="L189" s="111"/>
      <x:c r="M189" s="111"/>
      <x:c r="N189" s="111"/>
      <x:c r="O189" s="111"/>
      <x:c r="P189" s="111"/>
      <x:c r="Q189" s="111"/>
      <x:c r="R189" s="111"/>
      <x:c r="S189" s="111"/>
      <x:c r="T189" s="111"/>
    </x:row>
    <x:row r="190">
      <x:c r="A190" s="111"/>
      <x:c r="B190" s="111"/>
      <x:c r="C190" s="111"/>
      <x:c r="D190" s="111"/>
      <x:c r="E190" s="111"/>
      <x:c r="F190" s="111"/>
      <x:c r="G190" s="111"/>
      <x:c r="H190" s="111"/>
      <x:c r="I190" s="111"/>
      <x:c r="J190" s="111"/>
      <x:c r="K190" s="111"/>
      <x:c r="L190" s="111"/>
      <x:c r="M190" s="111"/>
      <x:c r="N190" s="111"/>
      <x:c r="O190" s="111"/>
      <x:c r="P190" s="111"/>
      <x:c r="Q190" s="111"/>
      <x:c r="R190" s="111"/>
      <x:c r="S190" s="111"/>
      <x:c r="T190" s="111"/>
    </x:row>
    <x:row r="191">
      <x:c r="A191" s="111"/>
      <x:c r="B191" s="111"/>
      <x:c r="C191" s="111"/>
      <x:c r="D191" s="111"/>
      <x:c r="E191" s="111"/>
      <x:c r="F191" s="111"/>
      <x:c r="G191" s="111"/>
      <x:c r="H191" s="111"/>
      <x:c r="I191" s="111"/>
      <x:c r="J191" s="111"/>
      <x:c r="K191" s="111"/>
      <x:c r="L191" s="111"/>
      <x:c r="M191" s="111"/>
      <x:c r="N191" s="111"/>
      <x:c r="O191" s="111"/>
      <x:c r="P191" s="111"/>
      <x:c r="Q191" s="111"/>
      <x:c r="R191" s="111"/>
      <x:c r="S191" s="111"/>
      <x:c r="T191" s="111"/>
    </x:row>
    <x:row r="192">
      <x:c r="A192" s="111"/>
      <x:c r="B192" s="111"/>
      <x:c r="C192" s="111"/>
      <x:c r="D192" s="111"/>
      <x:c r="E192" s="111"/>
      <x:c r="F192" s="111"/>
      <x:c r="G192" s="111"/>
      <x:c r="H192" s="111"/>
      <x:c r="I192" s="111"/>
      <x:c r="J192" s="111"/>
      <x:c r="K192" s="111"/>
      <x:c r="L192" s="111"/>
      <x:c r="M192" s="111"/>
      <x:c r="N192" s="111"/>
      <x:c r="O192" s="111"/>
      <x:c r="P192" s="111"/>
      <x:c r="Q192" s="111"/>
      <x:c r="R192" s="111"/>
      <x:c r="S192" s="111"/>
      <x:c r="T192" s="111"/>
    </x:row>
    <x:row r="193">
      <x:c r="A193" s="111"/>
      <x:c r="B193" s="111"/>
      <x:c r="C193" s="111"/>
      <x:c r="D193" s="111"/>
      <x:c r="E193" s="111"/>
      <x:c r="F193" s="111"/>
      <x:c r="G193" s="111"/>
      <x:c r="H193" s="111"/>
      <x:c r="I193" s="111"/>
      <x:c r="J193" s="111"/>
      <x:c r="K193" s="111"/>
      <x:c r="L193" s="111"/>
      <x:c r="M193" s="111"/>
      <x:c r="N193" s="111"/>
      <x:c r="O193" s="111"/>
      <x:c r="P193" s="111"/>
      <x:c r="Q193" s="111"/>
      <x:c r="R193" s="111"/>
      <x:c r="S193" s="111"/>
      <x:c r="T193" s="111"/>
    </x:row>
    <x:row r="194">
      <x:c r="A194" s="111"/>
      <x:c r="B194" s="111"/>
      <x:c r="C194" s="111"/>
      <x:c r="D194" s="111"/>
      <x:c r="E194" s="111"/>
      <x:c r="F194" s="111"/>
      <x:c r="G194" s="111"/>
      <x:c r="H194" s="111"/>
      <x:c r="I194" s="111"/>
      <x:c r="J194" s="111"/>
      <x:c r="K194" s="111"/>
      <x:c r="L194" s="111"/>
      <x:c r="M194" s="111"/>
      <x:c r="N194" s="111"/>
      <x:c r="O194" s="111"/>
      <x:c r="P194" s="111"/>
      <x:c r="Q194" s="111"/>
      <x:c r="R194" s="111"/>
      <x:c r="S194" s="111"/>
      <x:c r="T194" s="111"/>
    </x:row>
    <x:row r="195">
      <x:c r="A195" s="111"/>
      <x:c r="B195" s="111"/>
      <x:c r="C195" s="111"/>
      <x:c r="D195" s="111"/>
      <x:c r="E195" s="111"/>
      <x:c r="F195" s="111"/>
      <x:c r="G195" s="111"/>
      <x:c r="H195" s="111"/>
      <x:c r="I195" s="111"/>
      <x:c r="J195" s="111"/>
      <x:c r="K195" s="111"/>
      <x:c r="L195" s="111"/>
      <x:c r="M195" s="111"/>
      <x:c r="N195" s="111"/>
      <x:c r="O195" s="111"/>
      <x:c r="P195" s="111"/>
      <x:c r="Q195" s="111"/>
      <x:c r="R195" s="111"/>
      <x:c r="S195" s="111"/>
      <x:c r="T195" s="111"/>
    </x:row>
    <x:row r="196">
      <x:c r="A196" s="111"/>
      <x:c r="B196" s="111"/>
      <x:c r="C196" s="111"/>
      <x:c r="D196" s="111"/>
      <x:c r="E196" s="111"/>
      <x:c r="F196" s="111"/>
      <x:c r="G196" s="111"/>
      <x:c r="H196" s="111"/>
      <x:c r="I196" s="111"/>
      <x:c r="J196" s="111"/>
      <x:c r="K196" s="111"/>
      <x:c r="L196" s="111"/>
      <x:c r="M196" s="111"/>
      <x:c r="N196" s="111"/>
      <x:c r="O196" s="111"/>
      <x:c r="P196" s="111"/>
      <x:c r="Q196" s="111"/>
      <x:c r="R196" s="111"/>
      <x:c r="S196" s="111"/>
      <x:c r="T196" s="111"/>
    </x:row>
    <x:row r="197">
      <x:c r="A197" s="111"/>
      <x:c r="B197" s="111"/>
      <x:c r="C197" s="111"/>
      <x:c r="D197" s="111"/>
      <x:c r="E197" s="111"/>
      <x:c r="F197" s="111"/>
      <x:c r="G197" s="111"/>
      <x:c r="H197" s="111"/>
      <x:c r="I197" s="111"/>
      <x:c r="J197" s="111"/>
      <x:c r="K197" s="111"/>
      <x:c r="L197" s="111"/>
      <x:c r="M197" s="111"/>
      <x:c r="N197" s="111"/>
      <x:c r="O197" s="111"/>
      <x:c r="P197" s="111"/>
      <x:c r="Q197" s="111"/>
      <x:c r="R197" s="111"/>
      <x:c r="S197" s="111"/>
      <x:c r="T197" s="111"/>
    </x:row>
    <x:row r="198">
      <x:c r="A198" s="111"/>
      <x:c r="B198" s="111"/>
      <x:c r="C198" s="111"/>
      <x:c r="D198" s="111"/>
      <x:c r="E198" s="111"/>
      <x:c r="F198" s="111"/>
      <x:c r="G198" s="111"/>
      <x:c r="H198" s="111"/>
      <x:c r="I198" s="111"/>
      <x:c r="J198" s="111"/>
      <x:c r="K198" s="111"/>
      <x:c r="L198" s="111"/>
      <x:c r="M198" s="111"/>
      <x:c r="N198" s="111"/>
      <x:c r="O198" s="111"/>
      <x:c r="P198" s="111"/>
      <x:c r="Q198" s="111"/>
      <x:c r="R198" s="111"/>
      <x:c r="S198" s="111"/>
      <x:c r="T198" s="111"/>
    </x:row>
    <x:row r="199">
      <x:c r="A199" s="111"/>
      <x:c r="B199" s="111"/>
      <x:c r="C199" s="111"/>
      <x:c r="D199" s="111"/>
      <x:c r="E199" s="111"/>
      <x:c r="F199" s="111"/>
      <x:c r="G199" s="111"/>
      <x:c r="H199" s="111"/>
      <x:c r="I199" s="111"/>
      <x:c r="J199" s="111"/>
      <x:c r="K199" s="111"/>
      <x:c r="L199" s="111"/>
      <x:c r="M199" s="111"/>
      <x:c r="N199" s="111"/>
      <x:c r="O199" s="111"/>
      <x:c r="P199" s="111"/>
      <x:c r="Q199" s="111"/>
      <x:c r="R199" s="111"/>
      <x:c r="S199" s="111"/>
      <x:c r="T199" s="111"/>
    </x:row>
    <x:row r="200">
      <x:c r="A200" s="111"/>
      <x:c r="B200" s="111"/>
      <x:c r="C200" s="111"/>
      <x:c r="D200" s="111"/>
      <x:c r="E200" s="111"/>
      <x:c r="F200" s="111"/>
      <x:c r="G200" s="111"/>
      <x:c r="H200" s="111"/>
      <x:c r="I200" s="111"/>
      <x:c r="J200" s="111"/>
      <x:c r="K200" s="111"/>
      <x:c r="L200" s="111"/>
      <x:c r="M200" s="111"/>
      <x:c r="N200" s="111"/>
      <x:c r="O200" s="111"/>
      <x:c r="P200" s="111"/>
      <x:c r="Q200" s="111"/>
      <x:c r="R200" s="111"/>
      <x:c r="S200" s="111"/>
      <x:c r="T200" s="111"/>
    </x:row>
    <x:row r="201">
      <x:c r="A201" s="111"/>
      <x:c r="B201" s="111"/>
      <x:c r="C201" s="111"/>
      <x:c r="D201" s="111"/>
      <x:c r="E201" s="111"/>
      <x:c r="F201" s="111"/>
      <x:c r="G201" s="111"/>
      <x:c r="H201" s="111"/>
      <x:c r="I201" s="111"/>
      <x:c r="J201" s="111"/>
      <x:c r="K201" s="111"/>
      <x:c r="L201" s="111"/>
      <x:c r="M201" s="111"/>
      <x:c r="N201" s="111"/>
      <x:c r="O201" s="111"/>
      <x:c r="P201" s="111"/>
      <x:c r="Q201" s="111"/>
      <x:c r="R201" s="111"/>
      <x:c r="S201" s="111"/>
      <x:c r="T201" s="111"/>
    </x:row>
    <x:row r="202">
      <x:c r="A202" s="111"/>
      <x:c r="B202" s="111"/>
      <x:c r="C202" s="111"/>
      <x:c r="D202" s="111"/>
      <x:c r="E202" s="111"/>
      <x:c r="F202" s="111"/>
      <x:c r="G202" s="111"/>
      <x:c r="H202" s="111"/>
      <x:c r="I202" s="111"/>
      <x:c r="J202" s="111"/>
      <x:c r="K202" s="111"/>
      <x:c r="L202" s="111"/>
      <x:c r="M202" s="111"/>
      <x:c r="N202" s="111"/>
      <x:c r="O202" s="111"/>
      <x:c r="P202" s="111"/>
      <x:c r="Q202" s="111"/>
      <x:c r="R202" s="111"/>
      <x:c r="S202" s="111"/>
      <x:c r="T202" s="111"/>
    </x:row>
    <x:row r="203">
      <x:c r="A203" s="111"/>
      <x:c r="B203" s="111"/>
      <x:c r="C203" s="111"/>
      <x:c r="D203" s="111"/>
      <x:c r="E203" s="111"/>
      <x:c r="F203" s="111"/>
      <x:c r="G203" s="111"/>
      <x:c r="H203" s="111"/>
      <x:c r="I203" s="111"/>
      <x:c r="J203" s="111"/>
      <x:c r="K203" s="111"/>
      <x:c r="L203" s="111"/>
      <x:c r="M203" s="111"/>
      <x:c r="N203" s="111"/>
      <x:c r="O203" s="111"/>
      <x:c r="P203" s="111"/>
      <x:c r="Q203" s="111"/>
      <x:c r="R203" s="111"/>
      <x:c r="S203" s="111"/>
      <x:c r="T203" s="111"/>
    </x:row>
    <x:row r="204">
      <x:c r="A204" s="111"/>
      <x:c r="B204" s="111"/>
      <x:c r="C204" s="111"/>
      <x:c r="D204" s="111"/>
      <x:c r="E204" s="111"/>
      <x:c r="F204" s="111"/>
      <x:c r="G204" s="111"/>
      <x:c r="H204" s="111"/>
      <x:c r="I204" s="111"/>
      <x:c r="J204" s="111"/>
      <x:c r="K204" s="111"/>
      <x:c r="L204" s="111"/>
      <x:c r="M204" s="111"/>
      <x:c r="N204" s="111"/>
      <x:c r="O204" s="111"/>
      <x:c r="P204" s="111"/>
      <x:c r="Q204" s="111"/>
      <x:c r="R204" s="111"/>
      <x:c r="S204" s="111"/>
      <x:c r="T204" s="111"/>
    </x:row>
    <x:row r="205">
      <x:c r="A205" s="111"/>
      <x:c r="B205" s="111"/>
      <x:c r="C205" s="111"/>
      <x:c r="D205" s="111"/>
      <x:c r="E205" s="111"/>
      <x:c r="F205" s="111"/>
      <x:c r="G205" s="111"/>
      <x:c r="H205" s="111"/>
      <x:c r="I205" s="111"/>
      <x:c r="J205" s="111"/>
      <x:c r="K205" s="111"/>
      <x:c r="L205" s="111"/>
      <x:c r="M205" s="111"/>
      <x:c r="N205" s="111"/>
      <x:c r="O205" s="111"/>
      <x:c r="P205" s="111"/>
      <x:c r="Q205" s="111"/>
      <x:c r="R205" s="111"/>
      <x:c r="S205" s="111"/>
      <x:c r="T205" s="111"/>
    </x:row>
  </x:sheetData>
  <x:dataValidations count="1">
    <x:dataValidation type="list" sqref="B6:B105">
      <x:formula1>DriverChoices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f2738368284a44"/>
  </x:tableParts>
</x:worksheet>
</file>

<file path=xl/worksheets/sheet5.xml><?xml version="1.0" encoding="utf-8"?>
<x:worksheet xmlns:x="http://schemas.openxmlformats.org/spreadsheetml/2006/main">
  <x:sheetPr>
    <x:tabColor rgb="FF6F7C8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</x:cols>
  <x:sheetData>
    <x:row r="1" ht="28" customHeight="1">
      <x:c r="A1" s="90"/>
      <x:c r="B1" s="90"/>
      <x:c r="C1" s="90"/>
      <x:c r="D1" s="111"/>
      <x:c r="E1" s="111"/>
      <x:c r="F1" s="111"/>
      <x:c r="G1" s="111"/>
      <x:c r="H1" s="111"/>
      <x:c r="I1" s="111"/>
      <x:c r="J1" s="111"/>
      <x:c r="K1" s="111"/>
      <x:c r="L1" s="111"/>
      <x:c r="M1" s="111"/>
      <x:c r="N1" s="111"/>
      <x:c r="O1" s="111"/>
      <x:c r="P1" s="111"/>
      <x:c r="Q1" s="111"/>
      <x:c r="R1" s="111"/>
      <x:c r="S1" s="111"/>
      <x:c r="T1" s="111"/>
    </x:row>
    <x:row r="2" ht="28" customHeight="1">
      <x:c r="A2" s="115" t="str">
        <x:v>Crew</x:v>
      </x:c>
      <x:c r="B2" s="90"/>
      <x:c r="C2" s="90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1"/>
      <x:c r="P2" s="111"/>
      <x:c r="Q2" s="111"/>
      <x:c r="R2" s="111"/>
      <x:c r="S2" s="111"/>
      <x:c r="T2" s="111"/>
    </x:row>
    <x:row r="3" ht="28" customHeight="1">
      <x:c r="A3" s="90" t="str">
        <x:v>Enter records in yellow cells.</x:v>
      </x:c>
      <x:c r="B3" s="90"/>
      <x:c r="C3" s="90"/>
      <x:c r="D3" s="111"/>
      <x:c r="E3" s="111"/>
      <x:c r="F3" s="111"/>
      <x:c r="G3" s="111"/>
      <x:c r="H3" s="111"/>
      <x:c r="I3" s="111"/>
      <x:c r="J3" s="111"/>
      <x:c r="K3" s="111"/>
      <x:c r="L3" s="111"/>
      <x:c r="M3" s="111"/>
      <x:c r="N3" s="111"/>
      <x:c r="O3" s="111"/>
      <x:c r="P3" s="111"/>
      <x:c r="Q3" s="111"/>
      <x:c r="R3" s="111"/>
      <x:c r="S3" s="111"/>
      <x:c r="T3" s="111"/>
    </x:row>
    <x:row r="4" ht="28" customHeight="1">
      <x:c r="A4" s="90"/>
      <x:c r="B4" s="90"/>
      <x:c r="C4" s="90"/>
      <x:c r="D4" s="111"/>
      <x:c r="E4" s="111"/>
      <x:c r="F4" s="111"/>
      <x:c r="G4" s="111"/>
      <x:c r="H4" s="111"/>
      <x:c r="I4" s="111"/>
      <x:c r="J4" s="111"/>
      <x:c r="K4" s="111"/>
      <x:c r="L4" s="111"/>
      <x:c r="M4" s="111"/>
      <x:c r="N4" s="111"/>
      <x:c r="O4" s="111"/>
      <x:c r="P4" s="111"/>
      <x:c r="Q4" s="111"/>
      <x:c r="R4" s="111"/>
      <x:c r="S4" s="111"/>
      <x:c r="T4" s="111"/>
    </x:row>
    <x:row r="5" ht="60" customHeight="1">
      <x:c r="A5" s="116" t="str">
        <x:v>Name</x:v>
      </x:c>
      <x:c r="B5" s="116" t="str">
        <x:v>Job</x:v>
      </x:c>
      <x:c r="C5" s="116" t="str">
        <x:v>Phone number</x:v>
      </x:c>
      <x:c r="D5" s="111"/>
      <x:c r="E5" s="111"/>
      <x:c r="F5" s="111"/>
      <x:c r="G5" s="111"/>
      <x:c r="H5" s="111"/>
      <x:c r="I5" s="111"/>
      <x:c r="J5" s="111"/>
      <x:c r="K5" s="111"/>
      <x:c r="L5" s="111"/>
      <x:c r="M5" s="111"/>
      <x:c r="N5" s="111"/>
      <x:c r="O5" s="111"/>
      <x:c r="P5" s="111"/>
      <x:c r="Q5" s="111"/>
      <x:c r="R5" s="111"/>
      <x:c r="S5" s="111"/>
      <x:c r="T5" s="111"/>
    </x:row>
    <x:row r="6" ht="28" customHeight="1">
      <x:c r="A6" s="107"/>
      <x:c r="B6" s="107"/>
      <x:c r="C6" s="108"/>
      <x:c r="D6" s="111"/>
      <x:c r="E6" s="111"/>
      <x:c r="F6" s="111"/>
      <x:c r="G6" s="111"/>
      <x:c r="H6" s="111"/>
      <x:c r="I6" s="111"/>
      <x:c r="J6" s="111"/>
      <x:c r="K6" s="111"/>
      <x:c r="L6" s="111"/>
      <x:c r="M6" s="111"/>
      <x:c r="N6" s="111"/>
      <x:c r="O6" s="111"/>
      <x:c r="P6" s="111"/>
      <x:c r="Q6" s="111"/>
      <x:c r="R6" s="111"/>
      <x:c r="S6" s="111"/>
      <x:c r="T6" s="111"/>
    </x:row>
    <x:row r="7" ht="28" customHeight="1">
      <x:c r="A7" s="107"/>
      <x:c r="B7" s="107"/>
      <x:c r="C7" s="108"/>
      <x:c r="D7" s="111"/>
      <x:c r="E7" s="111"/>
      <x:c r="F7" s="111"/>
      <x:c r="G7" s="111"/>
      <x:c r="H7" s="111"/>
      <x:c r="I7" s="111"/>
      <x:c r="J7" s="111"/>
      <x:c r="K7" s="111"/>
      <x:c r="L7" s="111"/>
      <x:c r="M7" s="111"/>
      <x:c r="N7" s="111"/>
      <x:c r="O7" s="111"/>
      <x:c r="P7" s="111"/>
      <x:c r="Q7" s="111"/>
      <x:c r="R7" s="111"/>
      <x:c r="S7" s="111"/>
      <x:c r="T7" s="111"/>
    </x:row>
    <x:row r="8" ht="28" customHeight="1">
      <x:c r="A8" s="107"/>
      <x:c r="B8" s="107"/>
      <x:c r="C8" s="108"/>
      <x:c r="D8" s="111"/>
      <x:c r="E8" s="111"/>
      <x:c r="F8" s="111"/>
      <x:c r="G8" s="111"/>
      <x:c r="H8" s="111"/>
      <x:c r="I8" s="111"/>
      <x:c r="J8" s="111"/>
      <x:c r="K8" s="111"/>
      <x:c r="L8" s="111"/>
      <x:c r="M8" s="111"/>
      <x:c r="N8" s="111"/>
      <x:c r="O8" s="111"/>
      <x:c r="P8" s="111"/>
      <x:c r="Q8" s="111"/>
      <x:c r="R8" s="111"/>
      <x:c r="S8" s="111"/>
      <x:c r="T8" s="111"/>
    </x:row>
    <x:row r="9" ht="28" customHeight="1">
      <x:c r="A9" s="107"/>
      <x:c r="B9" s="107"/>
      <x:c r="C9" s="108"/>
      <x:c r="D9" s="111"/>
      <x:c r="E9" s="111"/>
      <x:c r="F9" s="111"/>
      <x:c r="G9" s="111"/>
      <x:c r="H9" s="111"/>
      <x:c r="I9" s="111"/>
      <x:c r="J9" s="111"/>
      <x:c r="K9" s="111"/>
      <x:c r="L9" s="111"/>
      <x:c r="M9" s="111"/>
      <x:c r="N9" s="111"/>
      <x:c r="O9" s="111"/>
      <x:c r="P9" s="111"/>
      <x:c r="Q9" s="111"/>
      <x:c r="R9" s="111"/>
      <x:c r="S9" s="111"/>
      <x:c r="T9" s="111"/>
    </x:row>
    <x:row r="10" ht="28" customHeight="1">
      <x:c r="A10" s="107"/>
      <x:c r="B10" s="107"/>
      <x:c r="C10" s="108"/>
      <x:c r="D10" s="111"/>
      <x:c r="E10" s="111"/>
      <x:c r="F10" s="111"/>
      <x:c r="G10" s="111"/>
      <x:c r="H10" s="111"/>
      <x:c r="I10" s="111"/>
      <x:c r="J10" s="111"/>
      <x:c r="K10" s="111"/>
      <x:c r="L10" s="111"/>
      <x:c r="M10" s="111"/>
      <x:c r="N10" s="111"/>
      <x:c r="O10" s="111"/>
      <x:c r="P10" s="111"/>
      <x:c r="Q10" s="111"/>
      <x:c r="R10" s="111"/>
      <x:c r="S10" s="111"/>
      <x:c r="T10" s="111"/>
    </x:row>
    <x:row r="11" ht="28" customHeight="1">
      <x:c r="A11" s="107"/>
      <x:c r="B11" s="107"/>
      <x:c r="C11" s="108"/>
      <x:c r="D11" s="111"/>
      <x:c r="E11" s="111"/>
      <x:c r="F11" s="111"/>
      <x:c r="G11" s="111"/>
      <x:c r="H11" s="111"/>
      <x:c r="I11" s="111"/>
      <x:c r="J11" s="111"/>
      <x:c r="K11" s="111"/>
      <x:c r="L11" s="111"/>
      <x:c r="M11" s="111"/>
      <x:c r="N11" s="111"/>
      <x:c r="O11" s="111"/>
      <x:c r="P11" s="111"/>
      <x:c r="Q11" s="111"/>
      <x:c r="R11" s="111"/>
      <x:c r="S11" s="111"/>
      <x:c r="T11" s="111"/>
    </x:row>
    <x:row r="12" ht="28" customHeight="1">
      <x:c r="A12" s="107"/>
      <x:c r="B12" s="107"/>
      <x:c r="C12" s="108"/>
      <x:c r="D12" s="111"/>
      <x:c r="E12" s="111"/>
      <x:c r="F12" s="111"/>
      <x:c r="G12" s="111"/>
      <x:c r="H12" s="111"/>
      <x:c r="I12" s="111"/>
      <x:c r="J12" s="111"/>
      <x:c r="K12" s="111"/>
      <x:c r="L12" s="111"/>
      <x:c r="M12" s="111"/>
      <x:c r="N12" s="111"/>
      <x:c r="O12" s="111"/>
      <x:c r="P12" s="111"/>
      <x:c r="Q12" s="111"/>
      <x:c r="R12" s="111"/>
      <x:c r="S12" s="111"/>
      <x:c r="T12" s="111"/>
    </x:row>
    <x:row r="13" ht="28" customHeight="1">
      <x:c r="A13" s="107"/>
      <x:c r="B13" s="107"/>
      <x:c r="C13" s="108"/>
      <x:c r="D13" s="111"/>
      <x:c r="E13" s="111"/>
      <x:c r="F13" s="111"/>
      <x:c r="G13" s="111"/>
      <x:c r="H13" s="111"/>
      <x:c r="I13" s="111"/>
      <x:c r="J13" s="111"/>
      <x:c r="K13" s="111"/>
      <x:c r="L13" s="111"/>
      <x:c r="M13" s="111"/>
      <x:c r="N13" s="111"/>
      <x:c r="O13" s="111"/>
      <x:c r="P13" s="111"/>
      <x:c r="Q13" s="111"/>
      <x:c r="R13" s="111"/>
      <x:c r="S13" s="111"/>
      <x:c r="T13" s="111"/>
    </x:row>
    <x:row r="14" ht="28" customHeight="1">
      <x:c r="A14" s="107"/>
      <x:c r="B14" s="107"/>
      <x:c r="C14" s="108"/>
      <x:c r="D14" s="111"/>
      <x:c r="E14" s="111"/>
      <x:c r="F14" s="111"/>
      <x:c r="G14" s="111"/>
      <x:c r="H14" s="111"/>
      <x:c r="I14" s="111"/>
      <x:c r="J14" s="111"/>
      <x:c r="K14" s="111"/>
      <x:c r="L14" s="111"/>
      <x:c r="M14" s="111"/>
      <x:c r="N14" s="111"/>
      <x:c r="O14" s="111"/>
      <x:c r="P14" s="111"/>
      <x:c r="Q14" s="111"/>
      <x:c r="R14" s="111"/>
      <x:c r="S14" s="111"/>
      <x:c r="T14" s="111"/>
    </x:row>
    <x:row r="15" ht="28" customHeight="1">
      <x:c r="A15" s="107"/>
      <x:c r="B15" s="107"/>
      <x:c r="C15" s="108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11"/>
      <x:c r="O15" s="111"/>
      <x:c r="P15" s="111"/>
      <x:c r="Q15" s="111"/>
      <x:c r="R15" s="111"/>
      <x:c r="S15" s="111"/>
      <x:c r="T15" s="111"/>
    </x:row>
    <x:row r="16" ht="28" customHeight="1">
      <x:c r="A16" s="107"/>
      <x:c r="B16" s="107"/>
      <x:c r="C16" s="108"/>
      <x:c r="D16" s="111"/>
      <x:c r="E16" s="111"/>
      <x:c r="F16" s="111"/>
      <x:c r="G16" s="111"/>
      <x:c r="H16" s="111"/>
      <x:c r="I16" s="111"/>
      <x:c r="J16" s="111"/>
      <x:c r="K16" s="111"/>
      <x:c r="L16" s="111"/>
      <x:c r="M16" s="111"/>
      <x:c r="N16" s="111"/>
      <x:c r="O16" s="111"/>
      <x:c r="P16" s="111"/>
      <x:c r="Q16" s="111"/>
      <x:c r="R16" s="111"/>
      <x:c r="S16" s="111"/>
      <x:c r="T16" s="111"/>
    </x:row>
    <x:row r="17" ht="28" customHeight="1">
      <x:c r="A17" s="107"/>
      <x:c r="B17" s="107"/>
      <x:c r="C17" s="108"/>
      <x:c r="D17" s="111"/>
      <x:c r="E17" s="111"/>
      <x:c r="F17" s="111"/>
      <x:c r="G17" s="111"/>
      <x:c r="H17" s="111"/>
      <x:c r="I17" s="111"/>
      <x:c r="J17" s="111"/>
      <x:c r="K17" s="111"/>
      <x:c r="L17" s="111"/>
      <x:c r="M17" s="111"/>
      <x:c r="N17" s="111"/>
      <x:c r="O17" s="111"/>
      <x:c r="P17" s="111"/>
      <x:c r="Q17" s="111"/>
      <x:c r="R17" s="111"/>
      <x:c r="S17" s="111"/>
      <x:c r="T17" s="111"/>
    </x:row>
    <x:row r="18" ht="28" customHeight="1">
      <x:c r="A18" s="107"/>
      <x:c r="B18" s="107"/>
      <x:c r="C18" s="108"/>
      <x:c r="D18" s="111"/>
      <x:c r="E18" s="111"/>
      <x:c r="F18" s="111"/>
      <x:c r="G18" s="111"/>
      <x:c r="H18" s="111"/>
      <x:c r="I18" s="111"/>
      <x:c r="J18" s="111"/>
      <x:c r="K18" s="111"/>
      <x:c r="L18" s="111"/>
      <x:c r="M18" s="111"/>
      <x:c r="N18" s="111"/>
      <x:c r="O18" s="111"/>
      <x:c r="P18" s="111"/>
      <x:c r="Q18" s="111"/>
      <x:c r="R18" s="111"/>
      <x:c r="S18" s="111"/>
      <x:c r="T18" s="111"/>
    </x:row>
    <x:row r="19" ht="28" customHeight="1">
      <x:c r="A19" s="107"/>
      <x:c r="B19" s="107"/>
      <x:c r="C19" s="108"/>
      <x:c r="D19" s="111"/>
      <x:c r="E19" s="111"/>
      <x:c r="F19" s="111"/>
      <x:c r="G19" s="111"/>
      <x:c r="H19" s="111"/>
      <x:c r="I19" s="111"/>
      <x:c r="J19" s="111"/>
      <x:c r="K19" s="111"/>
      <x:c r="L19" s="111"/>
      <x:c r="M19" s="111"/>
      <x:c r="N19" s="111"/>
      <x:c r="O19" s="111"/>
      <x:c r="P19" s="111"/>
      <x:c r="Q19" s="111"/>
      <x:c r="R19" s="111"/>
      <x:c r="S19" s="111"/>
      <x:c r="T19" s="111"/>
    </x:row>
    <x:row r="20" ht="28" customHeight="1">
      <x:c r="A20" s="107"/>
      <x:c r="B20" s="107"/>
      <x:c r="C20" s="108"/>
      <x:c r="D20" s="111"/>
      <x:c r="E20" s="111"/>
      <x:c r="F20" s="111"/>
      <x:c r="G20" s="111"/>
      <x:c r="H20" s="111"/>
      <x:c r="I20" s="111"/>
      <x:c r="J20" s="111"/>
      <x:c r="K20" s="111"/>
      <x:c r="L20" s="111"/>
      <x:c r="M20" s="111"/>
      <x:c r="N20" s="111"/>
      <x:c r="O20" s="111"/>
      <x:c r="P20" s="111"/>
      <x:c r="Q20" s="111"/>
      <x:c r="R20" s="111"/>
      <x:c r="S20" s="111"/>
      <x:c r="T20" s="111"/>
    </x:row>
    <x:row r="21" ht="28" customHeight="1">
      <x:c r="A21" s="107"/>
      <x:c r="B21" s="107"/>
      <x:c r="C21" s="108"/>
      <x:c r="D21" s="111"/>
      <x:c r="E21" s="111"/>
      <x:c r="F21" s="111"/>
      <x:c r="G21" s="111"/>
      <x:c r="H21" s="111"/>
      <x:c r="I21" s="111"/>
      <x:c r="J21" s="111"/>
      <x:c r="K21" s="111"/>
      <x:c r="L21" s="111"/>
      <x:c r="M21" s="111"/>
      <x:c r="N21" s="111"/>
      <x:c r="O21" s="111"/>
      <x:c r="P21" s="111"/>
      <x:c r="Q21" s="111"/>
      <x:c r="R21" s="111"/>
      <x:c r="S21" s="111"/>
      <x:c r="T21" s="111"/>
    </x:row>
    <x:row r="22" ht="28" customHeight="1">
      <x:c r="A22" s="107"/>
      <x:c r="B22" s="107"/>
      <x:c r="C22" s="108"/>
      <x:c r="D22" s="111"/>
      <x:c r="E22" s="111"/>
      <x:c r="F22" s="111"/>
      <x:c r="G22" s="111"/>
      <x:c r="H22" s="111"/>
      <x:c r="I22" s="111"/>
      <x:c r="J22" s="111"/>
      <x:c r="K22" s="111"/>
      <x:c r="L22" s="111"/>
      <x:c r="M22" s="111"/>
      <x:c r="N22" s="111"/>
      <x:c r="O22" s="111"/>
      <x:c r="P22" s="111"/>
      <x:c r="Q22" s="111"/>
      <x:c r="R22" s="111"/>
      <x:c r="S22" s="111"/>
      <x:c r="T22" s="111"/>
    </x:row>
    <x:row r="23" ht="28" customHeight="1">
      <x:c r="A23" s="107"/>
      <x:c r="B23" s="107"/>
      <x:c r="C23" s="108"/>
      <x:c r="D23" s="111"/>
      <x:c r="E23" s="111"/>
      <x:c r="F23" s="111"/>
      <x:c r="G23" s="111"/>
      <x:c r="H23" s="111"/>
      <x:c r="I23" s="111"/>
      <x:c r="J23" s="111"/>
      <x:c r="K23" s="111"/>
      <x:c r="L23" s="111"/>
      <x:c r="M23" s="111"/>
      <x:c r="N23" s="111"/>
      <x:c r="O23" s="111"/>
      <x:c r="P23" s="111"/>
      <x:c r="Q23" s="111"/>
      <x:c r="R23" s="111"/>
      <x:c r="S23" s="111"/>
      <x:c r="T23" s="111"/>
    </x:row>
    <x:row r="24" ht="28" customHeight="1">
      <x:c r="A24" s="107"/>
      <x:c r="B24" s="107"/>
      <x:c r="C24" s="108"/>
      <x:c r="D24" s="111"/>
      <x:c r="E24" s="111"/>
      <x:c r="F24" s="111"/>
      <x:c r="G24" s="111"/>
      <x:c r="H24" s="111"/>
      <x:c r="I24" s="111"/>
      <x:c r="J24" s="111"/>
      <x:c r="K24" s="111"/>
      <x:c r="L24" s="111"/>
      <x:c r="M24" s="111"/>
      <x:c r="N24" s="111"/>
      <x:c r="O24" s="111"/>
      <x:c r="P24" s="111"/>
      <x:c r="Q24" s="111"/>
      <x:c r="R24" s="111"/>
      <x:c r="S24" s="111"/>
      <x:c r="T24" s="111"/>
    </x:row>
    <x:row r="25" ht="28" customHeight="1">
      <x:c r="A25" s="107"/>
      <x:c r="B25" s="107"/>
      <x:c r="C25" s="108"/>
      <x:c r="D25" s="111"/>
      <x:c r="E25" s="111"/>
      <x:c r="F25" s="111"/>
      <x:c r="G25" s="111"/>
      <x:c r="H25" s="111"/>
      <x:c r="I25" s="111"/>
      <x:c r="J25" s="111"/>
      <x:c r="K25" s="111"/>
      <x:c r="L25" s="111"/>
      <x:c r="M25" s="111"/>
      <x:c r="N25" s="111"/>
      <x:c r="O25" s="111"/>
      <x:c r="P25" s="111"/>
      <x:c r="Q25" s="111"/>
      <x:c r="R25" s="111"/>
      <x:c r="S25" s="111"/>
      <x:c r="T25" s="111"/>
    </x:row>
    <x:row r="26" ht="28" customHeight="1">
      <x:c r="A26" s="107"/>
      <x:c r="B26" s="107"/>
      <x:c r="C26" s="108"/>
      <x:c r="D26" s="111"/>
      <x:c r="E26" s="111"/>
      <x:c r="F26" s="111"/>
      <x:c r="G26" s="111"/>
      <x:c r="H26" s="111"/>
      <x:c r="I26" s="111"/>
      <x:c r="J26" s="111"/>
      <x:c r="K26" s="111"/>
      <x:c r="L26" s="111"/>
      <x:c r="M26" s="111"/>
      <x:c r="N26" s="111"/>
      <x:c r="O26" s="111"/>
      <x:c r="P26" s="111"/>
      <x:c r="Q26" s="111"/>
      <x:c r="R26" s="111"/>
      <x:c r="S26" s="111"/>
      <x:c r="T26" s="111"/>
    </x:row>
    <x:row r="27" ht="28" customHeight="1">
      <x:c r="A27" s="107"/>
      <x:c r="B27" s="107"/>
      <x:c r="C27" s="108"/>
      <x:c r="D27" s="111"/>
      <x:c r="E27" s="111"/>
      <x:c r="F27" s="111"/>
      <x:c r="G27" s="111"/>
      <x:c r="H27" s="111"/>
      <x:c r="I27" s="111"/>
      <x:c r="J27" s="111"/>
      <x:c r="K27" s="111"/>
      <x:c r="L27" s="111"/>
      <x:c r="M27" s="111"/>
      <x:c r="N27" s="111"/>
      <x:c r="O27" s="111"/>
      <x:c r="P27" s="111"/>
      <x:c r="Q27" s="111"/>
      <x:c r="R27" s="111"/>
      <x:c r="S27" s="111"/>
      <x:c r="T27" s="111"/>
    </x:row>
    <x:row r="28" ht="28" customHeight="1">
      <x:c r="A28" s="107"/>
      <x:c r="B28" s="107"/>
      <x:c r="C28" s="108"/>
      <x:c r="D28" s="111"/>
      <x:c r="E28" s="111"/>
      <x:c r="F28" s="111"/>
      <x:c r="G28" s="111"/>
      <x:c r="H28" s="111"/>
      <x:c r="I28" s="111"/>
      <x:c r="J28" s="111"/>
      <x:c r="K28" s="111"/>
      <x:c r="L28" s="111"/>
      <x:c r="M28" s="111"/>
      <x:c r="N28" s="111"/>
      <x:c r="O28" s="111"/>
      <x:c r="P28" s="111"/>
      <x:c r="Q28" s="111"/>
      <x:c r="R28" s="111"/>
      <x:c r="S28" s="111"/>
      <x:c r="T28" s="111"/>
    </x:row>
    <x:row r="29" ht="28" customHeight="1">
      <x:c r="A29" s="107"/>
      <x:c r="B29" s="107"/>
      <x:c r="C29" s="108"/>
      <x:c r="D29" s="111"/>
      <x:c r="E29" s="111"/>
      <x:c r="F29" s="111"/>
      <x:c r="G29" s="111"/>
      <x:c r="H29" s="111"/>
      <x:c r="I29" s="111"/>
      <x:c r="J29" s="111"/>
      <x:c r="K29" s="111"/>
      <x:c r="L29" s="111"/>
      <x:c r="M29" s="111"/>
      <x:c r="N29" s="111"/>
      <x:c r="O29" s="111"/>
      <x:c r="P29" s="111"/>
      <x:c r="Q29" s="111"/>
      <x:c r="R29" s="111"/>
      <x:c r="S29" s="111"/>
      <x:c r="T29" s="111"/>
    </x:row>
    <x:row r="30" ht="28" customHeight="1">
      <x:c r="A30" s="107"/>
      <x:c r="B30" s="107"/>
      <x:c r="C30" s="108"/>
      <x:c r="D30" s="111"/>
      <x:c r="E30" s="111"/>
      <x:c r="F30" s="111"/>
      <x:c r="G30" s="111"/>
      <x:c r="H30" s="111"/>
      <x:c r="I30" s="111"/>
      <x:c r="J30" s="111"/>
      <x:c r="K30" s="111"/>
      <x:c r="L30" s="111"/>
      <x:c r="M30" s="111"/>
      <x:c r="N30" s="111"/>
      <x:c r="O30" s="111"/>
      <x:c r="P30" s="111"/>
      <x:c r="Q30" s="111"/>
      <x:c r="R30" s="111"/>
      <x:c r="S30" s="111"/>
      <x:c r="T30" s="111"/>
    </x:row>
    <x:row r="31" ht="28" customHeight="1">
      <x:c r="A31" s="107"/>
      <x:c r="B31" s="107"/>
      <x:c r="C31" s="108"/>
      <x:c r="D31" s="111"/>
      <x:c r="E31" s="111"/>
      <x:c r="F31" s="111"/>
      <x:c r="G31" s="111"/>
      <x:c r="H31" s="111"/>
      <x:c r="I31" s="111"/>
      <x:c r="J31" s="111"/>
      <x:c r="K31" s="111"/>
      <x:c r="L31" s="111"/>
      <x:c r="M31" s="111"/>
      <x:c r="N31" s="111"/>
      <x:c r="O31" s="111"/>
      <x:c r="P31" s="111"/>
      <x:c r="Q31" s="111"/>
      <x:c r="R31" s="111"/>
      <x:c r="S31" s="111"/>
      <x:c r="T31" s="111"/>
    </x:row>
    <x:row r="32" ht="28" customHeight="1">
      <x:c r="A32" s="107"/>
      <x:c r="B32" s="107"/>
      <x:c r="C32" s="108"/>
      <x:c r="D32" s="111"/>
      <x:c r="E32" s="111"/>
      <x:c r="F32" s="111"/>
      <x:c r="G32" s="111"/>
      <x:c r="H32" s="111"/>
      <x:c r="I32" s="111"/>
      <x:c r="J32" s="111"/>
      <x:c r="K32" s="111"/>
      <x:c r="L32" s="111"/>
      <x:c r="M32" s="111"/>
      <x:c r="N32" s="111"/>
      <x:c r="O32" s="111"/>
      <x:c r="P32" s="111"/>
      <x:c r="Q32" s="111"/>
      <x:c r="R32" s="111"/>
      <x:c r="S32" s="111"/>
      <x:c r="T32" s="111"/>
    </x:row>
    <x:row r="33" ht="28" customHeight="1">
      <x:c r="A33" s="107"/>
      <x:c r="B33" s="107"/>
      <x:c r="C33" s="108"/>
      <x:c r="D33" s="111"/>
      <x:c r="E33" s="111"/>
      <x:c r="F33" s="111"/>
      <x:c r="G33" s="111"/>
      <x:c r="H33" s="111"/>
      <x:c r="I33" s="111"/>
      <x:c r="J33" s="111"/>
      <x:c r="K33" s="111"/>
      <x:c r="L33" s="111"/>
      <x:c r="M33" s="111"/>
      <x:c r="N33" s="111"/>
      <x:c r="O33" s="111"/>
      <x:c r="P33" s="111"/>
      <x:c r="Q33" s="111"/>
      <x:c r="R33" s="111"/>
      <x:c r="S33" s="111"/>
      <x:c r="T33" s="111"/>
    </x:row>
    <x:row r="34" ht="28" customHeight="1">
      <x:c r="A34" s="107"/>
      <x:c r="B34" s="107"/>
      <x:c r="C34" s="108"/>
      <x:c r="D34" s="111"/>
      <x:c r="E34" s="111"/>
      <x:c r="F34" s="111"/>
      <x:c r="G34" s="111"/>
      <x:c r="H34" s="111"/>
      <x:c r="I34" s="111"/>
      <x:c r="J34" s="111"/>
      <x:c r="K34" s="111"/>
      <x:c r="L34" s="111"/>
      <x:c r="M34" s="111"/>
      <x:c r="N34" s="111"/>
      <x:c r="O34" s="111"/>
      <x:c r="P34" s="111"/>
      <x:c r="Q34" s="111"/>
      <x:c r="R34" s="111"/>
      <x:c r="S34" s="111"/>
      <x:c r="T34" s="111"/>
    </x:row>
    <x:row r="35" ht="28" customHeight="1">
      <x:c r="A35" s="107"/>
      <x:c r="B35" s="107"/>
      <x:c r="C35" s="108"/>
      <x:c r="D35" s="111"/>
      <x:c r="E35" s="111"/>
      <x:c r="F35" s="111"/>
      <x:c r="G35" s="111"/>
      <x:c r="H35" s="111"/>
      <x:c r="I35" s="111"/>
      <x:c r="J35" s="111"/>
      <x:c r="K35" s="111"/>
      <x:c r="L35" s="111"/>
      <x:c r="M35" s="111"/>
      <x:c r="N35" s="111"/>
      <x:c r="O35" s="111"/>
      <x:c r="P35" s="111"/>
      <x:c r="Q35" s="111"/>
      <x:c r="R35" s="111"/>
      <x:c r="S35" s="111"/>
      <x:c r="T35" s="111"/>
    </x:row>
    <x:row r="36" ht="28" customHeight="1">
      <x:c r="A36" s="107"/>
      <x:c r="B36" s="107"/>
      <x:c r="C36" s="108"/>
      <x:c r="D36" s="111"/>
      <x:c r="E36" s="111"/>
      <x:c r="F36" s="111"/>
      <x:c r="G36" s="111"/>
      <x:c r="H36" s="111"/>
      <x:c r="I36" s="111"/>
      <x:c r="J36" s="111"/>
      <x:c r="K36" s="111"/>
      <x:c r="L36" s="111"/>
      <x:c r="M36" s="111"/>
      <x:c r="N36" s="111"/>
      <x:c r="O36" s="111"/>
      <x:c r="P36" s="111"/>
      <x:c r="Q36" s="111"/>
      <x:c r="R36" s="111"/>
      <x:c r="S36" s="111"/>
      <x:c r="T36" s="111"/>
    </x:row>
    <x:row r="37" ht="28" customHeight="1">
      <x:c r="A37" s="107"/>
      <x:c r="B37" s="107"/>
      <x:c r="C37" s="108"/>
      <x:c r="D37" s="111"/>
      <x:c r="E37" s="111"/>
      <x:c r="F37" s="111"/>
      <x:c r="G37" s="111"/>
      <x:c r="H37" s="111"/>
      <x:c r="I37" s="111"/>
      <x:c r="J37" s="111"/>
      <x:c r="K37" s="111"/>
      <x:c r="L37" s="111"/>
      <x:c r="M37" s="111"/>
      <x:c r="N37" s="111"/>
      <x:c r="O37" s="111"/>
      <x:c r="P37" s="111"/>
      <x:c r="Q37" s="111"/>
      <x:c r="R37" s="111"/>
      <x:c r="S37" s="111"/>
      <x:c r="T37" s="111"/>
    </x:row>
    <x:row r="38" ht="28" customHeight="1">
      <x:c r="A38" s="107"/>
      <x:c r="B38" s="107"/>
      <x:c r="C38" s="108"/>
      <x:c r="D38" s="111"/>
      <x:c r="E38" s="111"/>
      <x:c r="F38" s="111"/>
      <x:c r="G38" s="111"/>
      <x:c r="H38" s="111"/>
      <x:c r="I38" s="111"/>
      <x:c r="J38" s="111"/>
      <x:c r="K38" s="111"/>
      <x:c r="L38" s="111"/>
      <x:c r="M38" s="111"/>
      <x:c r="N38" s="111"/>
      <x:c r="O38" s="111"/>
      <x:c r="P38" s="111"/>
      <x:c r="Q38" s="111"/>
      <x:c r="R38" s="111"/>
      <x:c r="S38" s="111"/>
      <x:c r="T38" s="111"/>
    </x:row>
    <x:row r="39" ht="28" customHeight="1">
      <x:c r="A39" s="107"/>
      <x:c r="B39" s="107"/>
      <x:c r="C39" s="108"/>
      <x:c r="D39" s="111"/>
      <x:c r="E39" s="111"/>
      <x:c r="F39" s="111"/>
      <x:c r="G39" s="111"/>
      <x:c r="H39" s="111"/>
      <x:c r="I39" s="111"/>
      <x:c r="J39" s="111"/>
      <x:c r="K39" s="111"/>
      <x:c r="L39" s="111"/>
      <x:c r="M39" s="111"/>
      <x:c r="N39" s="111"/>
      <x:c r="O39" s="111"/>
      <x:c r="P39" s="111"/>
      <x:c r="Q39" s="111"/>
      <x:c r="R39" s="111"/>
      <x:c r="S39" s="111"/>
      <x:c r="T39" s="111"/>
    </x:row>
    <x:row r="40" ht="28" customHeight="1">
      <x:c r="A40" s="107"/>
      <x:c r="B40" s="107"/>
      <x:c r="C40" s="108"/>
      <x:c r="D40" s="111"/>
      <x:c r="E40" s="111"/>
      <x:c r="F40" s="111"/>
      <x:c r="G40" s="111"/>
      <x:c r="H40" s="111"/>
      <x:c r="I40" s="111"/>
      <x:c r="J40" s="111"/>
      <x:c r="K40" s="111"/>
      <x:c r="L40" s="111"/>
      <x:c r="M40" s="111"/>
      <x:c r="N40" s="111"/>
      <x:c r="O40" s="111"/>
      <x:c r="P40" s="111"/>
      <x:c r="Q40" s="111"/>
      <x:c r="R40" s="111"/>
      <x:c r="S40" s="111"/>
      <x:c r="T40" s="111"/>
    </x:row>
    <x:row r="41" ht="28" customHeight="1">
      <x:c r="A41" s="107"/>
      <x:c r="B41" s="107"/>
      <x:c r="C41" s="108"/>
      <x:c r="D41" s="111"/>
      <x:c r="E41" s="111"/>
      <x:c r="F41" s="111"/>
      <x:c r="G41" s="111"/>
      <x:c r="H41" s="111"/>
      <x:c r="I41" s="111"/>
      <x:c r="J41" s="111"/>
      <x:c r="K41" s="111"/>
      <x:c r="L41" s="111"/>
      <x:c r="M41" s="111"/>
      <x:c r="N41" s="111"/>
      <x:c r="O41" s="111"/>
      <x:c r="P41" s="111"/>
      <x:c r="Q41" s="111"/>
      <x:c r="R41" s="111"/>
      <x:c r="S41" s="111"/>
      <x:c r="T41" s="111"/>
    </x:row>
    <x:row r="42" ht="28" customHeight="1">
      <x:c r="A42" s="107"/>
      <x:c r="B42" s="107"/>
      <x:c r="C42" s="108"/>
      <x:c r="D42" s="111"/>
      <x:c r="E42" s="111"/>
      <x:c r="F42" s="111"/>
      <x:c r="G42" s="111"/>
      <x:c r="H42" s="111"/>
      <x:c r="I42" s="111"/>
      <x:c r="J42" s="111"/>
      <x:c r="K42" s="111"/>
      <x:c r="L42" s="111"/>
      <x:c r="M42" s="111"/>
      <x:c r="N42" s="111"/>
      <x:c r="O42" s="111"/>
      <x:c r="P42" s="111"/>
      <x:c r="Q42" s="111"/>
      <x:c r="R42" s="111"/>
      <x:c r="S42" s="111"/>
      <x:c r="T42" s="111"/>
    </x:row>
    <x:row r="43" ht="28" customHeight="1">
      <x:c r="A43" s="107"/>
      <x:c r="B43" s="107"/>
      <x:c r="C43" s="108"/>
      <x:c r="D43" s="111"/>
      <x:c r="E43" s="111"/>
      <x:c r="F43" s="111"/>
      <x:c r="G43" s="111"/>
      <x:c r="H43" s="111"/>
      <x:c r="I43" s="111"/>
      <x:c r="J43" s="111"/>
      <x:c r="K43" s="111"/>
      <x:c r="L43" s="111"/>
      <x:c r="M43" s="111"/>
      <x:c r="N43" s="111"/>
      <x:c r="O43" s="111"/>
      <x:c r="P43" s="111"/>
      <x:c r="Q43" s="111"/>
      <x:c r="R43" s="111"/>
      <x:c r="S43" s="111"/>
      <x:c r="T43" s="111"/>
    </x:row>
    <x:row r="44" ht="28" customHeight="1">
      <x:c r="A44" s="107"/>
      <x:c r="B44" s="107"/>
      <x:c r="C44" s="108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1"/>
      <x:c r="P44" s="111"/>
      <x:c r="Q44" s="111"/>
      <x:c r="R44" s="111"/>
      <x:c r="S44" s="111"/>
      <x:c r="T44" s="111"/>
    </x:row>
    <x:row r="45" ht="28" customHeight="1">
      <x:c r="A45" s="107"/>
      <x:c r="B45" s="107"/>
      <x:c r="C45" s="108"/>
      <x:c r="D45" s="111"/>
      <x:c r="E45" s="111"/>
      <x:c r="F45" s="111"/>
      <x:c r="G45" s="111"/>
      <x:c r="H45" s="111"/>
      <x:c r="I45" s="111"/>
      <x:c r="J45" s="111"/>
      <x:c r="K45" s="111"/>
      <x:c r="L45" s="111"/>
      <x:c r="M45" s="111"/>
      <x:c r="N45" s="111"/>
      <x:c r="O45" s="111"/>
      <x:c r="P45" s="111"/>
      <x:c r="Q45" s="111"/>
      <x:c r="R45" s="111"/>
      <x:c r="S45" s="111"/>
      <x:c r="T45" s="111"/>
    </x:row>
    <x:row r="46" ht="28" customHeight="1">
      <x:c r="A46" s="107"/>
      <x:c r="B46" s="107"/>
      <x:c r="C46" s="108"/>
      <x:c r="D46" s="111"/>
      <x:c r="E46" s="111"/>
      <x:c r="F46" s="111"/>
      <x:c r="G46" s="111"/>
      <x:c r="H46" s="111"/>
      <x:c r="I46" s="111"/>
      <x:c r="J46" s="111"/>
      <x:c r="K46" s="111"/>
      <x:c r="L46" s="111"/>
      <x:c r="M46" s="111"/>
      <x:c r="N46" s="111"/>
      <x:c r="O46" s="111"/>
      <x:c r="P46" s="111"/>
      <x:c r="Q46" s="111"/>
      <x:c r="R46" s="111"/>
      <x:c r="S46" s="111"/>
      <x:c r="T46" s="111"/>
    </x:row>
    <x:row r="47" ht="28" customHeight="1">
      <x:c r="A47" s="107"/>
      <x:c r="B47" s="107"/>
      <x:c r="C47" s="108"/>
      <x:c r="D47" s="111"/>
      <x:c r="E47" s="111"/>
      <x:c r="F47" s="111"/>
      <x:c r="G47" s="111"/>
      <x:c r="H47" s="111"/>
      <x:c r="I47" s="111"/>
      <x:c r="J47" s="111"/>
      <x:c r="K47" s="111"/>
      <x:c r="L47" s="111"/>
      <x:c r="M47" s="111"/>
      <x:c r="N47" s="111"/>
      <x:c r="O47" s="111"/>
      <x:c r="P47" s="111"/>
      <x:c r="Q47" s="111"/>
      <x:c r="R47" s="111"/>
      <x:c r="S47" s="111"/>
      <x:c r="T47" s="111"/>
    </x:row>
    <x:row r="48" ht="28" customHeight="1">
      <x:c r="A48" s="107"/>
      <x:c r="B48" s="107"/>
      <x:c r="C48" s="108"/>
      <x:c r="D48" s="111"/>
      <x:c r="E48" s="111"/>
      <x:c r="F48" s="111"/>
      <x:c r="G48" s="111"/>
      <x:c r="H48" s="111"/>
      <x:c r="I48" s="111"/>
      <x:c r="J48" s="111"/>
      <x:c r="K48" s="111"/>
      <x:c r="L48" s="111"/>
      <x:c r="M48" s="111"/>
      <x:c r="N48" s="111"/>
      <x:c r="O48" s="111"/>
      <x:c r="P48" s="111"/>
      <x:c r="Q48" s="111"/>
      <x:c r="R48" s="111"/>
      <x:c r="S48" s="111"/>
      <x:c r="T48" s="111"/>
    </x:row>
    <x:row r="49" ht="28" customHeight="1">
      <x:c r="A49" s="107"/>
      <x:c r="B49" s="107"/>
      <x:c r="C49" s="108"/>
      <x:c r="D49" s="111"/>
      <x:c r="E49" s="111"/>
      <x:c r="F49" s="111"/>
      <x:c r="G49" s="111"/>
      <x:c r="H49" s="111"/>
      <x:c r="I49" s="111"/>
      <x:c r="J49" s="111"/>
      <x:c r="K49" s="111"/>
      <x:c r="L49" s="111"/>
      <x:c r="M49" s="111"/>
      <x:c r="N49" s="111"/>
      <x:c r="O49" s="111"/>
      <x:c r="P49" s="111"/>
      <x:c r="Q49" s="111"/>
      <x:c r="R49" s="111"/>
      <x:c r="S49" s="111"/>
      <x:c r="T49" s="111"/>
    </x:row>
    <x:row r="50" ht="28" customHeight="1">
      <x:c r="A50" s="107"/>
      <x:c r="B50" s="107"/>
      <x:c r="C50" s="108"/>
      <x:c r="D50" s="111"/>
      <x:c r="E50" s="111"/>
      <x:c r="F50" s="111"/>
      <x:c r="G50" s="111"/>
      <x:c r="H50" s="111"/>
      <x:c r="I50" s="111"/>
      <x:c r="J50" s="111"/>
      <x:c r="K50" s="111"/>
      <x:c r="L50" s="111"/>
      <x:c r="M50" s="111"/>
      <x:c r="N50" s="111"/>
      <x:c r="O50" s="111"/>
      <x:c r="P50" s="111"/>
      <x:c r="Q50" s="111"/>
      <x:c r="R50" s="111"/>
      <x:c r="S50" s="111"/>
      <x:c r="T50" s="111"/>
    </x:row>
    <x:row r="51" ht="28" customHeight="1">
      <x:c r="A51" s="107"/>
      <x:c r="B51" s="107"/>
      <x:c r="C51" s="108"/>
      <x:c r="D51" s="111"/>
      <x:c r="E51" s="111"/>
      <x:c r="F51" s="111"/>
      <x:c r="G51" s="111"/>
      <x:c r="H51" s="111"/>
      <x:c r="I51" s="111"/>
      <x:c r="J51" s="111"/>
      <x:c r="K51" s="111"/>
      <x:c r="L51" s="111"/>
      <x:c r="M51" s="111"/>
      <x:c r="N51" s="111"/>
      <x:c r="O51" s="111"/>
      <x:c r="P51" s="111"/>
      <x:c r="Q51" s="111"/>
      <x:c r="R51" s="111"/>
      <x:c r="S51" s="111"/>
      <x:c r="T51" s="111"/>
    </x:row>
    <x:row r="52" ht="28" customHeight="1">
      <x:c r="A52" s="107"/>
      <x:c r="B52" s="107"/>
      <x:c r="C52" s="108"/>
      <x:c r="D52" s="111"/>
      <x:c r="E52" s="111"/>
      <x:c r="F52" s="111"/>
      <x:c r="G52" s="111"/>
      <x:c r="H52" s="111"/>
      <x:c r="I52" s="111"/>
      <x:c r="J52" s="111"/>
      <x:c r="K52" s="111"/>
      <x:c r="L52" s="111"/>
      <x:c r="M52" s="111"/>
      <x:c r="N52" s="111"/>
      <x:c r="O52" s="111"/>
      <x:c r="P52" s="111"/>
      <x:c r="Q52" s="111"/>
      <x:c r="R52" s="111"/>
      <x:c r="S52" s="111"/>
      <x:c r="T52" s="111"/>
    </x:row>
    <x:row r="53" ht="28" customHeight="1">
      <x:c r="A53" s="107"/>
      <x:c r="B53" s="107"/>
      <x:c r="C53" s="108"/>
      <x:c r="D53" s="111"/>
      <x:c r="E53" s="111"/>
      <x:c r="F53" s="111"/>
      <x:c r="G53" s="111"/>
      <x:c r="H53" s="111"/>
      <x:c r="I53" s="111"/>
      <x:c r="J53" s="111"/>
      <x:c r="K53" s="111"/>
      <x:c r="L53" s="111"/>
      <x:c r="M53" s="111"/>
      <x:c r="N53" s="111"/>
      <x:c r="O53" s="111"/>
      <x:c r="P53" s="111"/>
      <x:c r="Q53" s="111"/>
      <x:c r="R53" s="111"/>
      <x:c r="S53" s="111"/>
      <x:c r="T53" s="111"/>
    </x:row>
    <x:row r="54" ht="28" customHeight="1">
      <x:c r="A54" s="107"/>
      <x:c r="B54" s="107"/>
      <x:c r="C54" s="108"/>
      <x:c r="D54" s="111"/>
      <x:c r="E54" s="111"/>
      <x:c r="F54" s="111"/>
      <x:c r="G54" s="111"/>
      <x:c r="H54" s="111"/>
      <x:c r="I54" s="111"/>
      <x:c r="J54" s="111"/>
      <x:c r="K54" s="111"/>
      <x:c r="L54" s="111"/>
      <x:c r="M54" s="111"/>
      <x:c r="N54" s="111"/>
      <x:c r="O54" s="111"/>
      <x:c r="P54" s="111"/>
      <x:c r="Q54" s="111"/>
      <x:c r="R54" s="111"/>
      <x:c r="S54" s="111"/>
      <x:c r="T54" s="111"/>
    </x:row>
    <x:row r="55" ht="28" customHeight="1">
      <x:c r="A55" s="107"/>
      <x:c r="B55" s="107"/>
      <x:c r="C55" s="108"/>
      <x:c r="D55" s="111"/>
      <x:c r="E55" s="111"/>
      <x:c r="F55" s="111"/>
      <x:c r="G55" s="111"/>
      <x:c r="H55" s="111"/>
      <x:c r="I55" s="111"/>
      <x:c r="J55" s="111"/>
      <x:c r="K55" s="111"/>
      <x:c r="L55" s="111"/>
      <x:c r="M55" s="111"/>
      <x:c r="N55" s="111"/>
      <x:c r="O55" s="111"/>
      <x:c r="P55" s="111"/>
      <x:c r="Q55" s="111"/>
      <x:c r="R55" s="111"/>
      <x:c r="S55" s="111"/>
      <x:c r="T55" s="111"/>
    </x:row>
    <x:row r="56" ht="28" customHeight="1">
      <x:c r="A56" s="107"/>
      <x:c r="B56" s="107"/>
      <x:c r="C56" s="108"/>
      <x:c r="D56" s="111"/>
      <x:c r="E56" s="111"/>
      <x:c r="F56" s="111"/>
      <x:c r="G56" s="111"/>
      <x:c r="H56" s="111"/>
      <x:c r="I56" s="111"/>
      <x:c r="J56" s="111"/>
      <x:c r="K56" s="111"/>
      <x:c r="L56" s="111"/>
      <x:c r="M56" s="111"/>
      <x:c r="N56" s="111"/>
      <x:c r="O56" s="111"/>
      <x:c r="P56" s="111"/>
      <x:c r="Q56" s="111"/>
      <x:c r="R56" s="111"/>
      <x:c r="S56" s="111"/>
      <x:c r="T56" s="111"/>
    </x:row>
    <x:row r="57" ht="28" customHeight="1">
      <x:c r="A57" s="107"/>
      <x:c r="B57" s="107"/>
      <x:c r="C57" s="108"/>
      <x:c r="D57" s="111"/>
      <x:c r="E57" s="111"/>
      <x:c r="F57" s="111"/>
      <x:c r="G57" s="111"/>
      <x:c r="H57" s="111"/>
      <x:c r="I57" s="111"/>
      <x:c r="J57" s="111"/>
      <x:c r="K57" s="111"/>
      <x:c r="L57" s="111"/>
      <x:c r="M57" s="111"/>
      <x:c r="N57" s="111"/>
      <x:c r="O57" s="111"/>
      <x:c r="P57" s="111"/>
      <x:c r="Q57" s="111"/>
      <x:c r="R57" s="111"/>
      <x:c r="S57" s="111"/>
      <x:c r="T57" s="111"/>
    </x:row>
    <x:row r="58" ht="28" customHeight="1">
      <x:c r="A58" s="107"/>
      <x:c r="B58" s="107"/>
      <x:c r="C58" s="108"/>
      <x:c r="D58" s="111"/>
      <x:c r="E58" s="111"/>
      <x:c r="F58" s="111"/>
      <x:c r="G58" s="111"/>
      <x:c r="H58" s="111"/>
      <x:c r="I58" s="111"/>
      <x:c r="J58" s="111"/>
      <x:c r="K58" s="111"/>
      <x:c r="L58" s="111"/>
      <x:c r="M58" s="111"/>
      <x:c r="N58" s="111"/>
      <x:c r="O58" s="111"/>
      <x:c r="P58" s="111"/>
      <x:c r="Q58" s="111"/>
      <x:c r="R58" s="111"/>
      <x:c r="S58" s="111"/>
      <x:c r="T58" s="111"/>
    </x:row>
    <x:row r="59" ht="28" customHeight="1">
      <x:c r="A59" s="107"/>
      <x:c r="B59" s="107"/>
      <x:c r="C59" s="108"/>
      <x:c r="D59" s="111"/>
      <x:c r="E59" s="111"/>
      <x:c r="F59" s="111"/>
      <x:c r="G59" s="111"/>
      <x:c r="H59" s="111"/>
      <x:c r="I59" s="111"/>
      <x:c r="J59" s="111"/>
      <x:c r="K59" s="111"/>
      <x:c r="L59" s="111"/>
      <x:c r="M59" s="111"/>
      <x:c r="N59" s="111"/>
      <x:c r="O59" s="111"/>
      <x:c r="P59" s="111"/>
      <x:c r="Q59" s="111"/>
      <x:c r="R59" s="111"/>
      <x:c r="S59" s="111"/>
      <x:c r="T59" s="111"/>
    </x:row>
    <x:row r="60" ht="28" customHeight="1">
      <x:c r="A60" s="107"/>
      <x:c r="B60" s="107"/>
      <x:c r="C60" s="108"/>
      <x:c r="D60" s="111"/>
      <x:c r="E60" s="111"/>
      <x:c r="F60" s="111"/>
      <x:c r="G60" s="111"/>
      <x:c r="H60" s="111"/>
      <x:c r="I60" s="111"/>
      <x:c r="J60" s="111"/>
      <x:c r="K60" s="111"/>
      <x:c r="L60" s="111"/>
      <x:c r="M60" s="111"/>
      <x:c r="N60" s="111"/>
      <x:c r="O60" s="111"/>
      <x:c r="P60" s="111"/>
      <x:c r="Q60" s="111"/>
      <x:c r="R60" s="111"/>
      <x:c r="S60" s="111"/>
      <x:c r="T60" s="111"/>
    </x:row>
    <x:row r="61" ht="28" customHeight="1">
      <x:c r="A61" s="107"/>
      <x:c r="B61" s="107"/>
      <x:c r="C61" s="108"/>
      <x:c r="D61" s="111"/>
      <x:c r="E61" s="111"/>
      <x:c r="F61" s="111"/>
      <x:c r="G61" s="111"/>
      <x:c r="H61" s="111"/>
      <x:c r="I61" s="111"/>
      <x:c r="J61" s="111"/>
      <x:c r="K61" s="111"/>
      <x:c r="L61" s="111"/>
      <x:c r="M61" s="111"/>
      <x:c r="N61" s="111"/>
      <x:c r="O61" s="111"/>
      <x:c r="P61" s="111"/>
      <x:c r="Q61" s="111"/>
      <x:c r="R61" s="111"/>
      <x:c r="S61" s="111"/>
      <x:c r="T61" s="111"/>
    </x:row>
    <x:row r="62" ht="28" customHeight="1">
      <x:c r="A62" s="107"/>
      <x:c r="B62" s="107"/>
      <x:c r="C62" s="108"/>
      <x:c r="D62" s="111"/>
      <x:c r="E62" s="111"/>
      <x:c r="F62" s="111"/>
      <x:c r="G62" s="111"/>
      <x:c r="H62" s="111"/>
      <x:c r="I62" s="111"/>
      <x:c r="J62" s="111"/>
      <x:c r="K62" s="111"/>
      <x:c r="L62" s="111"/>
      <x:c r="M62" s="111"/>
      <x:c r="N62" s="111"/>
      <x:c r="O62" s="111"/>
      <x:c r="P62" s="111"/>
      <x:c r="Q62" s="111"/>
      <x:c r="R62" s="111"/>
      <x:c r="S62" s="111"/>
      <x:c r="T62" s="111"/>
    </x:row>
    <x:row r="63" ht="28" customHeight="1">
      <x:c r="A63" s="107"/>
      <x:c r="B63" s="107"/>
      <x:c r="C63" s="108"/>
      <x:c r="D63" s="111"/>
      <x:c r="E63" s="111"/>
      <x:c r="F63" s="111"/>
      <x:c r="G63" s="111"/>
      <x:c r="H63" s="111"/>
      <x:c r="I63" s="111"/>
      <x:c r="J63" s="111"/>
      <x:c r="K63" s="111"/>
      <x:c r="L63" s="111"/>
      <x:c r="M63" s="111"/>
      <x:c r="N63" s="111"/>
      <x:c r="O63" s="111"/>
      <x:c r="P63" s="111"/>
      <x:c r="Q63" s="111"/>
      <x:c r="R63" s="111"/>
      <x:c r="S63" s="111"/>
      <x:c r="T63" s="111"/>
    </x:row>
    <x:row r="64" ht="28" customHeight="1">
      <x:c r="A64" s="107"/>
      <x:c r="B64" s="107"/>
      <x:c r="C64" s="108"/>
      <x:c r="D64" s="111"/>
      <x:c r="E64" s="111"/>
      <x:c r="F64" s="111"/>
      <x:c r="G64" s="111"/>
      <x:c r="H64" s="111"/>
      <x:c r="I64" s="111"/>
      <x:c r="J64" s="111"/>
      <x:c r="K64" s="111"/>
      <x:c r="L64" s="111"/>
      <x:c r="M64" s="111"/>
      <x:c r="N64" s="111"/>
      <x:c r="O64" s="111"/>
      <x:c r="P64" s="111"/>
      <x:c r="Q64" s="111"/>
      <x:c r="R64" s="111"/>
      <x:c r="S64" s="111"/>
      <x:c r="T64" s="111"/>
    </x:row>
    <x:row r="65" ht="28" customHeight="1">
      <x:c r="A65" s="107"/>
      <x:c r="B65" s="107"/>
      <x:c r="C65" s="108"/>
      <x:c r="D65" s="111"/>
      <x:c r="E65" s="111"/>
      <x:c r="F65" s="111"/>
      <x:c r="G65" s="111"/>
      <x:c r="H65" s="111"/>
      <x:c r="I65" s="111"/>
      <x:c r="J65" s="111"/>
      <x:c r="K65" s="111"/>
      <x:c r="L65" s="111"/>
      <x:c r="M65" s="111"/>
      <x:c r="N65" s="111"/>
      <x:c r="O65" s="111"/>
      <x:c r="P65" s="111"/>
      <x:c r="Q65" s="111"/>
      <x:c r="R65" s="111"/>
      <x:c r="S65" s="111"/>
      <x:c r="T65" s="111"/>
    </x:row>
    <x:row r="66" ht="28" customHeight="1">
      <x:c r="A66" s="107"/>
      <x:c r="B66" s="107"/>
      <x:c r="C66" s="108"/>
      <x:c r="D66" s="111"/>
      <x:c r="E66" s="111"/>
      <x:c r="F66" s="111"/>
      <x:c r="G66" s="111"/>
      <x:c r="H66" s="111"/>
      <x:c r="I66" s="111"/>
      <x:c r="J66" s="111"/>
      <x:c r="K66" s="111"/>
      <x:c r="L66" s="111"/>
      <x:c r="M66" s="111"/>
      <x:c r="N66" s="111"/>
      <x:c r="O66" s="111"/>
      <x:c r="P66" s="111"/>
      <x:c r="Q66" s="111"/>
      <x:c r="R66" s="111"/>
      <x:c r="S66" s="111"/>
      <x:c r="T66" s="111"/>
    </x:row>
    <x:row r="67" ht="28" customHeight="1">
      <x:c r="A67" s="107"/>
      <x:c r="B67" s="107"/>
      <x:c r="C67" s="108"/>
      <x:c r="D67" s="111"/>
      <x:c r="E67" s="111"/>
      <x:c r="F67" s="111"/>
      <x:c r="G67" s="111"/>
      <x:c r="H67" s="111"/>
      <x:c r="I67" s="111"/>
      <x:c r="J67" s="111"/>
      <x:c r="K67" s="111"/>
      <x:c r="L67" s="111"/>
      <x:c r="M67" s="111"/>
      <x:c r="N67" s="111"/>
      <x:c r="O67" s="111"/>
      <x:c r="P67" s="111"/>
      <x:c r="Q67" s="111"/>
      <x:c r="R67" s="111"/>
      <x:c r="S67" s="111"/>
      <x:c r="T67" s="111"/>
    </x:row>
    <x:row r="68" ht="28" customHeight="1">
      <x:c r="A68" s="107"/>
      <x:c r="B68" s="107"/>
      <x:c r="C68" s="108"/>
      <x:c r="D68" s="111"/>
      <x:c r="E68" s="111"/>
      <x:c r="F68" s="111"/>
      <x:c r="G68" s="111"/>
      <x:c r="H68" s="111"/>
      <x:c r="I68" s="111"/>
      <x:c r="J68" s="111"/>
      <x:c r="K68" s="111"/>
      <x:c r="L68" s="111"/>
      <x:c r="M68" s="111"/>
      <x:c r="N68" s="111"/>
      <x:c r="O68" s="111"/>
      <x:c r="P68" s="111"/>
      <x:c r="Q68" s="111"/>
      <x:c r="R68" s="111"/>
      <x:c r="S68" s="111"/>
      <x:c r="T68" s="111"/>
    </x:row>
    <x:row r="69" ht="28" customHeight="1">
      <x:c r="A69" s="107"/>
      <x:c r="B69" s="107"/>
      <x:c r="C69" s="108"/>
      <x:c r="D69" s="111"/>
      <x:c r="E69" s="111"/>
      <x:c r="F69" s="111"/>
      <x:c r="G69" s="111"/>
      <x:c r="H69" s="111"/>
      <x:c r="I69" s="111"/>
      <x:c r="J69" s="111"/>
      <x:c r="K69" s="111"/>
      <x:c r="L69" s="111"/>
      <x:c r="M69" s="111"/>
      <x:c r="N69" s="111"/>
      <x:c r="O69" s="111"/>
      <x:c r="P69" s="111"/>
      <x:c r="Q69" s="111"/>
      <x:c r="R69" s="111"/>
      <x:c r="S69" s="111"/>
      <x:c r="T69" s="111"/>
    </x:row>
    <x:row r="70" ht="28" customHeight="1">
      <x:c r="A70" s="107"/>
      <x:c r="B70" s="107"/>
      <x:c r="C70" s="108"/>
      <x:c r="D70" s="111"/>
      <x:c r="E70" s="111"/>
      <x:c r="F70" s="111"/>
      <x:c r="G70" s="111"/>
      <x:c r="H70" s="111"/>
      <x:c r="I70" s="111"/>
      <x:c r="J70" s="111"/>
      <x:c r="K70" s="111"/>
      <x:c r="L70" s="111"/>
      <x:c r="M70" s="111"/>
      <x:c r="N70" s="111"/>
      <x:c r="O70" s="111"/>
      <x:c r="P70" s="111"/>
      <x:c r="Q70" s="111"/>
      <x:c r="R70" s="111"/>
      <x:c r="S70" s="111"/>
      <x:c r="T70" s="111"/>
    </x:row>
    <x:row r="71" ht="28" customHeight="1">
      <x:c r="A71" s="107"/>
      <x:c r="B71" s="107"/>
      <x:c r="C71" s="108"/>
      <x:c r="D71" s="111"/>
      <x:c r="E71" s="111"/>
      <x:c r="F71" s="111"/>
      <x:c r="G71" s="111"/>
      <x:c r="H71" s="111"/>
      <x:c r="I71" s="111"/>
      <x:c r="J71" s="111"/>
      <x:c r="K71" s="111"/>
      <x:c r="L71" s="111"/>
      <x:c r="M71" s="111"/>
      <x:c r="N71" s="111"/>
      <x:c r="O71" s="111"/>
      <x:c r="P71" s="111"/>
      <x:c r="Q71" s="111"/>
      <x:c r="R71" s="111"/>
      <x:c r="S71" s="111"/>
      <x:c r="T71" s="111"/>
    </x:row>
    <x:row r="72" ht="28" customHeight="1">
      <x:c r="A72" s="107"/>
      <x:c r="B72" s="107"/>
      <x:c r="C72" s="108"/>
      <x:c r="D72" s="111"/>
      <x:c r="E72" s="111"/>
      <x:c r="F72" s="111"/>
      <x:c r="G72" s="111"/>
      <x:c r="H72" s="111"/>
      <x:c r="I72" s="111"/>
      <x:c r="J72" s="111"/>
      <x:c r="K72" s="111"/>
      <x:c r="L72" s="111"/>
      <x:c r="M72" s="111"/>
      <x:c r="N72" s="111"/>
      <x:c r="O72" s="111"/>
      <x:c r="P72" s="111"/>
      <x:c r="Q72" s="111"/>
      <x:c r="R72" s="111"/>
      <x:c r="S72" s="111"/>
      <x:c r="T72" s="111"/>
    </x:row>
    <x:row r="73" ht="28" customHeight="1">
      <x:c r="A73" s="107"/>
      <x:c r="B73" s="107"/>
      <x:c r="C73" s="108"/>
      <x:c r="D73" s="111"/>
      <x:c r="E73" s="111"/>
      <x:c r="F73" s="111"/>
      <x:c r="G73" s="111"/>
      <x:c r="H73" s="111"/>
      <x:c r="I73" s="111"/>
      <x:c r="J73" s="111"/>
      <x:c r="K73" s="111"/>
      <x:c r="L73" s="111"/>
      <x:c r="M73" s="111"/>
      <x:c r="N73" s="111"/>
      <x:c r="O73" s="111"/>
      <x:c r="P73" s="111"/>
      <x:c r="Q73" s="111"/>
      <x:c r="R73" s="111"/>
      <x:c r="S73" s="111"/>
      <x:c r="T73" s="111"/>
    </x:row>
    <x:row r="74" ht="28" customHeight="1">
      <x:c r="A74" s="107"/>
      <x:c r="B74" s="107"/>
      <x:c r="C74" s="108"/>
      <x:c r="D74" s="111"/>
      <x:c r="E74" s="111"/>
      <x:c r="F74" s="111"/>
      <x:c r="G74" s="111"/>
      <x:c r="H74" s="111"/>
      <x:c r="I74" s="111"/>
      <x:c r="J74" s="111"/>
      <x:c r="K74" s="111"/>
      <x:c r="L74" s="111"/>
      <x:c r="M74" s="111"/>
      <x:c r="N74" s="111"/>
      <x:c r="O74" s="111"/>
      <x:c r="P74" s="111"/>
      <x:c r="Q74" s="111"/>
      <x:c r="R74" s="111"/>
      <x:c r="S74" s="111"/>
      <x:c r="T74" s="111"/>
    </x:row>
    <x:row r="75" ht="28" customHeight="1">
      <x:c r="A75" s="107"/>
      <x:c r="B75" s="107"/>
      <x:c r="C75" s="108"/>
      <x:c r="D75" s="111"/>
      <x:c r="E75" s="111"/>
      <x:c r="F75" s="111"/>
      <x:c r="G75" s="111"/>
      <x:c r="H75" s="111"/>
      <x:c r="I75" s="111"/>
      <x:c r="J75" s="111"/>
      <x:c r="K75" s="111"/>
      <x:c r="L75" s="111"/>
      <x:c r="M75" s="111"/>
      <x:c r="N75" s="111"/>
      <x:c r="O75" s="111"/>
      <x:c r="P75" s="111"/>
      <x:c r="Q75" s="111"/>
      <x:c r="R75" s="111"/>
      <x:c r="S75" s="111"/>
      <x:c r="T75" s="111"/>
    </x:row>
    <x:row r="76" ht="28" customHeight="1">
      <x:c r="A76" s="107"/>
      <x:c r="B76" s="107"/>
      <x:c r="C76" s="108"/>
      <x:c r="D76" s="111"/>
      <x:c r="E76" s="111"/>
      <x:c r="F76" s="111"/>
      <x:c r="G76" s="111"/>
      <x:c r="H76" s="111"/>
      <x:c r="I76" s="111"/>
      <x:c r="J76" s="111"/>
      <x:c r="K76" s="111"/>
      <x:c r="L76" s="111"/>
      <x:c r="M76" s="111"/>
      <x:c r="N76" s="111"/>
      <x:c r="O76" s="111"/>
      <x:c r="P76" s="111"/>
      <x:c r="Q76" s="111"/>
      <x:c r="R76" s="111"/>
      <x:c r="S76" s="111"/>
      <x:c r="T76" s="111"/>
    </x:row>
    <x:row r="77" ht="28" customHeight="1">
      <x:c r="A77" s="107"/>
      <x:c r="B77" s="107"/>
      <x:c r="C77" s="108"/>
      <x:c r="D77" s="111"/>
      <x:c r="E77" s="111"/>
      <x:c r="F77" s="111"/>
      <x:c r="G77" s="111"/>
      <x:c r="H77" s="111"/>
      <x:c r="I77" s="111"/>
      <x:c r="J77" s="111"/>
      <x:c r="K77" s="111"/>
      <x:c r="L77" s="111"/>
      <x:c r="M77" s="111"/>
      <x:c r="N77" s="111"/>
      <x:c r="O77" s="111"/>
      <x:c r="P77" s="111"/>
      <x:c r="Q77" s="111"/>
      <x:c r="R77" s="111"/>
      <x:c r="S77" s="111"/>
      <x:c r="T77" s="111"/>
    </x:row>
    <x:row r="78" ht="28" customHeight="1">
      <x:c r="A78" s="107"/>
      <x:c r="B78" s="107"/>
      <x:c r="C78" s="108"/>
      <x:c r="D78" s="111"/>
      <x:c r="E78" s="111"/>
      <x:c r="F78" s="111"/>
      <x:c r="G78" s="111"/>
      <x:c r="H78" s="111"/>
      <x:c r="I78" s="111"/>
      <x:c r="J78" s="111"/>
      <x:c r="K78" s="111"/>
      <x:c r="L78" s="111"/>
      <x:c r="M78" s="111"/>
      <x:c r="N78" s="111"/>
      <x:c r="O78" s="111"/>
      <x:c r="P78" s="111"/>
      <x:c r="Q78" s="111"/>
      <x:c r="R78" s="111"/>
      <x:c r="S78" s="111"/>
      <x:c r="T78" s="111"/>
    </x:row>
    <x:row r="79" ht="28" customHeight="1">
      <x:c r="A79" s="107"/>
      <x:c r="B79" s="107"/>
      <x:c r="C79" s="108"/>
      <x:c r="D79" s="111"/>
      <x:c r="E79" s="111"/>
      <x:c r="F79" s="111"/>
      <x:c r="G79" s="111"/>
      <x:c r="H79" s="111"/>
      <x:c r="I79" s="111"/>
      <x:c r="J79" s="111"/>
      <x:c r="K79" s="111"/>
      <x:c r="L79" s="111"/>
      <x:c r="M79" s="111"/>
      <x:c r="N79" s="111"/>
      <x:c r="O79" s="111"/>
      <x:c r="P79" s="111"/>
      <x:c r="Q79" s="111"/>
      <x:c r="R79" s="111"/>
      <x:c r="S79" s="111"/>
      <x:c r="T79" s="111"/>
    </x:row>
    <x:row r="80" ht="28" customHeight="1">
      <x:c r="A80" s="107"/>
      <x:c r="B80" s="107"/>
      <x:c r="C80" s="108"/>
      <x:c r="D80" s="111"/>
      <x:c r="E80" s="111"/>
      <x:c r="F80" s="111"/>
      <x:c r="G80" s="111"/>
      <x:c r="H80" s="111"/>
      <x:c r="I80" s="111"/>
      <x:c r="J80" s="111"/>
      <x:c r="K80" s="111"/>
      <x:c r="L80" s="111"/>
      <x:c r="M80" s="111"/>
      <x:c r="N80" s="111"/>
      <x:c r="O80" s="111"/>
      <x:c r="P80" s="111"/>
      <x:c r="Q80" s="111"/>
      <x:c r="R80" s="111"/>
      <x:c r="S80" s="111"/>
      <x:c r="T80" s="111"/>
    </x:row>
    <x:row r="81" ht="28" customHeight="1">
      <x:c r="A81" s="107"/>
      <x:c r="B81" s="107"/>
      <x:c r="C81" s="108"/>
      <x:c r="D81" s="111"/>
      <x:c r="E81" s="111"/>
      <x:c r="F81" s="111"/>
      <x:c r="G81" s="111"/>
      <x:c r="H81" s="111"/>
      <x:c r="I81" s="111"/>
      <x:c r="J81" s="111"/>
      <x:c r="K81" s="111"/>
      <x:c r="L81" s="111"/>
      <x:c r="M81" s="111"/>
      <x:c r="N81" s="111"/>
      <x:c r="O81" s="111"/>
      <x:c r="P81" s="111"/>
      <x:c r="Q81" s="111"/>
      <x:c r="R81" s="111"/>
      <x:c r="S81" s="111"/>
      <x:c r="T81" s="111"/>
    </x:row>
    <x:row r="82" ht="28" customHeight="1">
      <x:c r="A82" s="107"/>
      <x:c r="B82" s="107"/>
      <x:c r="C82" s="108"/>
      <x:c r="D82" s="111"/>
      <x:c r="E82" s="111"/>
      <x:c r="F82" s="111"/>
      <x:c r="G82" s="111"/>
      <x:c r="H82" s="111"/>
      <x:c r="I82" s="111"/>
      <x:c r="J82" s="111"/>
      <x:c r="K82" s="111"/>
      <x:c r="L82" s="111"/>
      <x:c r="M82" s="111"/>
      <x:c r="N82" s="111"/>
      <x:c r="O82" s="111"/>
      <x:c r="P82" s="111"/>
      <x:c r="Q82" s="111"/>
      <x:c r="R82" s="111"/>
      <x:c r="S82" s="111"/>
      <x:c r="T82" s="111"/>
    </x:row>
    <x:row r="83" ht="28" customHeight="1">
      <x:c r="A83" s="107"/>
      <x:c r="B83" s="107"/>
      <x:c r="C83" s="108"/>
      <x:c r="D83" s="111"/>
      <x:c r="E83" s="111"/>
      <x:c r="F83" s="111"/>
      <x:c r="G83" s="111"/>
      <x:c r="H83" s="111"/>
      <x:c r="I83" s="111"/>
      <x:c r="J83" s="111"/>
      <x:c r="K83" s="111"/>
      <x:c r="L83" s="111"/>
      <x:c r="M83" s="111"/>
      <x:c r="N83" s="111"/>
      <x:c r="O83" s="111"/>
      <x:c r="P83" s="111"/>
      <x:c r="Q83" s="111"/>
      <x:c r="R83" s="111"/>
      <x:c r="S83" s="111"/>
      <x:c r="T83" s="111"/>
    </x:row>
    <x:row r="84" ht="28" customHeight="1">
      <x:c r="A84" s="107"/>
      <x:c r="B84" s="107"/>
      <x:c r="C84" s="108"/>
      <x:c r="D84" s="111"/>
      <x:c r="E84" s="111"/>
      <x:c r="F84" s="111"/>
      <x:c r="G84" s="111"/>
      <x:c r="H84" s="111"/>
      <x:c r="I84" s="111"/>
      <x:c r="J84" s="111"/>
      <x:c r="K84" s="111"/>
      <x:c r="L84" s="111"/>
      <x:c r="M84" s="111"/>
      <x:c r="N84" s="111"/>
      <x:c r="O84" s="111"/>
      <x:c r="P84" s="111"/>
      <x:c r="Q84" s="111"/>
      <x:c r="R84" s="111"/>
      <x:c r="S84" s="111"/>
      <x:c r="T84" s="111"/>
    </x:row>
    <x:row r="85" ht="28" customHeight="1">
      <x:c r="A85" s="107"/>
      <x:c r="B85" s="107"/>
      <x:c r="C85" s="108"/>
      <x:c r="D85" s="111"/>
      <x:c r="E85" s="111"/>
      <x:c r="F85" s="111"/>
      <x:c r="G85" s="111"/>
      <x:c r="H85" s="111"/>
      <x:c r="I85" s="111"/>
      <x:c r="J85" s="111"/>
      <x:c r="K85" s="111"/>
      <x:c r="L85" s="111"/>
      <x:c r="M85" s="111"/>
      <x:c r="N85" s="111"/>
      <x:c r="O85" s="111"/>
      <x:c r="P85" s="111"/>
      <x:c r="Q85" s="111"/>
      <x:c r="R85" s="111"/>
      <x:c r="S85" s="111"/>
      <x:c r="T85" s="111"/>
    </x:row>
    <x:row r="86" ht="28" customHeight="1">
      <x:c r="A86" s="107"/>
      <x:c r="B86" s="107"/>
      <x:c r="C86" s="108"/>
      <x:c r="D86" s="111"/>
      <x:c r="E86" s="111"/>
      <x:c r="F86" s="111"/>
      <x:c r="G86" s="111"/>
      <x:c r="H86" s="111"/>
      <x:c r="I86" s="111"/>
      <x:c r="J86" s="111"/>
      <x:c r="K86" s="111"/>
      <x:c r="L86" s="111"/>
      <x:c r="M86" s="111"/>
      <x:c r="N86" s="111"/>
      <x:c r="O86" s="111"/>
      <x:c r="P86" s="111"/>
      <x:c r="Q86" s="111"/>
      <x:c r="R86" s="111"/>
      <x:c r="S86" s="111"/>
      <x:c r="T86" s="111"/>
    </x:row>
    <x:row r="87" ht="28" customHeight="1">
      <x:c r="A87" s="107"/>
      <x:c r="B87" s="107"/>
      <x:c r="C87" s="108"/>
      <x:c r="D87" s="111"/>
      <x:c r="E87" s="111"/>
      <x:c r="F87" s="111"/>
      <x:c r="G87" s="111"/>
      <x:c r="H87" s="111"/>
      <x:c r="I87" s="111"/>
      <x:c r="J87" s="111"/>
      <x:c r="K87" s="111"/>
      <x:c r="L87" s="111"/>
      <x:c r="M87" s="111"/>
      <x:c r="N87" s="111"/>
      <x:c r="O87" s="111"/>
      <x:c r="P87" s="111"/>
      <x:c r="Q87" s="111"/>
      <x:c r="R87" s="111"/>
      <x:c r="S87" s="111"/>
      <x:c r="T87" s="111"/>
    </x:row>
    <x:row r="88" ht="28" customHeight="1">
      <x:c r="A88" s="107"/>
      <x:c r="B88" s="107"/>
      <x:c r="C88" s="108"/>
      <x:c r="D88" s="111"/>
      <x:c r="E88" s="111"/>
      <x:c r="F88" s="111"/>
      <x:c r="G88" s="111"/>
      <x:c r="H88" s="111"/>
      <x:c r="I88" s="111"/>
      <x:c r="J88" s="111"/>
      <x:c r="K88" s="111"/>
      <x:c r="L88" s="111"/>
      <x:c r="M88" s="111"/>
      <x:c r="N88" s="111"/>
      <x:c r="O88" s="111"/>
      <x:c r="P88" s="111"/>
      <x:c r="Q88" s="111"/>
      <x:c r="R88" s="111"/>
      <x:c r="S88" s="111"/>
      <x:c r="T88" s="111"/>
    </x:row>
    <x:row r="89" ht="28" customHeight="1">
      <x:c r="A89" s="107"/>
      <x:c r="B89" s="107"/>
      <x:c r="C89" s="108"/>
      <x:c r="D89" s="111"/>
      <x:c r="E89" s="111"/>
      <x:c r="F89" s="111"/>
      <x:c r="G89" s="111"/>
      <x:c r="H89" s="111"/>
      <x:c r="I89" s="111"/>
      <x:c r="J89" s="111"/>
      <x:c r="K89" s="111"/>
      <x:c r="L89" s="111"/>
      <x:c r="M89" s="111"/>
      <x:c r="N89" s="111"/>
      <x:c r="O89" s="111"/>
      <x:c r="P89" s="111"/>
      <x:c r="Q89" s="111"/>
      <x:c r="R89" s="111"/>
      <x:c r="S89" s="111"/>
      <x:c r="T89" s="111"/>
    </x:row>
    <x:row r="90" ht="28" customHeight="1">
      <x:c r="A90" s="107"/>
      <x:c r="B90" s="107"/>
      <x:c r="C90" s="108"/>
      <x:c r="D90" s="111"/>
      <x:c r="E90" s="111"/>
      <x:c r="F90" s="111"/>
      <x:c r="G90" s="111"/>
      <x:c r="H90" s="111"/>
      <x:c r="I90" s="111"/>
      <x:c r="J90" s="111"/>
      <x:c r="K90" s="111"/>
      <x:c r="L90" s="111"/>
      <x:c r="M90" s="111"/>
      <x:c r="N90" s="111"/>
      <x:c r="O90" s="111"/>
      <x:c r="P90" s="111"/>
      <x:c r="Q90" s="111"/>
      <x:c r="R90" s="111"/>
      <x:c r="S90" s="111"/>
      <x:c r="T90" s="111"/>
    </x:row>
    <x:row r="91" ht="28" customHeight="1">
      <x:c r="A91" s="107"/>
      <x:c r="B91" s="107"/>
      <x:c r="C91" s="108"/>
      <x:c r="D91" s="111"/>
      <x:c r="E91" s="111"/>
      <x:c r="F91" s="111"/>
      <x:c r="G91" s="111"/>
      <x:c r="H91" s="111"/>
      <x:c r="I91" s="111"/>
      <x:c r="J91" s="111"/>
      <x:c r="K91" s="111"/>
      <x:c r="L91" s="111"/>
      <x:c r="M91" s="111"/>
      <x:c r="N91" s="111"/>
      <x:c r="O91" s="111"/>
      <x:c r="P91" s="111"/>
      <x:c r="Q91" s="111"/>
      <x:c r="R91" s="111"/>
      <x:c r="S91" s="111"/>
      <x:c r="T91" s="111"/>
    </x:row>
    <x:row r="92" ht="28" customHeight="1">
      <x:c r="A92" s="107"/>
      <x:c r="B92" s="107"/>
      <x:c r="C92" s="108"/>
      <x:c r="D92" s="111"/>
      <x:c r="E92" s="111"/>
      <x:c r="F92" s="111"/>
      <x:c r="G92" s="111"/>
      <x:c r="H92" s="111"/>
      <x:c r="I92" s="111"/>
      <x:c r="J92" s="111"/>
      <x:c r="K92" s="111"/>
      <x:c r="L92" s="111"/>
      <x:c r="M92" s="111"/>
      <x:c r="N92" s="111"/>
      <x:c r="O92" s="111"/>
      <x:c r="P92" s="111"/>
      <x:c r="Q92" s="111"/>
      <x:c r="R92" s="111"/>
      <x:c r="S92" s="111"/>
      <x:c r="T92" s="111"/>
    </x:row>
    <x:row r="93" ht="28" customHeight="1">
      <x:c r="A93" s="107"/>
      <x:c r="B93" s="107"/>
      <x:c r="C93" s="108"/>
      <x:c r="D93" s="111"/>
      <x:c r="E93" s="111"/>
      <x:c r="F93" s="111"/>
      <x:c r="G93" s="111"/>
      <x:c r="H93" s="111"/>
      <x:c r="I93" s="111"/>
      <x:c r="J93" s="111"/>
      <x:c r="K93" s="111"/>
      <x:c r="L93" s="111"/>
      <x:c r="M93" s="111"/>
      <x:c r="N93" s="111"/>
      <x:c r="O93" s="111"/>
      <x:c r="P93" s="111"/>
      <x:c r="Q93" s="111"/>
      <x:c r="R93" s="111"/>
      <x:c r="S93" s="111"/>
      <x:c r="T93" s="111"/>
    </x:row>
    <x:row r="94" ht="28" customHeight="1">
      <x:c r="A94" s="107"/>
      <x:c r="B94" s="107"/>
      <x:c r="C94" s="108"/>
      <x:c r="D94" s="111"/>
      <x:c r="E94" s="111"/>
      <x:c r="F94" s="111"/>
      <x:c r="G94" s="111"/>
      <x:c r="H94" s="111"/>
      <x:c r="I94" s="111"/>
      <x:c r="J94" s="111"/>
      <x:c r="K94" s="111"/>
      <x:c r="L94" s="111"/>
      <x:c r="M94" s="111"/>
      <x:c r="N94" s="111"/>
      <x:c r="O94" s="111"/>
      <x:c r="P94" s="111"/>
      <x:c r="Q94" s="111"/>
      <x:c r="R94" s="111"/>
      <x:c r="S94" s="111"/>
      <x:c r="T94" s="111"/>
    </x:row>
    <x:row r="95" ht="28" customHeight="1">
      <x:c r="A95" s="107"/>
      <x:c r="B95" s="107"/>
      <x:c r="C95" s="108"/>
      <x:c r="D95" s="111"/>
      <x:c r="E95" s="111"/>
      <x:c r="F95" s="111"/>
      <x:c r="G95" s="111"/>
      <x:c r="H95" s="111"/>
      <x:c r="I95" s="111"/>
      <x:c r="J95" s="111"/>
      <x:c r="K95" s="111"/>
      <x:c r="L95" s="111"/>
      <x:c r="M95" s="111"/>
      <x:c r="N95" s="111"/>
      <x:c r="O95" s="111"/>
      <x:c r="P95" s="111"/>
      <x:c r="Q95" s="111"/>
      <x:c r="R95" s="111"/>
      <x:c r="S95" s="111"/>
      <x:c r="T95" s="111"/>
    </x:row>
    <x:row r="96" ht="28" customHeight="1">
      <x:c r="A96" s="107"/>
      <x:c r="B96" s="107"/>
      <x:c r="C96" s="108"/>
      <x:c r="D96" s="111"/>
      <x:c r="E96" s="111"/>
      <x:c r="F96" s="111"/>
      <x:c r="G96" s="111"/>
      <x:c r="H96" s="111"/>
      <x:c r="I96" s="111"/>
      <x:c r="J96" s="111"/>
      <x:c r="K96" s="111"/>
      <x:c r="L96" s="111"/>
      <x:c r="M96" s="111"/>
      <x:c r="N96" s="111"/>
      <x:c r="O96" s="111"/>
      <x:c r="P96" s="111"/>
      <x:c r="Q96" s="111"/>
      <x:c r="R96" s="111"/>
      <x:c r="S96" s="111"/>
      <x:c r="T96" s="111"/>
    </x:row>
    <x:row r="97" ht="28" customHeight="1">
      <x:c r="A97" s="107"/>
      <x:c r="B97" s="107"/>
      <x:c r="C97" s="108"/>
      <x:c r="D97" s="111"/>
      <x:c r="E97" s="111"/>
      <x:c r="F97" s="111"/>
      <x:c r="G97" s="111"/>
      <x:c r="H97" s="111"/>
      <x:c r="I97" s="111"/>
      <x:c r="J97" s="111"/>
      <x:c r="K97" s="111"/>
      <x:c r="L97" s="111"/>
      <x:c r="M97" s="111"/>
      <x:c r="N97" s="111"/>
      <x:c r="O97" s="111"/>
      <x:c r="P97" s="111"/>
      <x:c r="Q97" s="111"/>
      <x:c r="R97" s="111"/>
      <x:c r="S97" s="111"/>
      <x:c r="T97" s="111"/>
    </x:row>
    <x:row r="98" ht="28" customHeight="1">
      <x:c r="A98" s="107"/>
      <x:c r="B98" s="107"/>
      <x:c r="C98" s="108"/>
      <x:c r="D98" s="111"/>
      <x:c r="E98" s="111"/>
      <x:c r="F98" s="111"/>
      <x:c r="G98" s="111"/>
      <x:c r="H98" s="111"/>
      <x:c r="I98" s="111"/>
      <x:c r="J98" s="111"/>
      <x:c r="K98" s="111"/>
      <x:c r="L98" s="111"/>
      <x:c r="M98" s="111"/>
      <x:c r="N98" s="111"/>
      <x:c r="O98" s="111"/>
      <x:c r="P98" s="111"/>
      <x:c r="Q98" s="111"/>
      <x:c r="R98" s="111"/>
      <x:c r="S98" s="111"/>
      <x:c r="T98" s="111"/>
    </x:row>
    <x:row r="99" ht="28" customHeight="1">
      <x:c r="A99" s="107"/>
      <x:c r="B99" s="107"/>
      <x:c r="C99" s="108"/>
      <x:c r="D99" s="111"/>
      <x:c r="E99" s="111"/>
      <x:c r="F99" s="111"/>
      <x:c r="G99" s="111"/>
      <x:c r="H99" s="111"/>
      <x:c r="I99" s="111"/>
      <x:c r="J99" s="111"/>
      <x:c r="K99" s="111"/>
      <x:c r="L99" s="111"/>
      <x:c r="M99" s="111"/>
      <x:c r="N99" s="111"/>
      <x:c r="O99" s="111"/>
      <x:c r="P99" s="111"/>
      <x:c r="Q99" s="111"/>
      <x:c r="R99" s="111"/>
      <x:c r="S99" s="111"/>
      <x:c r="T99" s="111"/>
    </x:row>
    <x:row r="100" ht="28" customHeight="1">
      <x:c r="A100" s="107"/>
      <x:c r="B100" s="107"/>
      <x:c r="C100" s="108"/>
      <x:c r="D100" s="111"/>
      <x:c r="E100" s="111"/>
      <x:c r="F100" s="111"/>
      <x:c r="G100" s="111"/>
      <x:c r="H100" s="111"/>
      <x:c r="I100" s="111"/>
      <x:c r="J100" s="111"/>
      <x:c r="K100" s="111"/>
      <x:c r="L100" s="111"/>
      <x:c r="M100" s="111"/>
      <x:c r="N100" s="111"/>
      <x:c r="O100" s="111"/>
      <x:c r="P100" s="111"/>
      <x:c r="Q100" s="111"/>
      <x:c r="R100" s="111"/>
      <x:c r="S100" s="111"/>
      <x:c r="T100" s="111"/>
    </x:row>
    <x:row r="101" ht="28" customHeight="1">
      <x:c r="A101" s="107"/>
      <x:c r="B101" s="107"/>
      <x:c r="C101" s="108"/>
      <x:c r="D101" s="111"/>
      <x:c r="E101" s="111"/>
      <x:c r="F101" s="111"/>
      <x:c r="G101" s="111"/>
      <x:c r="H101" s="111"/>
      <x:c r="I101" s="111"/>
      <x:c r="J101" s="111"/>
      <x:c r="K101" s="111"/>
      <x:c r="L101" s="111"/>
      <x:c r="M101" s="111"/>
      <x:c r="N101" s="111"/>
      <x:c r="O101" s="111"/>
      <x:c r="P101" s="111"/>
      <x:c r="Q101" s="111"/>
      <x:c r="R101" s="111"/>
      <x:c r="S101" s="111"/>
      <x:c r="T101" s="111"/>
    </x:row>
    <x:row r="102" ht="28" customHeight="1">
      <x:c r="A102" s="107"/>
      <x:c r="B102" s="107"/>
      <x:c r="C102" s="108"/>
      <x:c r="D102" s="111"/>
      <x:c r="E102" s="111"/>
      <x:c r="F102" s="111"/>
      <x:c r="G102" s="111"/>
      <x:c r="H102" s="111"/>
      <x:c r="I102" s="111"/>
      <x:c r="J102" s="111"/>
      <x:c r="K102" s="111"/>
      <x:c r="L102" s="111"/>
      <x:c r="M102" s="111"/>
      <x:c r="N102" s="111"/>
      <x:c r="O102" s="111"/>
      <x:c r="P102" s="111"/>
      <x:c r="Q102" s="111"/>
      <x:c r="R102" s="111"/>
      <x:c r="S102" s="111"/>
      <x:c r="T102" s="111"/>
    </x:row>
    <x:row r="103" ht="28" customHeight="1">
      <x:c r="A103" s="107"/>
      <x:c r="B103" s="107"/>
      <x:c r="C103" s="108"/>
      <x:c r="D103" s="111"/>
      <x:c r="E103" s="111"/>
      <x:c r="F103" s="111"/>
      <x:c r="G103" s="111"/>
      <x:c r="H103" s="111"/>
      <x:c r="I103" s="111"/>
      <x:c r="J103" s="111"/>
      <x:c r="K103" s="111"/>
      <x:c r="L103" s="111"/>
      <x:c r="M103" s="111"/>
      <x:c r="N103" s="111"/>
      <x:c r="O103" s="111"/>
      <x:c r="P103" s="111"/>
      <x:c r="Q103" s="111"/>
      <x:c r="R103" s="111"/>
      <x:c r="S103" s="111"/>
      <x:c r="T103" s="111"/>
    </x:row>
    <x:row r="104" ht="28" customHeight="1">
      <x:c r="A104" s="107"/>
      <x:c r="B104" s="107"/>
      <x:c r="C104" s="108"/>
      <x:c r="D104" s="111"/>
      <x:c r="E104" s="111"/>
      <x:c r="F104" s="111"/>
      <x:c r="G104" s="111"/>
      <x:c r="H104" s="111"/>
      <x:c r="I104" s="111"/>
      <x:c r="J104" s="111"/>
      <x:c r="K104" s="111"/>
      <x:c r="L104" s="111"/>
      <x:c r="M104" s="111"/>
      <x:c r="N104" s="111"/>
      <x:c r="O104" s="111"/>
      <x:c r="P104" s="111"/>
      <x:c r="Q104" s="111"/>
      <x:c r="R104" s="111"/>
      <x:c r="S104" s="111"/>
      <x:c r="T104" s="111"/>
    </x:row>
    <x:row r="105" ht="28" customHeight="1">
      <x:c r="A105" s="107"/>
      <x:c r="B105" s="107"/>
      <x:c r="C105" s="108"/>
      <x:c r="D105" s="111"/>
      <x:c r="E105" s="111"/>
      <x:c r="F105" s="111"/>
      <x:c r="G105" s="111"/>
      <x:c r="H105" s="111"/>
      <x:c r="I105" s="111"/>
      <x:c r="J105" s="111"/>
      <x:c r="K105" s="111"/>
      <x:c r="L105" s="111"/>
      <x:c r="M105" s="111"/>
      <x:c r="N105" s="111"/>
      <x:c r="O105" s="111"/>
      <x:c r="P105" s="111"/>
      <x:c r="Q105" s="111"/>
      <x:c r="R105" s="111"/>
      <x:c r="S105" s="111"/>
      <x:c r="T105" s="111"/>
    </x:row>
    <x:row r="106">
      <x:c r="A106" s="111"/>
      <x:c r="B106" s="111"/>
      <x:c r="C106" s="111"/>
      <x:c r="D106" s="111"/>
      <x:c r="E106" s="111"/>
      <x:c r="F106" s="111"/>
      <x:c r="G106" s="111"/>
      <x:c r="H106" s="111"/>
      <x:c r="I106" s="111"/>
      <x:c r="J106" s="111"/>
      <x:c r="K106" s="111"/>
      <x:c r="L106" s="111"/>
      <x:c r="M106" s="111"/>
      <x:c r="N106" s="111"/>
      <x:c r="O106" s="111"/>
      <x:c r="P106" s="111"/>
      <x:c r="Q106" s="111"/>
      <x:c r="R106" s="111"/>
      <x:c r="S106" s="111"/>
      <x:c r="T106" s="111"/>
    </x:row>
    <x:row r="107">
      <x:c r="A107" s="111"/>
      <x:c r="B107" s="111"/>
      <x:c r="C107" s="111"/>
      <x:c r="D107" s="111"/>
      <x:c r="E107" s="111"/>
      <x:c r="F107" s="111"/>
      <x:c r="G107" s="111"/>
      <x:c r="H107" s="111"/>
      <x:c r="I107" s="111"/>
      <x:c r="J107" s="111"/>
      <x:c r="K107" s="111"/>
      <x:c r="L107" s="111"/>
      <x:c r="M107" s="111"/>
      <x:c r="N107" s="111"/>
      <x:c r="O107" s="111"/>
      <x:c r="P107" s="111"/>
      <x:c r="Q107" s="111"/>
      <x:c r="R107" s="111"/>
      <x:c r="S107" s="111"/>
      <x:c r="T107" s="111"/>
    </x:row>
    <x:row r="108">
      <x:c r="A108" s="111"/>
      <x:c r="B108" s="111"/>
      <x:c r="C108" s="111"/>
      <x:c r="D108" s="111"/>
      <x:c r="E108" s="111"/>
      <x:c r="F108" s="111"/>
      <x:c r="G108" s="111"/>
      <x:c r="H108" s="111"/>
      <x:c r="I108" s="111"/>
      <x:c r="J108" s="111"/>
      <x:c r="K108" s="111"/>
      <x:c r="L108" s="111"/>
      <x:c r="M108" s="111"/>
      <x:c r="N108" s="111"/>
      <x:c r="O108" s="111"/>
      <x:c r="P108" s="111"/>
      <x:c r="Q108" s="111"/>
      <x:c r="R108" s="111"/>
      <x:c r="S108" s="111"/>
      <x:c r="T108" s="111"/>
    </x:row>
    <x:row r="109">
      <x:c r="A109" s="111"/>
      <x:c r="B109" s="111"/>
      <x:c r="C109" s="111"/>
      <x:c r="D109" s="111"/>
      <x:c r="E109" s="111"/>
      <x:c r="F109" s="111"/>
      <x:c r="G109" s="111"/>
      <x:c r="H109" s="111"/>
      <x:c r="I109" s="111"/>
      <x:c r="J109" s="111"/>
      <x:c r="K109" s="111"/>
      <x:c r="L109" s="111"/>
      <x:c r="M109" s="111"/>
      <x:c r="N109" s="111"/>
      <x:c r="O109" s="111"/>
      <x:c r="P109" s="111"/>
      <x:c r="Q109" s="111"/>
      <x:c r="R109" s="111"/>
      <x:c r="S109" s="111"/>
      <x:c r="T109" s="111"/>
    </x:row>
    <x:row r="110">
      <x:c r="A110" s="111"/>
      <x:c r="B110" s="111"/>
      <x:c r="C110" s="111"/>
      <x:c r="D110" s="111"/>
      <x:c r="E110" s="111"/>
      <x:c r="F110" s="111"/>
      <x:c r="G110" s="111"/>
      <x:c r="H110" s="111"/>
      <x:c r="I110" s="111"/>
      <x:c r="J110" s="111"/>
      <x:c r="K110" s="111"/>
      <x:c r="L110" s="111"/>
      <x:c r="M110" s="111"/>
      <x:c r="N110" s="111"/>
      <x:c r="O110" s="111"/>
      <x:c r="P110" s="111"/>
      <x:c r="Q110" s="111"/>
      <x:c r="R110" s="111"/>
      <x:c r="S110" s="111"/>
      <x:c r="T110" s="111"/>
    </x:row>
    <x:row r="111">
      <x:c r="A111" s="111"/>
      <x:c r="B111" s="111"/>
      <x:c r="C111" s="111"/>
      <x:c r="D111" s="111"/>
      <x:c r="E111" s="111"/>
      <x:c r="F111" s="111"/>
      <x:c r="G111" s="111"/>
      <x:c r="H111" s="111"/>
      <x:c r="I111" s="111"/>
      <x:c r="J111" s="111"/>
      <x:c r="K111" s="111"/>
      <x:c r="L111" s="111"/>
      <x:c r="M111" s="111"/>
      <x:c r="N111" s="111"/>
      <x:c r="O111" s="111"/>
      <x:c r="P111" s="111"/>
      <x:c r="Q111" s="111"/>
      <x:c r="R111" s="111"/>
      <x:c r="S111" s="111"/>
      <x:c r="T111" s="111"/>
    </x:row>
    <x:row r="112">
      <x:c r="A112" s="111"/>
      <x:c r="B112" s="111"/>
      <x:c r="C112" s="111"/>
      <x:c r="D112" s="111"/>
      <x:c r="E112" s="111"/>
      <x:c r="F112" s="111"/>
      <x:c r="G112" s="111"/>
      <x:c r="H112" s="111"/>
      <x:c r="I112" s="111"/>
      <x:c r="J112" s="111"/>
      <x:c r="K112" s="111"/>
      <x:c r="L112" s="111"/>
      <x:c r="M112" s="111"/>
      <x:c r="N112" s="111"/>
      <x:c r="O112" s="111"/>
      <x:c r="P112" s="111"/>
      <x:c r="Q112" s="111"/>
      <x:c r="R112" s="111"/>
      <x:c r="S112" s="111"/>
      <x:c r="T112" s="111"/>
    </x:row>
    <x:row r="113">
      <x:c r="A113" s="111"/>
      <x:c r="B113" s="111"/>
      <x:c r="C113" s="111"/>
      <x:c r="D113" s="111"/>
      <x:c r="E113" s="111"/>
      <x:c r="F113" s="111"/>
      <x:c r="G113" s="111"/>
      <x:c r="H113" s="111"/>
      <x:c r="I113" s="111"/>
      <x:c r="J113" s="111"/>
      <x:c r="K113" s="111"/>
      <x:c r="L113" s="111"/>
      <x:c r="M113" s="111"/>
      <x:c r="N113" s="111"/>
      <x:c r="O113" s="111"/>
      <x:c r="P113" s="111"/>
      <x:c r="Q113" s="111"/>
      <x:c r="R113" s="111"/>
      <x:c r="S113" s="111"/>
      <x:c r="T113" s="111"/>
    </x:row>
    <x:row r="114">
      <x:c r="A114" s="111"/>
      <x:c r="B114" s="111"/>
      <x:c r="C114" s="111"/>
      <x:c r="D114" s="111"/>
      <x:c r="E114" s="111"/>
      <x:c r="F114" s="111"/>
      <x:c r="G114" s="111"/>
      <x:c r="H114" s="111"/>
      <x:c r="I114" s="111"/>
      <x:c r="J114" s="111"/>
      <x:c r="K114" s="111"/>
      <x:c r="L114" s="111"/>
      <x:c r="M114" s="111"/>
      <x:c r="N114" s="111"/>
      <x:c r="O114" s="111"/>
      <x:c r="P114" s="111"/>
      <x:c r="Q114" s="111"/>
      <x:c r="R114" s="111"/>
      <x:c r="S114" s="111"/>
      <x:c r="T114" s="111"/>
    </x:row>
    <x:row r="115">
      <x:c r="A115" s="111"/>
      <x:c r="B115" s="111"/>
      <x:c r="C115" s="111"/>
      <x:c r="D115" s="111"/>
      <x:c r="E115" s="111"/>
      <x:c r="F115" s="111"/>
      <x:c r="G115" s="111"/>
      <x:c r="H115" s="111"/>
      <x:c r="I115" s="111"/>
      <x:c r="J115" s="111"/>
      <x:c r="K115" s="111"/>
      <x:c r="L115" s="111"/>
      <x:c r="M115" s="111"/>
      <x:c r="N115" s="111"/>
      <x:c r="O115" s="111"/>
      <x:c r="P115" s="111"/>
      <x:c r="Q115" s="111"/>
      <x:c r="R115" s="111"/>
      <x:c r="S115" s="111"/>
      <x:c r="T115" s="111"/>
    </x:row>
    <x:row r="116">
      <x:c r="A116" s="111"/>
      <x:c r="B116" s="111"/>
      <x:c r="C116" s="111"/>
      <x:c r="D116" s="111"/>
      <x:c r="E116" s="111"/>
      <x:c r="F116" s="111"/>
      <x:c r="G116" s="111"/>
      <x:c r="H116" s="111"/>
      <x:c r="I116" s="111"/>
      <x:c r="J116" s="111"/>
      <x:c r="K116" s="111"/>
      <x:c r="L116" s="111"/>
      <x:c r="M116" s="111"/>
      <x:c r="N116" s="111"/>
      <x:c r="O116" s="111"/>
      <x:c r="P116" s="111"/>
      <x:c r="Q116" s="111"/>
      <x:c r="R116" s="111"/>
      <x:c r="S116" s="111"/>
      <x:c r="T116" s="111"/>
    </x:row>
    <x:row r="117">
      <x:c r="A117" s="111"/>
      <x:c r="B117" s="111"/>
      <x:c r="C117" s="111"/>
      <x:c r="D117" s="111"/>
      <x:c r="E117" s="111"/>
      <x:c r="F117" s="111"/>
      <x:c r="G117" s="111"/>
      <x:c r="H117" s="111"/>
      <x:c r="I117" s="111"/>
      <x:c r="J117" s="111"/>
      <x:c r="K117" s="111"/>
      <x:c r="L117" s="111"/>
      <x:c r="M117" s="111"/>
      <x:c r="N117" s="111"/>
      <x:c r="O117" s="111"/>
      <x:c r="P117" s="111"/>
      <x:c r="Q117" s="111"/>
      <x:c r="R117" s="111"/>
      <x:c r="S117" s="111"/>
      <x:c r="T117" s="111"/>
    </x:row>
    <x:row r="118">
      <x:c r="A118" s="111"/>
      <x:c r="B118" s="111"/>
      <x:c r="C118" s="111"/>
      <x:c r="D118" s="111"/>
      <x:c r="E118" s="111"/>
      <x:c r="F118" s="111"/>
      <x:c r="G118" s="111"/>
      <x:c r="H118" s="111"/>
      <x:c r="I118" s="111"/>
      <x:c r="J118" s="111"/>
      <x:c r="K118" s="111"/>
      <x:c r="L118" s="111"/>
      <x:c r="M118" s="111"/>
      <x:c r="N118" s="111"/>
      <x:c r="O118" s="111"/>
      <x:c r="P118" s="111"/>
      <x:c r="Q118" s="111"/>
      <x:c r="R118" s="111"/>
      <x:c r="S118" s="111"/>
      <x:c r="T118" s="111"/>
    </x:row>
    <x:row r="119">
      <x:c r="A119" s="111"/>
      <x:c r="B119" s="111"/>
      <x:c r="C119" s="111"/>
      <x:c r="D119" s="111"/>
      <x:c r="E119" s="111"/>
      <x:c r="F119" s="111"/>
      <x:c r="G119" s="111"/>
      <x:c r="H119" s="111"/>
      <x:c r="I119" s="111"/>
      <x:c r="J119" s="111"/>
      <x:c r="K119" s="111"/>
      <x:c r="L119" s="111"/>
      <x:c r="M119" s="111"/>
      <x:c r="N119" s="111"/>
      <x:c r="O119" s="111"/>
      <x:c r="P119" s="111"/>
      <x:c r="Q119" s="111"/>
      <x:c r="R119" s="111"/>
      <x:c r="S119" s="111"/>
      <x:c r="T119" s="111"/>
    </x:row>
    <x:row r="120">
      <x:c r="A120" s="111"/>
      <x:c r="B120" s="111"/>
      <x:c r="C120" s="111"/>
      <x:c r="D120" s="111"/>
      <x:c r="E120" s="111"/>
      <x:c r="F120" s="111"/>
      <x:c r="G120" s="111"/>
      <x:c r="H120" s="111"/>
      <x:c r="I120" s="111"/>
      <x:c r="J120" s="111"/>
      <x:c r="K120" s="111"/>
      <x:c r="L120" s="111"/>
      <x:c r="M120" s="111"/>
      <x:c r="N120" s="111"/>
      <x:c r="O120" s="111"/>
      <x:c r="P120" s="111"/>
      <x:c r="Q120" s="111"/>
      <x:c r="R120" s="111"/>
      <x:c r="S120" s="111"/>
      <x:c r="T120" s="111"/>
    </x:row>
    <x:row r="121">
      <x:c r="A121" s="111"/>
      <x:c r="B121" s="111"/>
      <x:c r="C121" s="111"/>
      <x:c r="D121" s="111"/>
      <x:c r="E121" s="111"/>
      <x:c r="F121" s="111"/>
      <x:c r="G121" s="111"/>
      <x:c r="H121" s="111"/>
      <x:c r="I121" s="111"/>
      <x:c r="J121" s="111"/>
      <x:c r="K121" s="111"/>
      <x:c r="L121" s="111"/>
      <x:c r="M121" s="111"/>
      <x:c r="N121" s="111"/>
      <x:c r="O121" s="111"/>
      <x:c r="P121" s="111"/>
      <x:c r="Q121" s="111"/>
      <x:c r="R121" s="111"/>
      <x:c r="S121" s="111"/>
      <x:c r="T121" s="111"/>
    </x:row>
    <x:row r="122">
      <x:c r="A122" s="111"/>
      <x:c r="B122" s="111"/>
      <x:c r="C122" s="111"/>
      <x:c r="D122" s="111"/>
      <x:c r="E122" s="111"/>
      <x:c r="F122" s="111"/>
      <x:c r="G122" s="111"/>
      <x:c r="H122" s="111"/>
      <x:c r="I122" s="111"/>
      <x:c r="J122" s="111"/>
      <x:c r="K122" s="111"/>
      <x:c r="L122" s="111"/>
      <x:c r="M122" s="111"/>
      <x:c r="N122" s="111"/>
      <x:c r="O122" s="111"/>
      <x:c r="P122" s="111"/>
      <x:c r="Q122" s="111"/>
      <x:c r="R122" s="111"/>
      <x:c r="S122" s="111"/>
      <x:c r="T122" s="111"/>
    </x:row>
    <x:row r="123">
      <x:c r="A123" s="111"/>
      <x:c r="B123" s="111"/>
      <x:c r="C123" s="111"/>
      <x:c r="D123" s="111"/>
      <x:c r="E123" s="111"/>
      <x:c r="F123" s="111"/>
      <x:c r="G123" s="111"/>
      <x:c r="H123" s="111"/>
      <x:c r="I123" s="111"/>
      <x:c r="J123" s="111"/>
      <x:c r="K123" s="111"/>
      <x:c r="L123" s="111"/>
      <x:c r="M123" s="111"/>
      <x:c r="N123" s="111"/>
      <x:c r="O123" s="111"/>
      <x:c r="P123" s="111"/>
      <x:c r="Q123" s="111"/>
      <x:c r="R123" s="111"/>
      <x:c r="S123" s="111"/>
      <x:c r="T123" s="111"/>
    </x:row>
    <x:row r="124">
      <x:c r="A124" s="111"/>
      <x:c r="B124" s="111"/>
      <x:c r="C124" s="111"/>
      <x:c r="D124" s="111"/>
      <x:c r="E124" s="111"/>
      <x:c r="F124" s="111"/>
      <x:c r="G124" s="111"/>
      <x:c r="H124" s="111"/>
      <x:c r="I124" s="111"/>
      <x:c r="J124" s="111"/>
      <x:c r="K124" s="111"/>
      <x:c r="L124" s="111"/>
      <x:c r="M124" s="111"/>
      <x:c r="N124" s="111"/>
      <x:c r="O124" s="111"/>
      <x:c r="P124" s="111"/>
      <x:c r="Q124" s="111"/>
      <x:c r="R124" s="111"/>
      <x:c r="S124" s="111"/>
      <x:c r="T124" s="111"/>
    </x:row>
    <x:row r="125">
      <x:c r="A125" s="111"/>
      <x:c r="B125" s="111"/>
      <x:c r="C125" s="111"/>
      <x:c r="D125" s="111"/>
      <x:c r="E125" s="111"/>
      <x:c r="F125" s="111"/>
      <x:c r="G125" s="111"/>
      <x:c r="H125" s="111"/>
      <x:c r="I125" s="111"/>
      <x:c r="J125" s="111"/>
      <x:c r="K125" s="111"/>
      <x:c r="L125" s="111"/>
      <x:c r="M125" s="111"/>
      <x:c r="N125" s="111"/>
      <x:c r="O125" s="111"/>
      <x:c r="P125" s="111"/>
      <x:c r="Q125" s="111"/>
      <x:c r="R125" s="111"/>
      <x:c r="S125" s="111"/>
      <x:c r="T125" s="111"/>
    </x:row>
    <x:row r="126">
      <x:c r="A126" s="111"/>
      <x:c r="B126" s="111"/>
      <x:c r="C126" s="111"/>
      <x:c r="D126" s="111"/>
      <x:c r="E126" s="111"/>
      <x:c r="F126" s="111"/>
      <x:c r="G126" s="111"/>
      <x:c r="H126" s="111"/>
      <x:c r="I126" s="111"/>
      <x:c r="J126" s="111"/>
      <x:c r="K126" s="111"/>
      <x:c r="L126" s="111"/>
      <x:c r="M126" s="111"/>
      <x:c r="N126" s="111"/>
      <x:c r="O126" s="111"/>
      <x:c r="P126" s="111"/>
      <x:c r="Q126" s="111"/>
      <x:c r="R126" s="111"/>
      <x:c r="S126" s="111"/>
      <x:c r="T126" s="111"/>
    </x:row>
    <x:row r="127">
      <x:c r="A127" s="111"/>
      <x:c r="B127" s="111"/>
      <x:c r="C127" s="111"/>
      <x:c r="D127" s="111"/>
      <x:c r="E127" s="111"/>
      <x:c r="F127" s="111"/>
      <x:c r="G127" s="111"/>
      <x:c r="H127" s="111"/>
      <x:c r="I127" s="111"/>
      <x:c r="J127" s="111"/>
      <x:c r="K127" s="111"/>
      <x:c r="L127" s="111"/>
      <x:c r="M127" s="111"/>
      <x:c r="N127" s="111"/>
      <x:c r="O127" s="111"/>
      <x:c r="P127" s="111"/>
      <x:c r="Q127" s="111"/>
      <x:c r="R127" s="111"/>
      <x:c r="S127" s="111"/>
      <x:c r="T127" s="111"/>
    </x:row>
    <x:row r="128">
      <x:c r="A128" s="111"/>
      <x:c r="B128" s="111"/>
      <x:c r="C128" s="111"/>
      <x:c r="D128" s="111"/>
      <x:c r="E128" s="111"/>
      <x:c r="F128" s="111"/>
      <x:c r="G128" s="111"/>
      <x:c r="H128" s="111"/>
      <x:c r="I128" s="111"/>
      <x:c r="J128" s="111"/>
      <x:c r="K128" s="111"/>
      <x:c r="L128" s="111"/>
      <x:c r="M128" s="111"/>
      <x:c r="N128" s="111"/>
      <x:c r="O128" s="111"/>
      <x:c r="P128" s="111"/>
      <x:c r="Q128" s="111"/>
      <x:c r="R128" s="111"/>
      <x:c r="S128" s="111"/>
      <x:c r="T128" s="111"/>
    </x:row>
    <x:row r="129">
      <x:c r="A129" s="111"/>
      <x:c r="B129" s="111"/>
      <x:c r="C129" s="111"/>
      <x:c r="D129" s="111"/>
      <x:c r="E129" s="111"/>
      <x:c r="F129" s="111"/>
      <x:c r="G129" s="111"/>
      <x:c r="H129" s="111"/>
      <x:c r="I129" s="111"/>
      <x:c r="J129" s="111"/>
      <x:c r="K129" s="111"/>
      <x:c r="L129" s="111"/>
      <x:c r="M129" s="111"/>
      <x:c r="N129" s="111"/>
      <x:c r="O129" s="111"/>
      <x:c r="P129" s="111"/>
      <x:c r="Q129" s="111"/>
      <x:c r="R129" s="111"/>
      <x:c r="S129" s="111"/>
      <x:c r="T129" s="111"/>
    </x:row>
    <x:row r="130">
      <x:c r="A130" s="111"/>
      <x:c r="B130" s="111"/>
      <x:c r="C130" s="111"/>
      <x:c r="D130" s="111"/>
      <x:c r="E130" s="111"/>
      <x:c r="F130" s="111"/>
      <x:c r="G130" s="111"/>
      <x:c r="H130" s="111"/>
      <x:c r="I130" s="111"/>
      <x:c r="J130" s="111"/>
      <x:c r="K130" s="111"/>
      <x:c r="L130" s="111"/>
      <x:c r="M130" s="111"/>
      <x:c r="N130" s="111"/>
      <x:c r="O130" s="111"/>
      <x:c r="P130" s="111"/>
      <x:c r="Q130" s="111"/>
      <x:c r="R130" s="111"/>
      <x:c r="S130" s="111"/>
      <x:c r="T130" s="111"/>
    </x:row>
    <x:row r="131">
      <x:c r="A131" s="111"/>
      <x:c r="B131" s="111"/>
      <x:c r="C131" s="111"/>
      <x:c r="D131" s="111"/>
      <x:c r="E131" s="111"/>
      <x:c r="F131" s="111"/>
      <x:c r="G131" s="111"/>
      <x:c r="H131" s="111"/>
      <x:c r="I131" s="111"/>
      <x:c r="J131" s="111"/>
      <x:c r="K131" s="111"/>
      <x:c r="L131" s="111"/>
      <x:c r="M131" s="111"/>
      <x:c r="N131" s="111"/>
      <x:c r="O131" s="111"/>
      <x:c r="P131" s="111"/>
      <x:c r="Q131" s="111"/>
      <x:c r="R131" s="111"/>
      <x:c r="S131" s="111"/>
      <x:c r="T131" s="111"/>
    </x:row>
    <x:row r="132">
      <x:c r="A132" s="111"/>
      <x:c r="B132" s="111"/>
      <x:c r="C132" s="111"/>
      <x:c r="D132" s="111"/>
      <x:c r="E132" s="111"/>
      <x:c r="F132" s="111"/>
      <x:c r="G132" s="111"/>
      <x:c r="H132" s="111"/>
      <x:c r="I132" s="111"/>
      <x:c r="J132" s="111"/>
      <x:c r="K132" s="111"/>
      <x:c r="L132" s="111"/>
      <x:c r="M132" s="111"/>
      <x:c r="N132" s="111"/>
      <x:c r="O132" s="111"/>
      <x:c r="P132" s="111"/>
      <x:c r="Q132" s="111"/>
      <x:c r="R132" s="111"/>
      <x:c r="S132" s="111"/>
      <x:c r="T132" s="111"/>
    </x:row>
    <x:row r="133">
      <x:c r="A133" s="111"/>
      <x:c r="B133" s="111"/>
      <x:c r="C133" s="111"/>
      <x:c r="D133" s="111"/>
      <x:c r="E133" s="111"/>
      <x:c r="F133" s="111"/>
      <x:c r="G133" s="111"/>
      <x:c r="H133" s="111"/>
      <x:c r="I133" s="111"/>
      <x:c r="J133" s="111"/>
      <x:c r="K133" s="111"/>
      <x:c r="L133" s="111"/>
      <x:c r="M133" s="111"/>
      <x:c r="N133" s="111"/>
      <x:c r="O133" s="111"/>
      <x:c r="P133" s="111"/>
      <x:c r="Q133" s="111"/>
      <x:c r="R133" s="111"/>
      <x:c r="S133" s="111"/>
      <x:c r="T133" s="111"/>
    </x:row>
    <x:row r="134">
      <x:c r="A134" s="111"/>
      <x:c r="B134" s="111"/>
      <x:c r="C134" s="111"/>
      <x:c r="D134" s="111"/>
      <x:c r="E134" s="111"/>
      <x:c r="F134" s="111"/>
      <x:c r="G134" s="111"/>
      <x:c r="H134" s="111"/>
      <x:c r="I134" s="111"/>
      <x:c r="J134" s="111"/>
      <x:c r="K134" s="111"/>
      <x:c r="L134" s="111"/>
      <x:c r="M134" s="111"/>
      <x:c r="N134" s="111"/>
      <x:c r="O134" s="111"/>
      <x:c r="P134" s="111"/>
      <x:c r="Q134" s="111"/>
      <x:c r="R134" s="111"/>
      <x:c r="S134" s="111"/>
      <x:c r="T134" s="111"/>
    </x:row>
    <x:row r="135">
      <x:c r="A135" s="111"/>
      <x:c r="B135" s="111"/>
      <x:c r="C135" s="111"/>
      <x:c r="D135" s="111"/>
      <x:c r="E135" s="111"/>
      <x:c r="F135" s="111"/>
      <x:c r="G135" s="111"/>
      <x:c r="H135" s="111"/>
      <x:c r="I135" s="111"/>
      <x:c r="J135" s="111"/>
      <x:c r="K135" s="111"/>
      <x:c r="L135" s="111"/>
      <x:c r="M135" s="111"/>
      <x:c r="N135" s="111"/>
      <x:c r="O135" s="111"/>
      <x:c r="P135" s="111"/>
      <x:c r="Q135" s="111"/>
      <x:c r="R135" s="111"/>
      <x:c r="S135" s="111"/>
      <x:c r="T135" s="111"/>
    </x:row>
    <x:row r="136">
      <x:c r="A136" s="111"/>
      <x:c r="B136" s="111"/>
      <x:c r="C136" s="111"/>
      <x:c r="D136" s="111"/>
      <x:c r="E136" s="111"/>
      <x:c r="F136" s="111"/>
      <x:c r="G136" s="111"/>
      <x:c r="H136" s="111"/>
      <x:c r="I136" s="111"/>
      <x:c r="J136" s="111"/>
      <x:c r="K136" s="111"/>
      <x:c r="L136" s="111"/>
      <x:c r="M136" s="111"/>
      <x:c r="N136" s="111"/>
      <x:c r="O136" s="111"/>
      <x:c r="P136" s="111"/>
      <x:c r="Q136" s="111"/>
      <x:c r="R136" s="111"/>
      <x:c r="S136" s="111"/>
      <x:c r="T136" s="111"/>
    </x:row>
    <x:row r="137">
      <x:c r="A137" s="111"/>
      <x:c r="B137" s="111"/>
      <x:c r="C137" s="111"/>
      <x:c r="D137" s="111"/>
      <x:c r="E137" s="111"/>
      <x:c r="F137" s="111"/>
      <x:c r="G137" s="111"/>
      <x:c r="H137" s="111"/>
      <x:c r="I137" s="111"/>
      <x:c r="J137" s="111"/>
      <x:c r="K137" s="111"/>
      <x:c r="L137" s="111"/>
      <x:c r="M137" s="111"/>
      <x:c r="N137" s="111"/>
      <x:c r="O137" s="111"/>
      <x:c r="P137" s="111"/>
      <x:c r="Q137" s="111"/>
      <x:c r="R137" s="111"/>
      <x:c r="S137" s="111"/>
      <x:c r="T137" s="111"/>
    </x:row>
    <x:row r="138">
      <x:c r="A138" s="111"/>
      <x:c r="B138" s="111"/>
      <x:c r="C138" s="111"/>
      <x:c r="D138" s="111"/>
      <x:c r="E138" s="111"/>
      <x:c r="F138" s="111"/>
      <x:c r="G138" s="111"/>
      <x:c r="H138" s="111"/>
      <x:c r="I138" s="111"/>
      <x:c r="J138" s="111"/>
      <x:c r="K138" s="111"/>
      <x:c r="L138" s="111"/>
      <x:c r="M138" s="111"/>
      <x:c r="N138" s="111"/>
      <x:c r="O138" s="111"/>
      <x:c r="P138" s="111"/>
      <x:c r="Q138" s="111"/>
      <x:c r="R138" s="111"/>
      <x:c r="S138" s="111"/>
      <x:c r="T138" s="111"/>
    </x:row>
    <x:row r="139">
      <x:c r="A139" s="111"/>
      <x:c r="B139" s="111"/>
      <x:c r="C139" s="111"/>
      <x:c r="D139" s="111"/>
      <x:c r="E139" s="111"/>
      <x:c r="F139" s="111"/>
      <x:c r="G139" s="111"/>
      <x:c r="H139" s="111"/>
      <x:c r="I139" s="111"/>
      <x:c r="J139" s="111"/>
      <x:c r="K139" s="111"/>
      <x:c r="L139" s="111"/>
      <x:c r="M139" s="111"/>
      <x:c r="N139" s="111"/>
      <x:c r="O139" s="111"/>
      <x:c r="P139" s="111"/>
      <x:c r="Q139" s="111"/>
      <x:c r="R139" s="111"/>
      <x:c r="S139" s="111"/>
      <x:c r="T139" s="111"/>
    </x:row>
    <x:row r="140">
      <x:c r="A140" s="111"/>
      <x:c r="B140" s="111"/>
      <x:c r="C140" s="111"/>
      <x:c r="D140" s="111"/>
      <x:c r="E140" s="111"/>
      <x:c r="F140" s="111"/>
      <x:c r="G140" s="111"/>
      <x:c r="H140" s="111"/>
      <x:c r="I140" s="111"/>
      <x:c r="J140" s="111"/>
      <x:c r="K140" s="111"/>
      <x:c r="L140" s="111"/>
      <x:c r="M140" s="111"/>
      <x:c r="N140" s="111"/>
      <x:c r="O140" s="111"/>
      <x:c r="P140" s="111"/>
      <x:c r="Q140" s="111"/>
      <x:c r="R140" s="111"/>
      <x:c r="S140" s="111"/>
      <x:c r="T140" s="111"/>
    </x:row>
    <x:row r="141">
      <x:c r="A141" s="111"/>
      <x:c r="B141" s="111"/>
      <x:c r="C141" s="111"/>
      <x:c r="D141" s="111"/>
      <x:c r="E141" s="111"/>
      <x:c r="F141" s="111"/>
      <x:c r="G141" s="111"/>
      <x:c r="H141" s="111"/>
      <x:c r="I141" s="111"/>
      <x:c r="J141" s="111"/>
      <x:c r="K141" s="111"/>
      <x:c r="L141" s="111"/>
      <x:c r="M141" s="111"/>
      <x:c r="N141" s="111"/>
      <x:c r="O141" s="111"/>
      <x:c r="P141" s="111"/>
      <x:c r="Q141" s="111"/>
      <x:c r="R141" s="111"/>
      <x:c r="S141" s="111"/>
      <x:c r="T141" s="111"/>
    </x:row>
    <x:row r="142">
      <x:c r="A142" s="111"/>
      <x:c r="B142" s="111"/>
      <x:c r="C142" s="111"/>
      <x:c r="D142" s="111"/>
      <x:c r="E142" s="111"/>
      <x:c r="F142" s="111"/>
      <x:c r="G142" s="111"/>
      <x:c r="H142" s="111"/>
      <x:c r="I142" s="111"/>
      <x:c r="J142" s="111"/>
      <x:c r="K142" s="111"/>
      <x:c r="L142" s="111"/>
      <x:c r="M142" s="111"/>
      <x:c r="N142" s="111"/>
      <x:c r="O142" s="111"/>
      <x:c r="P142" s="111"/>
      <x:c r="Q142" s="111"/>
      <x:c r="R142" s="111"/>
      <x:c r="S142" s="111"/>
      <x:c r="T142" s="111"/>
    </x:row>
    <x:row r="143">
      <x:c r="A143" s="111"/>
      <x:c r="B143" s="111"/>
      <x:c r="C143" s="111"/>
      <x:c r="D143" s="111"/>
      <x:c r="E143" s="111"/>
      <x:c r="F143" s="111"/>
      <x:c r="G143" s="111"/>
      <x:c r="H143" s="111"/>
      <x:c r="I143" s="111"/>
      <x:c r="J143" s="111"/>
      <x:c r="K143" s="111"/>
      <x:c r="L143" s="111"/>
      <x:c r="M143" s="111"/>
      <x:c r="N143" s="111"/>
      <x:c r="O143" s="111"/>
      <x:c r="P143" s="111"/>
      <x:c r="Q143" s="111"/>
      <x:c r="R143" s="111"/>
      <x:c r="S143" s="111"/>
      <x:c r="T143" s="111"/>
    </x:row>
    <x:row r="144">
      <x:c r="A144" s="111"/>
      <x:c r="B144" s="111"/>
      <x:c r="C144" s="111"/>
      <x:c r="D144" s="111"/>
      <x:c r="E144" s="111"/>
      <x:c r="F144" s="111"/>
      <x:c r="G144" s="111"/>
      <x:c r="H144" s="111"/>
      <x:c r="I144" s="111"/>
      <x:c r="J144" s="111"/>
      <x:c r="K144" s="111"/>
      <x:c r="L144" s="111"/>
      <x:c r="M144" s="111"/>
      <x:c r="N144" s="111"/>
      <x:c r="O144" s="111"/>
      <x:c r="P144" s="111"/>
      <x:c r="Q144" s="111"/>
      <x:c r="R144" s="111"/>
      <x:c r="S144" s="111"/>
      <x:c r="T144" s="111"/>
    </x:row>
    <x:row r="145">
      <x:c r="A145" s="111"/>
      <x:c r="B145" s="111"/>
      <x:c r="C145" s="111"/>
      <x:c r="D145" s="111"/>
      <x:c r="E145" s="111"/>
      <x:c r="F145" s="111"/>
      <x:c r="G145" s="111"/>
      <x:c r="H145" s="111"/>
      <x:c r="I145" s="111"/>
      <x:c r="J145" s="111"/>
      <x:c r="K145" s="111"/>
      <x:c r="L145" s="111"/>
      <x:c r="M145" s="111"/>
      <x:c r="N145" s="111"/>
      <x:c r="O145" s="111"/>
      <x:c r="P145" s="111"/>
      <x:c r="Q145" s="111"/>
      <x:c r="R145" s="111"/>
      <x:c r="S145" s="111"/>
      <x:c r="T145" s="111"/>
    </x:row>
    <x:row r="146">
      <x:c r="A146" s="111"/>
      <x:c r="B146" s="111"/>
      <x:c r="C146" s="111"/>
      <x:c r="D146" s="111"/>
      <x:c r="E146" s="111"/>
      <x:c r="F146" s="111"/>
      <x:c r="G146" s="111"/>
      <x:c r="H146" s="111"/>
      <x:c r="I146" s="111"/>
      <x:c r="J146" s="111"/>
      <x:c r="K146" s="111"/>
      <x:c r="L146" s="111"/>
      <x:c r="M146" s="111"/>
      <x:c r="N146" s="111"/>
      <x:c r="O146" s="111"/>
      <x:c r="P146" s="111"/>
      <x:c r="Q146" s="111"/>
      <x:c r="R146" s="111"/>
      <x:c r="S146" s="111"/>
      <x:c r="T146" s="111"/>
    </x:row>
    <x:row r="147">
      <x:c r="A147" s="111"/>
      <x:c r="B147" s="111"/>
      <x:c r="C147" s="111"/>
      <x:c r="D147" s="111"/>
      <x:c r="E147" s="111"/>
      <x:c r="F147" s="111"/>
      <x:c r="G147" s="111"/>
      <x:c r="H147" s="111"/>
      <x:c r="I147" s="111"/>
      <x:c r="J147" s="111"/>
      <x:c r="K147" s="111"/>
      <x:c r="L147" s="111"/>
      <x:c r="M147" s="111"/>
      <x:c r="N147" s="111"/>
      <x:c r="O147" s="111"/>
      <x:c r="P147" s="111"/>
      <x:c r="Q147" s="111"/>
      <x:c r="R147" s="111"/>
      <x:c r="S147" s="111"/>
      <x:c r="T147" s="111"/>
    </x:row>
    <x:row r="148">
      <x:c r="A148" s="111"/>
      <x:c r="B148" s="111"/>
      <x:c r="C148" s="111"/>
      <x:c r="D148" s="111"/>
      <x:c r="E148" s="111"/>
      <x:c r="F148" s="111"/>
      <x:c r="G148" s="111"/>
      <x:c r="H148" s="111"/>
      <x:c r="I148" s="111"/>
      <x:c r="J148" s="111"/>
      <x:c r="K148" s="111"/>
      <x:c r="L148" s="111"/>
      <x:c r="M148" s="111"/>
      <x:c r="N148" s="111"/>
      <x:c r="O148" s="111"/>
      <x:c r="P148" s="111"/>
      <x:c r="Q148" s="111"/>
      <x:c r="R148" s="111"/>
      <x:c r="S148" s="111"/>
      <x:c r="T148" s="111"/>
    </x:row>
    <x:row r="149">
      <x:c r="A149" s="111"/>
      <x:c r="B149" s="111"/>
      <x:c r="C149" s="111"/>
      <x:c r="D149" s="111"/>
      <x:c r="E149" s="111"/>
      <x:c r="F149" s="111"/>
      <x:c r="G149" s="111"/>
      <x:c r="H149" s="111"/>
      <x:c r="I149" s="111"/>
      <x:c r="J149" s="111"/>
      <x:c r="K149" s="111"/>
      <x:c r="L149" s="111"/>
      <x:c r="M149" s="111"/>
      <x:c r="N149" s="111"/>
      <x:c r="O149" s="111"/>
      <x:c r="P149" s="111"/>
      <x:c r="Q149" s="111"/>
      <x:c r="R149" s="111"/>
      <x:c r="S149" s="111"/>
      <x:c r="T149" s="111"/>
    </x:row>
    <x:row r="150">
      <x:c r="A150" s="111"/>
      <x:c r="B150" s="111"/>
      <x:c r="C150" s="111"/>
      <x:c r="D150" s="111"/>
      <x:c r="E150" s="111"/>
      <x:c r="F150" s="111"/>
      <x:c r="G150" s="111"/>
      <x:c r="H150" s="111"/>
      <x:c r="I150" s="111"/>
      <x:c r="J150" s="111"/>
      <x:c r="K150" s="111"/>
      <x:c r="L150" s="111"/>
      <x:c r="M150" s="111"/>
      <x:c r="N150" s="111"/>
      <x:c r="O150" s="111"/>
      <x:c r="P150" s="111"/>
      <x:c r="Q150" s="111"/>
      <x:c r="R150" s="111"/>
      <x:c r="S150" s="111"/>
      <x:c r="T150" s="111"/>
    </x:row>
    <x:row r="151">
      <x:c r="A151" s="111"/>
      <x:c r="B151" s="111"/>
      <x:c r="C151" s="111"/>
      <x:c r="D151" s="111"/>
      <x:c r="E151" s="111"/>
      <x:c r="F151" s="111"/>
      <x:c r="G151" s="111"/>
      <x:c r="H151" s="111"/>
      <x:c r="I151" s="111"/>
      <x:c r="J151" s="111"/>
      <x:c r="K151" s="111"/>
      <x:c r="L151" s="111"/>
      <x:c r="M151" s="111"/>
      <x:c r="N151" s="111"/>
      <x:c r="O151" s="111"/>
      <x:c r="P151" s="111"/>
      <x:c r="Q151" s="111"/>
      <x:c r="R151" s="111"/>
      <x:c r="S151" s="111"/>
      <x:c r="T151" s="111"/>
    </x:row>
    <x:row r="152">
      <x:c r="A152" s="111"/>
      <x:c r="B152" s="111"/>
      <x:c r="C152" s="111"/>
      <x:c r="D152" s="111"/>
      <x:c r="E152" s="111"/>
      <x:c r="F152" s="111"/>
      <x:c r="G152" s="111"/>
      <x:c r="H152" s="111"/>
      <x:c r="I152" s="111"/>
      <x:c r="J152" s="111"/>
      <x:c r="K152" s="111"/>
      <x:c r="L152" s="111"/>
      <x:c r="M152" s="111"/>
      <x:c r="N152" s="111"/>
      <x:c r="O152" s="111"/>
      <x:c r="P152" s="111"/>
      <x:c r="Q152" s="111"/>
      <x:c r="R152" s="111"/>
      <x:c r="S152" s="111"/>
      <x:c r="T152" s="111"/>
    </x:row>
    <x:row r="153">
      <x:c r="A153" s="111"/>
      <x:c r="B153" s="111"/>
      <x:c r="C153" s="111"/>
      <x:c r="D153" s="111"/>
      <x:c r="E153" s="111"/>
      <x:c r="F153" s="111"/>
      <x:c r="G153" s="111"/>
      <x:c r="H153" s="111"/>
      <x:c r="I153" s="111"/>
      <x:c r="J153" s="111"/>
      <x:c r="K153" s="111"/>
      <x:c r="L153" s="111"/>
      <x:c r="M153" s="111"/>
      <x:c r="N153" s="111"/>
      <x:c r="O153" s="111"/>
      <x:c r="P153" s="111"/>
      <x:c r="Q153" s="111"/>
      <x:c r="R153" s="111"/>
      <x:c r="S153" s="111"/>
      <x:c r="T153" s="111"/>
    </x:row>
    <x:row r="154">
      <x:c r="A154" s="111"/>
      <x:c r="B154" s="111"/>
      <x:c r="C154" s="111"/>
      <x:c r="D154" s="111"/>
      <x:c r="E154" s="111"/>
      <x:c r="F154" s="111"/>
      <x:c r="G154" s="111"/>
      <x:c r="H154" s="111"/>
      <x:c r="I154" s="111"/>
      <x:c r="J154" s="111"/>
      <x:c r="K154" s="111"/>
      <x:c r="L154" s="111"/>
      <x:c r="M154" s="111"/>
      <x:c r="N154" s="111"/>
      <x:c r="O154" s="111"/>
      <x:c r="P154" s="111"/>
      <x:c r="Q154" s="111"/>
      <x:c r="R154" s="111"/>
      <x:c r="S154" s="111"/>
      <x:c r="T154" s="111"/>
    </x:row>
    <x:row r="155">
      <x:c r="A155" s="111"/>
      <x:c r="B155" s="111"/>
      <x:c r="C155" s="111"/>
      <x:c r="D155" s="111"/>
      <x:c r="E155" s="111"/>
      <x:c r="F155" s="111"/>
      <x:c r="G155" s="111"/>
      <x:c r="H155" s="111"/>
      <x:c r="I155" s="111"/>
      <x:c r="J155" s="111"/>
      <x:c r="K155" s="111"/>
      <x:c r="L155" s="111"/>
      <x:c r="M155" s="111"/>
      <x:c r="N155" s="111"/>
      <x:c r="O155" s="111"/>
      <x:c r="P155" s="111"/>
      <x:c r="Q155" s="111"/>
      <x:c r="R155" s="111"/>
      <x:c r="S155" s="111"/>
      <x:c r="T155" s="111"/>
    </x:row>
    <x:row r="156">
      <x:c r="A156" s="111"/>
      <x:c r="B156" s="111"/>
      <x:c r="C156" s="111"/>
      <x:c r="D156" s="111"/>
      <x:c r="E156" s="111"/>
      <x:c r="F156" s="111"/>
      <x:c r="G156" s="111"/>
      <x:c r="H156" s="111"/>
      <x:c r="I156" s="111"/>
      <x:c r="J156" s="111"/>
      <x:c r="K156" s="111"/>
      <x:c r="L156" s="111"/>
      <x:c r="M156" s="111"/>
      <x:c r="N156" s="111"/>
      <x:c r="O156" s="111"/>
      <x:c r="P156" s="111"/>
      <x:c r="Q156" s="111"/>
      <x:c r="R156" s="111"/>
      <x:c r="S156" s="111"/>
      <x:c r="T156" s="111"/>
    </x:row>
    <x:row r="157">
      <x:c r="A157" s="111"/>
      <x:c r="B157" s="111"/>
      <x:c r="C157" s="111"/>
      <x:c r="D157" s="111"/>
      <x:c r="E157" s="111"/>
      <x:c r="F157" s="111"/>
      <x:c r="G157" s="111"/>
      <x:c r="H157" s="111"/>
      <x:c r="I157" s="111"/>
      <x:c r="J157" s="111"/>
      <x:c r="K157" s="111"/>
      <x:c r="L157" s="111"/>
      <x:c r="M157" s="111"/>
      <x:c r="N157" s="111"/>
      <x:c r="O157" s="111"/>
      <x:c r="P157" s="111"/>
      <x:c r="Q157" s="111"/>
      <x:c r="R157" s="111"/>
      <x:c r="S157" s="111"/>
      <x:c r="T157" s="111"/>
    </x:row>
    <x:row r="158">
      <x:c r="A158" s="111"/>
      <x:c r="B158" s="111"/>
      <x:c r="C158" s="111"/>
      <x:c r="D158" s="111"/>
      <x:c r="E158" s="111"/>
      <x:c r="F158" s="111"/>
      <x:c r="G158" s="111"/>
      <x:c r="H158" s="111"/>
      <x:c r="I158" s="111"/>
      <x:c r="J158" s="111"/>
      <x:c r="K158" s="111"/>
      <x:c r="L158" s="111"/>
      <x:c r="M158" s="111"/>
      <x:c r="N158" s="111"/>
      <x:c r="O158" s="111"/>
      <x:c r="P158" s="111"/>
      <x:c r="Q158" s="111"/>
      <x:c r="R158" s="111"/>
      <x:c r="S158" s="111"/>
      <x:c r="T158" s="111"/>
    </x:row>
    <x:row r="159">
      <x:c r="A159" s="111"/>
      <x:c r="B159" s="111"/>
      <x:c r="C159" s="111"/>
      <x:c r="D159" s="111"/>
      <x:c r="E159" s="111"/>
      <x:c r="F159" s="111"/>
      <x:c r="G159" s="111"/>
      <x:c r="H159" s="111"/>
      <x:c r="I159" s="111"/>
      <x:c r="J159" s="111"/>
      <x:c r="K159" s="111"/>
      <x:c r="L159" s="111"/>
      <x:c r="M159" s="111"/>
      <x:c r="N159" s="111"/>
      <x:c r="O159" s="111"/>
      <x:c r="P159" s="111"/>
      <x:c r="Q159" s="111"/>
      <x:c r="R159" s="111"/>
      <x:c r="S159" s="111"/>
      <x:c r="T159" s="111"/>
    </x:row>
    <x:row r="160">
      <x:c r="A160" s="111"/>
      <x:c r="B160" s="111"/>
      <x:c r="C160" s="111"/>
      <x:c r="D160" s="111"/>
      <x:c r="E160" s="111"/>
      <x:c r="F160" s="111"/>
      <x:c r="G160" s="111"/>
      <x:c r="H160" s="111"/>
      <x:c r="I160" s="111"/>
      <x:c r="J160" s="111"/>
      <x:c r="K160" s="111"/>
      <x:c r="L160" s="111"/>
      <x:c r="M160" s="111"/>
      <x:c r="N160" s="111"/>
      <x:c r="O160" s="111"/>
      <x:c r="P160" s="111"/>
      <x:c r="Q160" s="111"/>
      <x:c r="R160" s="111"/>
      <x:c r="S160" s="111"/>
      <x:c r="T160" s="111"/>
    </x:row>
    <x:row r="161">
      <x:c r="A161" s="111"/>
      <x:c r="B161" s="111"/>
      <x:c r="C161" s="111"/>
      <x:c r="D161" s="111"/>
      <x:c r="E161" s="111"/>
      <x:c r="F161" s="111"/>
      <x:c r="G161" s="111"/>
      <x:c r="H161" s="111"/>
      <x:c r="I161" s="111"/>
      <x:c r="J161" s="111"/>
      <x:c r="K161" s="111"/>
      <x:c r="L161" s="111"/>
      <x:c r="M161" s="111"/>
      <x:c r="N161" s="111"/>
      <x:c r="O161" s="111"/>
      <x:c r="P161" s="111"/>
      <x:c r="Q161" s="111"/>
      <x:c r="R161" s="111"/>
      <x:c r="S161" s="111"/>
      <x:c r="T161" s="111"/>
    </x:row>
    <x:row r="162">
      <x:c r="A162" s="111"/>
      <x:c r="B162" s="111"/>
      <x:c r="C162" s="111"/>
      <x:c r="D162" s="111"/>
      <x:c r="E162" s="111"/>
      <x:c r="F162" s="111"/>
      <x:c r="G162" s="111"/>
      <x:c r="H162" s="111"/>
      <x:c r="I162" s="111"/>
      <x:c r="J162" s="111"/>
      <x:c r="K162" s="111"/>
      <x:c r="L162" s="111"/>
      <x:c r="M162" s="111"/>
      <x:c r="N162" s="111"/>
      <x:c r="O162" s="111"/>
      <x:c r="P162" s="111"/>
      <x:c r="Q162" s="111"/>
      <x:c r="R162" s="111"/>
      <x:c r="S162" s="111"/>
      <x:c r="T162" s="111"/>
    </x:row>
    <x:row r="163">
      <x:c r="A163" s="111"/>
      <x:c r="B163" s="111"/>
      <x:c r="C163" s="111"/>
      <x:c r="D163" s="111"/>
      <x:c r="E163" s="111"/>
      <x:c r="F163" s="111"/>
      <x:c r="G163" s="111"/>
      <x:c r="H163" s="111"/>
      <x:c r="I163" s="111"/>
      <x:c r="J163" s="111"/>
      <x:c r="K163" s="111"/>
      <x:c r="L163" s="111"/>
      <x:c r="M163" s="111"/>
      <x:c r="N163" s="111"/>
      <x:c r="O163" s="111"/>
      <x:c r="P163" s="111"/>
      <x:c r="Q163" s="111"/>
      <x:c r="R163" s="111"/>
      <x:c r="S163" s="111"/>
      <x:c r="T163" s="111"/>
    </x:row>
    <x:row r="164">
      <x:c r="A164" s="111"/>
      <x:c r="B164" s="111"/>
      <x:c r="C164" s="111"/>
      <x:c r="D164" s="111"/>
      <x:c r="E164" s="111"/>
      <x:c r="F164" s="111"/>
      <x:c r="G164" s="111"/>
      <x:c r="H164" s="111"/>
      <x:c r="I164" s="111"/>
      <x:c r="J164" s="111"/>
      <x:c r="K164" s="111"/>
      <x:c r="L164" s="111"/>
      <x:c r="M164" s="111"/>
      <x:c r="N164" s="111"/>
      <x:c r="O164" s="111"/>
      <x:c r="P164" s="111"/>
      <x:c r="Q164" s="111"/>
      <x:c r="R164" s="111"/>
      <x:c r="S164" s="111"/>
      <x:c r="T164" s="111"/>
    </x:row>
    <x:row r="165">
      <x:c r="A165" s="111"/>
      <x:c r="B165" s="111"/>
      <x:c r="C165" s="111"/>
      <x:c r="D165" s="111"/>
      <x:c r="E165" s="111"/>
      <x:c r="F165" s="111"/>
      <x:c r="G165" s="111"/>
      <x:c r="H165" s="111"/>
      <x:c r="I165" s="111"/>
      <x:c r="J165" s="111"/>
      <x:c r="K165" s="111"/>
      <x:c r="L165" s="111"/>
      <x:c r="M165" s="111"/>
      <x:c r="N165" s="111"/>
      <x:c r="O165" s="111"/>
      <x:c r="P165" s="111"/>
      <x:c r="Q165" s="111"/>
      <x:c r="R165" s="111"/>
      <x:c r="S165" s="111"/>
      <x:c r="T165" s="111"/>
    </x:row>
    <x:row r="166">
      <x:c r="A166" s="111"/>
      <x:c r="B166" s="111"/>
      <x:c r="C166" s="111"/>
      <x:c r="D166" s="111"/>
      <x:c r="E166" s="111"/>
      <x:c r="F166" s="111"/>
      <x:c r="G166" s="111"/>
      <x:c r="H166" s="111"/>
      <x:c r="I166" s="111"/>
      <x:c r="J166" s="111"/>
      <x:c r="K166" s="111"/>
      <x:c r="L166" s="111"/>
      <x:c r="M166" s="111"/>
      <x:c r="N166" s="111"/>
      <x:c r="O166" s="111"/>
      <x:c r="P166" s="111"/>
      <x:c r="Q166" s="111"/>
      <x:c r="R166" s="111"/>
      <x:c r="S166" s="111"/>
      <x:c r="T166" s="111"/>
    </x:row>
    <x:row r="167">
      <x:c r="A167" s="111"/>
      <x:c r="B167" s="111"/>
      <x:c r="C167" s="111"/>
      <x:c r="D167" s="111"/>
      <x:c r="E167" s="111"/>
      <x:c r="F167" s="111"/>
      <x:c r="G167" s="111"/>
      <x:c r="H167" s="111"/>
      <x:c r="I167" s="111"/>
      <x:c r="J167" s="111"/>
      <x:c r="K167" s="111"/>
      <x:c r="L167" s="111"/>
      <x:c r="M167" s="111"/>
      <x:c r="N167" s="111"/>
      <x:c r="O167" s="111"/>
      <x:c r="P167" s="111"/>
      <x:c r="Q167" s="111"/>
      <x:c r="R167" s="111"/>
      <x:c r="S167" s="111"/>
      <x:c r="T167" s="111"/>
    </x:row>
    <x:row r="168">
      <x:c r="A168" s="111"/>
      <x:c r="B168" s="111"/>
      <x:c r="C168" s="111"/>
      <x:c r="D168" s="111"/>
      <x:c r="E168" s="111"/>
      <x:c r="F168" s="111"/>
      <x:c r="G168" s="111"/>
      <x:c r="H168" s="111"/>
      <x:c r="I168" s="111"/>
      <x:c r="J168" s="111"/>
      <x:c r="K168" s="111"/>
      <x:c r="L168" s="111"/>
      <x:c r="M168" s="111"/>
      <x:c r="N168" s="111"/>
      <x:c r="O168" s="111"/>
      <x:c r="P168" s="111"/>
      <x:c r="Q168" s="111"/>
      <x:c r="R168" s="111"/>
      <x:c r="S168" s="111"/>
      <x:c r="T168" s="111"/>
    </x:row>
    <x:row r="169">
      <x:c r="A169" s="111"/>
      <x:c r="B169" s="111"/>
      <x:c r="C169" s="111"/>
      <x:c r="D169" s="111"/>
      <x:c r="E169" s="111"/>
      <x:c r="F169" s="111"/>
      <x:c r="G169" s="111"/>
      <x:c r="H169" s="111"/>
      <x:c r="I169" s="111"/>
      <x:c r="J169" s="111"/>
      <x:c r="K169" s="111"/>
      <x:c r="L169" s="111"/>
      <x:c r="M169" s="111"/>
      <x:c r="N169" s="111"/>
      <x:c r="O169" s="111"/>
      <x:c r="P169" s="111"/>
      <x:c r="Q169" s="111"/>
      <x:c r="R169" s="111"/>
      <x:c r="S169" s="111"/>
      <x:c r="T169" s="111"/>
    </x:row>
    <x:row r="170">
      <x:c r="A170" s="111"/>
      <x:c r="B170" s="111"/>
      <x:c r="C170" s="111"/>
      <x:c r="D170" s="111"/>
      <x:c r="E170" s="111"/>
      <x:c r="F170" s="111"/>
      <x:c r="G170" s="111"/>
      <x:c r="H170" s="111"/>
      <x:c r="I170" s="111"/>
      <x:c r="J170" s="111"/>
      <x:c r="K170" s="111"/>
      <x:c r="L170" s="111"/>
      <x:c r="M170" s="111"/>
      <x:c r="N170" s="111"/>
      <x:c r="O170" s="111"/>
      <x:c r="P170" s="111"/>
      <x:c r="Q170" s="111"/>
      <x:c r="R170" s="111"/>
      <x:c r="S170" s="111"/>
      <x:c r="T170" s="111"/>
    </x:row>
    <x:row r="171">
      <x:c r="A171" s="111"/>
      <x:c r="B171" s="111"/>
      <x:c r="C171" s="111"/>
      <x:c r="D171" s="111"/>
      <x:c r="E171" s="111"/>
      <x:c r="F171" s="111"/>
      <x:c r="G171" s="111"/>
      <x:c r="H171" s="111"/>
      <x:c r="I171" s="111"/>
      <x:c r="J171" s="111"/>
      <x:c r="K171" s="111"/>
      <x:c r="L171" s="111"/>
      <x:c r="M171" s="111"/>
      <x:c r="N171" s="111"/>
      <x:c r="O171" s="111"/>
      <x:c r="P171" s="111"/>
      <x:c r="Q171" s="111"/>
      <x:c r="R171" s="111"/>
      <x:c r="S171" s="111"/>
      <x:c r="T171" s="111"/>
    </x:row>
    <x:row r="172">
      <x:c r="A172" s="111"/>
      <x:c r="B172" s="111"/>
      <x:c r="C172" s="111"/>
      <x:c r="D172" s="111"/>
      <x:c r="E172" s="111"/>
      <x:c r="F172" s="111"/>
      <x:c r="G172" s="111"/>
      <x:c r="H172" s="111"/>
      <x:c r="I172" s="111"/>
      <x:c r="J172" s="111"/>
      <x:c r="K172" s="111"/>
      <x:c r="L172" s="111"/>
      <x:c r="M172" s="111"/>
      <x:c r="N172" s="111"/>
      <x:c r="O172" s="111"/>
      <x:c r="P172" s="111"/>
      <x:c r="Q172" s="111"/>
      <x:c r="R172" s="111"/>
      <x:c r="S172" s="111"/>
      <x:c r="T172" s="111"/>
    </x:row>
    <x:row r="173">
      <x:c r="A173" s="111"/>
      <x:c r="B173" s="111"/>
      <x:c r="C173" s="111"/>
      <x:c r="D173" s="111"/>
      <x:c r="E173" s="111"/>
      <x:c r="F173" s="111"/>
      <x:c r="G173" s="111"/>
      <x:c r="H173" s="111"/>
      <x:c r="I173" s="111"/>
      <x:c r="J173" s="111"/>
      <x:c r="K173" s="111"/>
      <x:c r="L173" s="111"/>
      <x:c r="M173" s="111"/>
      <x:c r="N173" s="111"/>
      <x:c r="O173" s="111"/>
      <x:c r="P173" s="111"/>
      <x:c r="Q173" s="111"/>
      <x:c r="R173" s="111"/>
      <x:c r="S173" s="111"/>
      <x:c r="T173" s="111"/>
    </x:row>
    <x:row r="174">
      <x:c r="A174" s="111"/>
      <x:c r="B174" s="111"/>
      <x:c r="C174" s="111"/>
      <x:c r="D174" s="111"/>
      <x:c r="E174" s="111"/>
      <x:c r="F174" s="111"/>
      <x:c r="G174" s="111"/>
      <x:c r="H174" s="111"/>
      <x:c r="I174" s="111"/>
      <x:c r="J174" s="111"/>
      <x:c r="K174" s="111"/>
      <x:c r="L174" s="111"/>
      <x:c r="M174" s="111"/>
      <x:c r="N174" s="111"/>
      <x:c r="O174" s="111"/>
      <x:c r="P174" s="111"/>
      <x:c r="Q174" s="111"/>
      <x:c r="R174" s="111"/>
      <x:c r="S174" s="111"/>
      <x:c r="T174" s="111"/>
    </x:row>
    <x:row r="175">
      <x:c r="A175" s="111"/>
      <x:c r="B175" s="111"/>
      <x:c r="C175" s="111"/>
      <x:c r="D175" s="111"/>
      <x:c r="E175" s="111"/>
      <x:c r="F175" s="111"/>
      <x:c r="G175" s="111"/>
      <x:c r="H175" s="111"/>
      <x:c r="I175" s="111"/>
      <x:c r="J175" s="111"/>
      <x:c r="K175" s="111"/>
      <x:c r="L175" s="111"/>
      <x:c r="M175" s="111"/>
      <x:c r="N175" s="111"/>
      <x:c r="O175" s="111"/>
      <x:c r="P175" s="111"/>
      <x:c r="Q175" s="111"/>
      <x:c r="R175" s="111"/>
      <x:c r="S175" s="111"/>
      <x:c r="T175" s="111"/>
    </x:row>
    <x:row r="176">
      <x:c r="A176" s="111"/>
      <x:c r="B176" s="111"/>
      <x:c r="C176" s="111"/>
      <x:c r="D176" s="111"/>
      <x:c r="E176" s="111"/>
      <x:c r="F176" s="111"/>
      <x:c r="G176" s="111"/>
      <x:c r="H176" s="111"/>
      <x:c r="I176" s="111"/>
      <x:c r="J176" s="111"/>
      <x:c r="K176" s="111"/>
      <x:c r="L176" s="111"/>
      <x:c r="M176" s="111"/>
      <x:c r="N176" s="111"/>
      <x:c r="O176" s="111"/>
      <x:c r="P176" s="111"/>
      <x:c r="Q176" s="111"/>
      <x:c r="R176" s="111"/>
      <x:c r="S176" s="111"/>
      <x:c r="T176" s="111"/>
    </x:row>
    <x:row r="177">
      <x:c r="A177" s="111"/>
      <x:c r="B177" s="111"/>
      <x:c r="C177" s="111"/>
      <x:c r="D177" s="111"/>
      <x:c r="E177" s="111"/>
      <x:c r="F177" s="111"/>
      <x:c r="G177" s="111"/>
      <x:c r="H177" s="111"/>
      <x:c r="I177" s="111"/>
      <x:c r="J177" s="111"/>
      <x:c r="K177" s="111"/>
      <x:c r="L177" s="111"/>
      <x:c r="M177" s="111"/>
      <x:c r="N177" s="111"/>
      <x:c r="O177" s="111"/>
      <x:c r="P177" s="111"/>
      <x:c r="Q177" s="111"/>
      <x:c r="R177" s="111"/>
      <x:c r="S177" s="111"/>
      <x:c r="T177" s="111"/>
    </x:row>
    <x:row r="178">
      <x:c r="A178" s="111"/>
      <x:c r="B178" s="111"/>
      <x:c r="C178" s="111"/>
      <x:c r="D178" s="111"/>
      <x:c r="E178" s="111"/>
      <x:c r="F178" s="111"/>
      <x:c r="G178" s="111"/>
      <x:c r="H178" s="111"/>
      <x:c r="I178" s="111"/>
      <x:c r="J178" s="111"/>
      <x:c r="K178" s="111"/>
      <x:c r="L178" s="111"/>
      <x:c r="M178" s="111"/>
      <x:c r="N178" s="111"/>
      <x:c r="O178" s="111"/>
      <x:c r="P178" s="111"/>
      <x:c r="Q178" s="111"/>
      <x:c r="R178" s="111"/>
      <x:c r="S178" s="111"/>
      <x:c r="T178" s="111"/>
    </x:row>
    <x:row r="179">
      <x:c r="A179" s="111"/>
      <x:c r="B179" s="111"/>
      <x:c r="C179" s="111"/>
      <x:c r="D179" s="111"/>
      <x:c r="E179" s="111"/>
      <x:c r="F179" s="111"/>
      <x:c r="G179" s="111"/>
      <x:c r="H179" s="111"/>
      <x:c r="I179" s="111"/>
      <x:c r="J179" s="111"/>
      <x:c r="K179" s="111"/>
      <x:c r="L179" s="111"/>
      <x:c r="M179" s="111"/>
      <x:c r="N179" s="111"/>
      <x:c r="O179" s="111"/>
      <x:c r="P179" s="111"/>
      <x:c r="Q179" s="111"/>
      <x:c r="R179" s="111"/>
      <x:c r="S179" s="111"/>
      <x:c r="T179" s="111"/>
    </x:row>
    <x:row r="180">
      <x:c r="A180" s="111"/>
      <x:c r="B180" s="111"/>
      <x:c r="C180" s="111"/>
      <x:c r="D180" s="111"/>
      <x:c r="E180" s="111"/>
      <x:c r="F180" s="111"/>
      <x:c r="G180" s="111"/>
      <x:c r="H180" s="111"/>
      <x:c r="I180" s="111"/>
      <x:c r="J180" s="111"/>
      <x:c r="K180" s="111"/>
      <x:c r="L180" s="111"/>
      <x:c r="M180" s="111"/>
      <x:c r="N180" s="111"/>
      <x:c r="O180" s="111"/>
      <x:c r="P180" s="111"/>
      <x:c r="Q180" s="111"/>
      <x:c r="R180" s="111"/>
      <x:c r="S180" s="111"/>
      <x:c r="T180" s="111"/>
    </x:row>
    <x:row r="181">
      <x:c r="A181" s="111"/>
      <x:c r="B181" s="111"/>
      <x:c r="C181" s="111"/>
      <x:c r="D181" s="111"/>
      <x:c r="E181" s="111"/>
      <x:c r="F181" s="111"/>
      <x:c r="G181" s="111"/>
      <x:c r="H181" s="111"/>
      <x:c r="I181" s="111"/>
      <x:c r="J181" s="111"/>
      <x:c r="K181" s="111"/>
      <x:c r="L181" s="111"/>
      <x:c r="M181" s="111"/>
      <x:c r="N181" s="111"/>
      <x:c r="O181" s="111"/>
      <x:c r="P181" s="111"/>
      <x:c r="Q181" s="111"/>
      <x:c r="R181" s="111"/>
      <x:c r="S181" s="111"/>
      <x:c r="T181" s="111"/>
    </x:row>
    <x:row r="182">
      <x:c r="A182" s="111"/>
      <x:c r="B182" s="111"/>
      <x:c r="C182" s="111"/>
      <x:c r="D182" s="111"/>
      <x:c r="E182" s="111"/>
      <x:c r="F182" s="111"/>
      <x:c r="G182" s="111"/>
      <x:c r="H182" s="111"/>
      <x:c r="I182" s="111"/>
      <x:c r="J182" s="111"/>
      <x:c r="K182" s="111"/>
      <x:c r="L182" s="111"/>
      <x:c r="M182" s="111"/>
      <x:c r="N182" s="111"/>
      <x:c r="O182" s="111"/>
      <x:c r="P182" s="111"/>
      <x:c r="Q182" s="111"/>
      <x:c r="R182" s="111"/>
      <x:c r="S182" s="111"/>
      <x:c r="T182" s="111"/>
    </x:row>
    <x:row r="183">
      <x:c r="A183" s="111"/>
      <x:c r="B183" s="111"/>
      <x:c r="C183" s="111"/>
      <x:c r="D183" s="111"/>
      <x:c r="E183" s="111"/>
      <x:c r="F183" s="111"/>
      <x:c r="G183" s="111"/>
      <x:c r="H183" s="111"/>
      <x:c r="I183" s="111"/>
      <x:c r="J183" s="111"/>
      <x:c r="K183" s="111"/>
      <x:c r="L183" s="111"/>
      <x:c r="M183" s="111"/>
      <x:c r="N183" s="111"/>
      <x:c r="O183" s="111"/>
      <x:c r="P183" s="111"/>
      <x:c r="Q183" s="111"/>
      <x:c r="R183" s="111"/>
      <x:c r="S183" s="111"/>
      <x:c r="T183" s="111"/>
    </x:row>
    <x:row r="184">
      <x:c r="A184" s="111"/>
      <x:c r="B184" s="111"/>
      <x:c r="C184" s="111"/>
      <x:c r="D184" s="111"/>
      <x:c r="E184" s="111"/>
      <x:c r="F184" s="111"/>
      <x:c r="G184" s="111"/>
      <x:c r="H184" s="111"/>
      <x:c r="I184" s="111"/>
      <x:c r="J184" s="111"/>
      <x:c r="K184" s="111"/>
      <x:c r="L184" s="111"/>
      <x:c r="M184" s="111"/>
      <x:c r="N184" s="111"/>
      <x:c r="O184" s="111"/>
      <x:c r="P184" s="111"/>
      <x:c r="Q184" s="111"/>
      <x:c r="R184" s="111"/>
      <x:c r="S184" s="111"/>
      <x:c r="T184" s="111"/>
    </x:row>
    <x:row r="185">
      <x:c r="A185" s="111"/>
      <x:c r="B185" s="111"/>
      <x:c r="C185" s="111"/>
      <x:c r="D185" s="111"/>
      <x:c r="E185" s="111"/>
      <x:c r="F185" s="111"/>
      <x:c r="G185" s="111"/>
      <x:c r="H185" s="111"/>
      <x:c r="I185" s="111"/>
      <x:c r="J185" s="111"/>
      <x:c r="K185" s="111"/>
      <x:c r="L185" s="111"/>
      <x:c r="M185" s="111"/>
      <x:c r="N185" s="111"/>
      <x:c r="O185" s="111"/>
      <x:c r="P185" s="111"/>
      <x:c r="Q185" s="111"/>
      <x:c r="R185" s="111"/>
      <x:c r="S185" s="111"/>
      <x:c r="T185" s="111"/>
    </x:row>
    <x:row r="186">
      <x:c r="A186" s="111"/>
      <x:c r="B186" s="111"/>
      <x:c r="C186" s="111"/>
      <x:c r="D186" s="111"/>
      <x:c r="E186" s="111"/>
      <x:c r="F186" s="111"/>
      <x:c r="G186" s="111"/>
      <x:c r="H186" s="111"/>
      <x:c r="I186" s="111"/>
      <x:c r="J186" s="111"/>
      <x:c r="K186" s="111"/>
      <x:c r="L186" s="111"/>
      <x:c r="M186" s="111"/>
      <x:c r="N186" s="111"/>
      <x:c r="O186" s="111"/>
      <x:c r="P186" s="111"/>
      <x:c r="Q186" s="111"/>
      <x:c r="R186" s="111"/>
      <x:c r="S186" s="111"/>
      <x:c r="T186" s="111"/>
    </x:row>
    <x:row r="187">
      <x:c r="A187" s="111"/>
      <x:c r="B187" s="111"/>
      <x:c r="C187" s="111"/>
      <x:c r="D187" s="111"/>
      <x:c r="E187" s="111"/>
      <x:c r="F187" s="111"/>
      <x:c r="G187" s="111"/>
      <x:c r="H187" s="111"/>
      <x:c r="I187" s="111"/>
      <x:c r="J187" s="111"/>
      <x:c r="K187" s="111"/>
      <x:c r="L187" s="111"/>
      <x:c r="M187" s="111"/>
      <x:c r="N187" s="111"/>
      <x:c r="O187" s="111"/>
      <x:c r="P187" s="111"/>
      <x:c r="Q187" s="111"/>
      <x:c r="R187" s="111"/>
      <x:c r="S187" s="111"/>
      <x:c r="T187" s="111"/>
    </x:row>
    <x:row r="188">
      <x:c r="A188" s="111"/>
      <x:c r="B188" s="111"/>
      <x:c r="C188" s="111"/>
      <x:c r="D188" s="111"/>
      <x:c r="E188" s="111"/>
      <x:c r="F188" s="111"/>
      <x:c r="G188" s="111"/>
      <x:c r="H188" s="111"/>
      <x:c r="I188" s="111"/>
      <x:c r="J188" s="111"/>
      <x:c r="K188" s="111"/>
      <x:c r="L188" s="111"/>
      <x:c r="M188" s="111"/>
      <x:c r="N188" s="111"/>
      <x:c r="O188" s="111"/>
      <x:c r="P188" s="111"/>
      <x:c r="Q188" s="111"/>
      <x:c r="R188" s="111"/>
      <x:c r="S188" s="111"/>
      <x:c r="T188" s="111"/>
    </x:row>
    <x:row r="189">
      <x:c r="A189" s="111"/>
      <x:c r="B189" s="111"/>
      <x:c r="C189" s="111"/>
      <x:c r="D189" s="111"/>
      <x:c r="E189" s="111"/>
      <x:c r="F189" s="111"/>
      <x:c r="G189" s="111"/>
      <x:c r="H189" s="111"/>
      <x:c r="I189" s="111"/>
      <x:c r="J189" s="111"/>
      <x:c r="K189" s="111"/>
      <x:c r="L189" s="111"/>
      <x:c r="M189" s="111"/>
      <x:c r="N189" s="111"/>
      <x:c r="O189" s="111"/>
      <x:c r="P189" s="111"/>
      <x:c r="Q189" s="111"/>
      <x:c r="R189" s="111"/>
      <x:c r="S189" s="111"/>
      <x:c r="T189" s="111"/>
    </x:row>
    <x:row r="190">
      <x:c r="A190" s="111"/>
      <x:c r="B190" s="111"/>
      <x:c r="C190" s="111"/>
      <x:c r="D190" s="111"/>
      <x:c r="E190" s="111"/>
      <x:c r="F190" s="111"/>
      <x:c r="G190" s="111"/>
      <x:c r="H190" s="111"/>
      <x:c r="I190" s="111"/>
      <x:c r="J190" s="111"/>
      <x:c r="K190" s="111"/>
      <x:c r="L190" s="111"/>
      <x:c r="M190" s="111"/>
      <x:c r="N190" s="111"/>
      <x:c r="O190" s="111"/>
      <x:c r="P190" s="111"/>
      <x:c r="Q190" s="111"/>
      <x:c r="R190" s="111"/>
      <x:c r="S190" s="111"/>
      <x:c r="T190" s="111"/>
    </x:row>
    <x:row r="191">
      <x:c r="A191" s="111"/>
      <x:c r="B191" s="111"/>
      <x:c r="C191" s="111"/>
      <x:c r="D191" s="111"/>
      <x:c r="E191" s="111"/>
      <x:c r="F191" s="111"/>
      <x:c r="G191" s="111"/>
      <x:c r="H191" s="111"/>
      <x:c r="I191" s="111"/>
      <x:c r="J191" s="111"/>
      <x:c r="K191" s="111"/>
      <x:c r="L191" s="111"/>
      <x:c r="M191" s="111"/>
      <x:c r="N191" s="111"/>
      <x:c r="O191" s="111"/>
      <x:c r="P191" s="111"/>
      <x:c r="Q191" s="111"/>
      <x:c r="R191" s="111"/>
      <x:c r="S191" s="111"/>
      <x:c r="T191" s="111"/>
    </x:row>
    <x:row r="192">
      <x:c r="A192" s="111"/>
      <x:c r="B192" s="111"/>
      <x:c r="C192" s="111"/>
      <x:c r="D192" s="111"/>
      <x:c r="E192" s="111"/>
      <x:c r="F192" s="111"/>
      <x:c r="G192" s="111"/>
      <x:c r="H192" s="111"/>
      <x:c r="I192" s="111"/>
      <x:c r="J192" s="111"/>
      <x:c r="K192" s="111"/>
      <x:c r="L192" s="111"/>
      <x:c r="M192" s="111"/>
      <x:c r="N192" s="111"/>
      <x:c r="O192" s="111"/>
      <x:c r="P192" s="111"/>
      <x:c r="Q192" s="111"/>
      <x:c r="R192" s="111"/>
      <x:c r="S192" s="111"/>
      <x:c r="T192" s="111"/>
    </x:row>
    <x:row r="193">
      <x:c r="A193" s="111"/>
      <x:c r="B193" s="111"/>
      <x:c r="C193" s="111"/>
      <x:c r="D193" s="111"/>
      <x:c r="E193" s="111"/>
      <x:c r="F193" s="111"/>
      <x:c r="G193" s="111"/>
      <x:c r="H193" s="111"/>
      <x:c r="I193" s="111"/>
      <x:c r="J193" s="111"/>
      <x:c r="K193" s="111"/>
      <x:c r="L193" s="111"/>
      <x:c r="M193" s="111"/>
      <x:c r="N193" s="111"/>
      <x:c r="O193" s="111"/>
      <x:c r="P193" s="111"/>
      <x:c r="Q193" s="111"/>
      <x:c r="R193" s="111"/>
      <x:c r="S193" s="111"/>
      <x:c r="T193" s="111"/>
    </x:row>
    <x:row r="194">
      <x:c r="A194" s="111"/>
      <x:c r="B194" s="111"/>
      <x:c r="C194" s="111"/>
      <x:c r="D194" s="111"/>
      <x:c r="E194" s="111"/>
      <x:c r="F194" s="111"/>
      <x:c r="G194" s="111"/>
      <x:c r="H194" s="111"/>
      <x:c r="I194" s="111"/>
      <x:c r="J194" s="111"/>
      <x:c r="K194" s="111"/>
      <x:c r="L194" s="111"/>
      <x:c r="M194" s="111"/>
      <x:c r="N194" s="111"/>
      <x:c r="O194" s="111"/>
      <x:c r="P194" s="111"/>
      <x:c r="Q194" s="111"/>
      <x:c r="R194" s="111"/>
      <x:c r="S194" s="111"/>
      <x:c r="T194" s="111"/>
    </x:row>
    <x:row r="195">
      <x:c r="A195" s="111"/>
      <x:c r="B195" s="111"/>
      <x:c r="C195" s="111"/>
      <x:c r="D195" s="111"/>
      <x:c r="E195" s="111"/>
      <x:c r="F195" s="111"/>
      <x:c r="G195" s="111"/>
      <x:c r="H195" s="111"/>
      <x:c r="I195" s="111"/>
      <x:c r="J195" s="111"/>
      <x:c r="K195" s="111"/>
      <x:c r="L195" s="111"/>
      <x:c r="M195" s="111"/>
      <x:c r="N195" s="111"/>
      <x:c r="O195" s="111"/>
      <x:c r="P195" s="111"/>
      <x:c r="Q195" s="111"/>
      <x:c r="R195" s="111"/>
      <x:c r="S195" s="111"/>
      <x:c r="T195" s="111"/>
    </x:row>
    <x:row r="196">
      <x:c r="A196" s="111"/>
      <x:c r="B196" s="111"/>
      <x:c r="C196" s="111"/>
      <x:c r="D196" s="111"/>
      <x:c r="E196" s="111"/>
      <x:c r="F196" s="111"/>
      <x:c r="G196" s="111"/>
      <x:c r="H196" s="111"/>
      <x:c r="I196" s="111"/>
      <x:c r="J196" s="111"/>
      <x:c r="K196" s="111"/>
      <x:c r="L196" s="111"/>
      <x:c r="M196" s="111"/>
      <x:c r="N196" s="111"/>
      <x:c r="O196" s="111"/>
      <x:c r="P196" s="111"/>
      <x:c r="Q196" s="111"/>
      <x:c r="R196" s="111"/>
      <x:c r="S196" s="111"/>
      <x:c r="T196" s="111"/>
    </x:row>
    <x:row r="197">
      <x:c r="A197" s="111"/>
      <x:c r="B197" s="111"/>
      <x:c r="C197" s="111"/>
      <x:c r="D197" s="111"/>
      <x:c r="E197" s="111"/>
      <x:c r="F197" s="111"/>
      <x:c r="G197" s="111"/>
      <x:c r="H197" s="111"/>
      <x:c r="I197" s="111"/>
      <x:c r="J197" s="111"/>
      <x:c r="K197" s="111"/>
      <x:c r="L197" s="111"/>
      <x:c r="M197" s="111"/>
      <x:c r="N197" s="111"/>
      <x:c r="O197" s="111"/>
      <x:c r="P197" s="111"/>
      <x:c r="Q197" s="111"/>
      <x:c r="R197" s="111"/>
      <x:c r="S197" s="111"/>
      <x:c r="T197" s="111"/>
    </x:row>
    <x:row r="198">
      <x:c r="A198" s="111"/>
      <x:c r="B198" s="111"/>
      <x:c r="C198" s="111"/>
      <x:c r="D198" s="111"/>
      <x:c r="E198" s="111"/>
      <x:c r="F198" s="111"/>
      <x:c r="G198" s="111"/>
      <x:c r="H198" s="111"/>
      <x:c r="I198" s="111"/>
      <x:c r="J198" s="111"/>
      <x:c r="K198" s="111"/>
      <x:c r="L198" s="111"/>
      <x:c r="M198" s="111"/>
      <x:c r="N198" s="111"/>
      <x:c r="O198" s="111"/>
      <x:c r="P198" s="111"/>
      <x:c r="Q198" s="111"/>
      <x:c r="R198" s="111"/>
      <x:c r="S198" s="111"/>
      <x:c r="T198" s="111"/>
    </x:row>
    <x:row r="199">
      <x:c r="A199" s="111"/>
      <x:c r="B199" s="111"/>
      <x:c r="C199" s="111"/>
      <x:c r="D199" s="111"/>
      <x:c r="E199" s="111"/>
      <x:c r="F199" s="111"/>
      <x:c r="G199" s="111"/>
      <x:c r="H199" s="111"/>
      <x:c r="I199" s="111"/>
      <x:c r="J199" s="111"/>
      <x:c r="K199" s="111"/>
      <x:c r="L199" s="111"/>
      <x:c r="M199" s="111"/>
      <x:c r="N199" s="111"/>
      <x:c r="O199" s="111"/>
      <x:c r="P199" s="111"/>
      <x:c r="Q199" s="111"/>
      <x:c r="R199" s="111"/>
      <x:c r="S199" s="111"/>
      <x:c r="T199" s="111"/>
    </x:row>
    <x:row r="200">
      <x:c r="A200" s="111"/>
      <x:c r="B200" s="111"/>
      <x:c r="C200" s="111"/>
      <x:c r="D200" s="111"/>
      <x:c r="E200" s="111"/>
      <x:c r="F200" s="111"/>
      <x:c r="G200" s="111"/>
      <x:c r="H200" s="111"/>
      <x:c r="I200" s="111"/>
      <x:c r="J200" s="111"/>
      <x:c r="K200" s="111"/>
      <x:c r="L200" s="111"/>
      <x:c r="M200" s="111"/>
      <x:c r="N200" s="111"/>
      <x:c r="O200" s="111"/>
      <x:c r="P200" s="111"/>
      <x:c r="Q200" s="111"/>
      <x:c r="R200" s="111"/>
      <x:c r="S200" s="111"/>
      <x:c r="T200" s="111"/>
    </x:row>
    <x:row r="201">
      <x:c r="A201" s="111"/>
      <x:c r="B201" s="111"/>
      <x:c r="C201" s="111"/>
      <x:c r="D201" s="111"/>
      <x:c r="E201" s="111"/>
      <x:c r="F201" s="111"/>
      <x:c r="G201" s="111"/>
      <x:c r="H201" s="111"/>
      <x:c r="I201" s="111"/>
      <x:c r="J201" s="111"/>
      <x:c r="K201" s="111"/>
      <x:c r="L201" s="111"/>
      <x:c r="M201" s="111"/>
      <x:c r="N201" s="111"/>
      <x:c r="O201" s="111"/>
      <x:c r="P201" s="111"/>
      <x:c r="Q201" s="111"/>
      <x:c r="R201" s="111"/>
      <x:c r="S201" s="111"/>
      <x:c r="T201" s="111"/>
    </x:row>
    <x:row r="202">
      <x:c r="A202" s="111"/>
      <x:c r="B202" s="111"/>
      <x:c r="C202" s="111"/>
      <x:c r="D202" s="111"/>
      <x:c r="E202" s="111"/>
      <x:c r="F202" s="111"/>
      <x:c r="G202" s="111"/>
      <x:c r="H202" s="111"/>
      <x:c r="I202" s="111"/>
      <x:c r="J202" s="111"/>
      <x:c r="K202" s="111"/>
      <x:c r="L202" s="111"/>
      <x:c r="M202" s="111"/>
      <x:c r="N202" s="111"/>
      <x:c r="O202" s="111"/>
      <x:c r="P202" s="111"/>
      <x:c r="Q202" s="111"/>
      <x:c r="R202" s="111"/>
      <x:c r="S202" s="111"/>
      <x:c r="T202" s="111"/>
    </x:row>
    <x:row r="203">
      <x:c r="A203" s="111"/>
      <x:c r="B203" s="111"/>
      <x:c r="C203" s="111"/>
      <x:c r="D203" s="111"/>
      <x:c r="E203" s="111"/>
      <x:c r="F203" s="111"/>
      <x:c r="G203" s="111"/>
      <x:c r="H203" s="111"/>
      <x:c r="I203" s="111"/>
      <x:c r="J203" s="111"/>
      <x:c r="K203" s="111"/>
      <x:c r="L203" s="111"/>
      <x:c r="M203" s="111"/>
      <x:c r="N203" s="111"/>
      <x:c r="O203" s="111"/>
      <x:c r="P203" s="111"/>
      <x:c r="Q203" s="111"/>
      <x:c r="R203" s="111"/>
      <x:c r="S203" s="111"/>
      <x:c r="T203" s="111"/>
    </x:row>
    <x:row r="204">
      <x:c r="A204" s="111"/>
      <x:c r="B204" s="111"/>
      <x:c r="C204" s="111"/>
      <x:c r="D204" s="111"/>
      <x:c r="E204" s="111"/>
      <x:c r="F204" s="111"/>
      <x:c r="G204" s="111"/>
      <x:c r="H204" s="111"/>
      <x:c r="I204" s="111"/>
      <x:c r="J204" s="111"/>
      <x:c r="K204" s="111"/>
      <x:c r="L204" s="111"/>
      <x:c r="M204" s="111"/>
      <x:c r="N204" s="111"/>
      <x:c r="O204" s="111"/>
      <x:c r="P204" s="111"/>
      <x:c r="Q204" s="111"/>
      <x:c r="R204" s="111"/>
      <x:c r="S204" s="111"/>
      <x:c r="T204" s="111"/>
    </x:row>
    <x:row r="205">
      <x:c r="A205" s="111"/>
      <x:c r="B205" s="111"/>
      <x:c r="C205" s="111"/>
      <x:c r="D205" s="111"/>
      <x:c r="E205" s="111"/>
      <x:c r="F205" s="111"/>
      <x:c r="G205" s="111"/>
      <x:c r="H205" s="111"/>
      <x:c r="I205" s="111"/>
      <x:c r="J205" s="111"/>
      <x:c r="K205" s="111"/>
      <x:c r="L205" s="111"/>
      <x:c r="M205" s="111"/>
      <x:c r="N205" s="111"/>
      <x:c r="O205" s="111"/>
      <x:c r="P205" s="111"/>
      <x:c r="Q205" s="111"/>
      <x:c r="R205" s="111"/>
      <x:c r="S205" s="111"/>
      <x:c r="T205" s="111"/>
    </x:row>
  </x:sheetData>
  <x:dataValidations count="1">
    <x:dataValidation type="list" sqref="B6:B105">
      <x:formula1>"Driver,Guide,Conductor"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1b61df0fc84529"/>
  </x:tableParts>
</x:worksheet>
</file>

<file path=xl/worksheets/sheet6.xml><?xml version="1.0" encoding="utf-8"?>
<x:worksheet xmlns:x="http://schemas.openxmlformats.org/spreadsheetml/2006/main">
  <x:sheetPr>
    <x:tabColor rgb="FF52677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0" hidden="0" customWidth="1"/>
  </x:cols>
  <x:sheetData>
    <x:row r="1" ht="28" customHeight="1">
      <x:c r="A1" s="90"/>
      <x:c r="B1" s="90"/>
      <x:c r="C1" s="111"/>
      <x:c r="D1" s="111"/>
      <x:c r="E1" s="111"/>
      <x:c r="F1" s="111"/>
      <x:c r="G1" s="111"/>
      <x:c r="H1" s="111"/>
      <x:c r="I1" s="111"/>
      <x:c r="J1" s="111"/>
      <x:c r="K1" s="111"/>
      <x:c r="L1" s="111"/>
      <x:c r="M1" s="111"/>
      <x:c r="N1" s="111"/>
      <x:c r="O1" s="111"/>
      <x:c r="P1" s="111"/>
      <x:c r="Q1" s="111"/>
      <x:c r="R1" s="111"/>
      <x:c r="S1" s="111"/>
      <x:c r="T1" s="111"/>
    </x:row>
    <x:row r="2" ht="28" customHeight="1">
      <x:c r="A2" s="117" t="str">
        <x:v>Counters</x:v>
      </x:c>
      <x:c r="B2" s="90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1"/>
      <x:c r="P2" s="111"/>
      <x:c r="Q2" s="111"/>
      <x:c r="R2" s="111"/>
      <x:c r="S2" s="111"/>
      <x:c r="T2" s="111"/>
    </x:row>
    <x:row r="3" ht="28" customHeight="1">
      <x:c r="A3" s="90" t="str">
        <x:v>Enter records in yellow cells.</x:v>
      </x:c>
      <x:c r="B3" s="90"/>
      <x:c r="C3" s="111"/>
      <x:c r="D3" s="111"/>
      <x:c r="E3" s="111"/>
      <x:c r="F3" s="111"/>
      <x:c r="G3" s="111"/>
      <x:c r="H3" s="111"/>
      <x:c r="I3" s="111"/>
      <x:c r="J3" s="111"/>
      <x:c r="K3" s="111"/>
      <x:c r="L3" s="111"/>
      <x:c r="M3" s="111"/>
      <x:c r="N3" s="111"/>
      <x:c r="O3" s="111"/>
      <x:c r="P3" s="111"/>
      <x:c r="Q3" s="111"/>
      <x:c r="R3" s="111"/>
      <x:c r="S3" s="111"/>
      <x:c r="T3" s="111"/>
    </x:row>
    <x:row r="4" ht="28" customHeight="1">
      <x:c r="A4" s="90"/>
      <x:c r="B4" s="90"/>
      <x:c r="C4" s="111"/>
      <x:c r="D4" s="111"/>
      <x:c r="E4" s="111"/>
      <x:c r="F4" s="111"/>
      <x:c r="G4" s="111"/>
      <x:c r="H4" s="111"/>
      <x:c r="I4" s="111"/>
      <x:c r="J4" s="111"/>
      <x:c r="K4" s="111"/>
      <x:c r="L4" s="111"/>
      <x:c r="M4" s="111"/>
      <x:c r="N4" s="111"/>
      <x:c r="O4" s="111"/>
      <x:c r="P4" s="111"/>
      <x:c r="Q4" s="111"/>
      <x:c r="R4" s="111"/>
      <x:c r="S4" s="111"/>
      <x:c r="T4" s="111"/>
    </x:row>
    <x:row r="5" ht="60" customHeight="1">
      <x:c r="A5" s="118" t="str">
        <x:v>Counter name</x:v>
      </x:c>
      <x:c r="B5" s="118" t="str">
        <x:v>Type</x:v>
      </x:c>
      <x:c r="C5" s="111"/>
      <x:c r="D5" s="111"/>
      <x:c r="E5" s="111"/>
      <x:c r="F5" s="111"/>
      <x:c r="G5" s="111"/>
      <x:c r="H5" s="111"/>
      <x:c r="I5" s="111"/>
      <x:c r="J5" s="111"/>
      <x:c r="K5" s="111"/>
      <x:c r="L5" s="111"/>
      <x:c r="M5" s="111"/>
      <x:c r="N5" s="111"/>
      <x:c r="O5" s="111"/>
      <x:c r="P5" s="111"/>
      <x:c r="Q5" s="111"/>
      <x:c r="R5" s="111"/>
      <x:c r="S5" s="111"/>
      <x:c r="T5" s="111"/>
    </x:row>
    <x:row r="6" ht="28" customHeight="1">
      <x:c r="A6" s="107" t="str">
        <x:v>Gabtoli AC</x:v>
      </x:c>
      <x:c r="B6" s="107" t="str">
        <x:v>Own</x:v>
      </x:c>
      <x:c r="C6" s="111"/>
      <x:c r="D6" s="111"/>
      <x:c r="E6" s="111"/>
      <x:c r="F6" s="111"/>
      <x:c r="G6" s="111"/>
      <x:c r="H6" s="111"/>
      <x:c r="I6" s="111"/>
      <x:c r="J6" s="111"/>
      <x:c r="K6" s="111"/>
      <x:c r="L6" s="111"/>
      <x:c r="M6" s="111"/>
      <x:c r="N6" s="111"/>
      <x:c r="O6" s="111"/>
      <x:c r="P6" s="111"/>
      <x:c r="Q6" s="111"/>
      <x:c r="R6" s="111"/>
      <x:c r="S6" s="111"/>
      <x:c r="T6" s="111"/>
    </x:row>
    <x:row r="7" ht="28" customHeight="1">
      <x:c r="A7" s="107" t="str">
        <x:v>Balurmath - 2</x:v>
      </x:c>
      <x:c r="B7" s="107" t="str">
        <x:v>Own</x:v>
      </x:c>
      <x:c r="C7" s="111"/>
      <x:c r="D7" s="111"/>
      <x:c r="E7" s="111"/>
      <x:c r="F7" s="111"/>
      <x:c r="G7" s="111"/>
      <x:c r="H7" s="111"/>
      <x:c r="I7" s="111"/>
      <x:c r="J7" s="111"/>
      <x:c r="K7" s="111"/>
      <x:c r="L7" s="111"/>
      <x:c r="M7" s="111"/>
      <x:c r="N7" s="111"/>
      <x:c r="O7" s="111"/>
      <x:c r="P7" s="111"/>
      <x:c r="Q7" s="111"/>
      <x:c r="R7" s="111"/>
      <x:c r="S7" s="111"/>
      <x:c r="T7" s="111"/>
    </x:row>
    <x:row r="8" ht="28" customHeight="1">
      <x:c r="A8" s="107" t="str">
        <x:v>Gabtoli B-6</x:v>
      </x:c>
      <x:c r="B8" s="107" t="str">
        <x:v>Own</x:v>
      </x:c>
      <x:c r="C8" s="111"/>
      <x:c r="D8" s="111"/>
      <x:c r="E8" s="111"/>
      <x:c r="F8" s="111"/>
      <x:c r="G8" s="111"/>
      <x:c r="H8" s="111"/>
      <x:c r="I8" s="111"/>
      <x:c r="J8" s="111"/>
      <x:c r="K8" s="111"/>
      <x:c r="L8" s="111"/>
      <x:c r="M8" s="111"/>
      <x:c r="N8" s="111"/>
      <x:c r="O8" s="111"/>
      <x:c r="P8" s="111"/>
      <x:c r="Q8" s="111"/>
      <x:c r="R8" s="111"/>
      <x:c r="S8" s="111"/>
      <x:c r="T8" s="111"/>
    </x:row>
    <x:row r="9" ht="28" customHeight="1">
      <x:c r="A9" s="107" t="str">
        <x:v>Khalek Market</x:v>
      </x:c>
      <x:c r="B9" s="107" t="str">
        <x:v>Own</x:v>
      </x:c>
      <x:c r="C9" s="111"/>
      <x:c r="D9" s="111"/>
      <x:c r="E9" s="111"/>
      <x:c r="F9" s="111"/>
      <x:c r="G9" s="111"/>
      <x:c r="H9" s="111"/>
      <x:c r="I9" s="111"/>
      <x:c r="J9" s="111"/>
      <x:c r="K9" s="111"/>
      <x:c r="L9" s="111"/>
      <x:c r="M9" s="111"/>
      <x:c r="N9" s="111"/>
      <x:c r="O9" s="111"/>
      <x:c r="P9" s="111"/>
      <x:c r="Q9" s="111"/>
      <x:c r="R9" s="111"/>
      <x:c r="S9" s="111"/>
      <x:c r="T9" s="111"/>
    </x:row>
    <x:row r="10" ht="28" customHeight="1">
      <x:c r="A10" s="107" t="str">
        <x:v>Kallyanpur BRTC - 1</x:v>
      </x:c>
      <x:c r="B10" s="107" t="str">
        <x:v>Own</x:v>
      </x:c>
      <x:c r="C10" s="111"/>
      <x:c r="D10" s="111"/>
      <x:c r="E10" s="111"/>
      <x:c r="F10" s="111"/>
      <x:c r="G10" s="111"/>
      <x:c r="H10" s="111"/>
      <x:c r="I10" s="111"/>
      <x:c r="J10" s="111"/>
      <x:c r="K10" s="111"/>
      <x:c r="L10" s="111"/>
      <x:c r="M10" s="111"/>
      <x:c r="N10" s="111"/>
      <x:c r="O10" s="111"/>
      <x:c r="P10" s="111"/>
      <x:c r="Q10" s="111"/>
      <x:c r="R10" s="111"/>
      <x:c r="S10" s="111"/>
      <x:c r="T10" s="111"/>
    </x:row>
    <x:row r="11" ht="28" customHeight="1">
      <x:c r="A11" s="107" t="str">
        <x:v>Kalabagan B-3</x:v>
      </x:c>
      <x:c r="B11" s="107" t="str">
        <x:v>Own</x:v>
      </x:c>
      <x:c r="C11" s="111"/>
      <x:c r="D11" s="111"/>
      <x:c r="E11" s="111"/>
      <x:c r="F11" s="111"/>
      <x:c r="G11" s="111"/>
      <x:c r="H11" s="111"/>
      <x:c r="I11" s="111"/>
      <x:c r="J11" s="111"/>
      <x:c r="K11" s="111"/>
      <x:c r="L11" s="111"/>
      <x:c r="M11" s="111"/>
      <x:c r="N11" s="111"/>
      <x:c r="O11" s="111"/>
      <x:c r="P11" s="111"/>
      <x:c r="Q11" s="111"/>
      <x:c r="R11" s="111"/>
      <x:c r="S11" s="111"/>
      <x:c r="T11" s="111"/>
    </x:row>
    <x:row r="12" ht="28" customHeight="1">
      <x:c r="A12" s="107" t="str">
        <x:v>Panthapath AC</x:v>
      </x:c>
      <x:c r="B12" s="107" t="str">
        <x:v>Own</x:v>
      </x:c>
      <x:c r="C12" s="111"/>
      <x:c r="D12" s="111"/>
      <x:c r="E12" s="111"/>
      <x:c r="F12" s="111"/>
      <x:c r="G12" s="111"/>
      <x:c r="H12" s="111"/>
      <x:c r="I12" s="111"/>
      <x:c r="J12" s="111"/>
      <x:c r="K12" s="111"/>
      <x:c r="L12" s="111"/>
      <x:c r="M12" s="111"/>
      <x:c r="N12" s="111"/>
      <x:c r="O12" s="111"/>
      <x:c r="P12" s="111"/>
      <x:c r="Q12" s="111"/>
      <x:c r="R12" s="111"/>
      <x:c r="S12" s="111"/>
      <x:c r="T12" s="111"/>
    </x:row>
    <x:row r="13" ht="28" customHeight="1">
      <x:c r="A13" s="107" t="str">
        <x:v>Fakirapul B-4-1</x:v>
      </x:c>
      <x:c r="B13" s="107" t="str">
        <x:v>Own</x:v>
      </x:c>
      <x:c r="C13" s="111"/>
      <x:c r="D13" s="111"/>
      <x:c r="E13" s="111"/>
      <x:c r="F13" s="111"/>
      <x:c r="G13" s="111"/>
      <x:c r="H13" s="111"/>
      <x:c r="I13" s="111"/>
      <x:c r="J13" s="111"/>
      <x:c r="K13" s="111"/>
      <x:c r="L13" s="111"/>
      <x:c r="M13" s="111"/>
      <x:c r="N13" s="111"/>
      <x:c r="O13" s="111"/>
      <x:c r="P13" s="111"/>
      <x:c r="Q13" s="111"/>
      <x:c r="R13" s="111"/>
      <x:c r="S13" s="111"/>
      <x:c r="T13" s="111"/>
    </x:row>
    <x:row r="14" ht="28" customHeight="1">
      <x:c r="A14" s="107" t="str">
        <x:v>Fakirapul B-4-2</x:v>
      </x:c>
      <x:c r="B14" s="107" t="str">
        <x:v>Own</x:v>
      </x:c>
      <x:c r="C14" s="111"/>
      <x:c r="D14" s="111"/>
      <x:c r="E14" s="111"/>
      <x:c r="F14" s="111"/>
      <x:c r="G14" s="111"/>
      <x:c r="H14" s="111"/>
      <x:c r="I14" s="111"/>
      <x:c r="J14" s="111"/>
      <x:c r="K14" s="111"/>
      <x:c r="L14" s="111"/>
      <x:c r="M14" s="111"/>
      <x:c r="N14" s="111"/>
      <x:c r="O14" s="111"/>
      <x:c r="P14" s="111"/>
      <x:c r="Q14" s="111"/>
      <x:c r="R14" s="111"/>
      <x:c r="S14" s="111"/>
      <x:c r="T14" s="111"/>
    </x:row>
    <x:row r="15" ht="28" customHeight="1">
      <x:c r="A15" s="107" t="str">
        <x:v>Sayedabad B-5</x:v>
      </x:c>
      <x:c r="B15" s="107" t="str">
        <x:v>Own</x:v>
      </x:c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11"/>
      <x:c r="O15" s="111"/>
      <x:c r="P15" s="111"/>
      <x:c r="Q15" s="111"/>
      <x:c r="R15" s="111"/>
      <x:c r="S15" s="111"/>
      <x:c r="T15" s="111"/>
    </x:row>
    <x:row r="16" ht="28" customHeight="1">
      <x:c r="A16" s="107" t="str">
        <x:v>Sayedabad B-11</x:v>
      </x:c>
      <x:c r="B16" s="107" t="str">
        <x:v>Own</x:v>
      </x:c>
      <x:c r="C16" s="111"/>
      <x:c r="D16" s="111"/>
      <x:c r="E16" s="111"/>
      <x:c r="F16" s="111"/>
      <x:c r="G16" s="111"/>
      <x:c r="H16" s="111"/>
      <x:c r="I16" s="111"/>
      <x:c r="J16" s="111"/>
      <x:c r="K16" s="111"/>
      <x:c r="L16" s="111"/>
      <x:c r="M16" s="111"/>
      <x:c r="N16" s="111"/>
      <x:c r="O16" s="111"/>
      <x:c r="P16" s="111"/>
      <x:c r="Q16" s="111"/>
      <x:c r="R16" s="111"/>
      <x:c r="S16" s="111"/>
      <x:c r="T16" s="111"/>
    </x:row>
    <x:row r="17" ht="28" customHeight="1">
      <x:c r="A17" s="107" t="str">
        <x:v>Shohoz.com</x:v>
      </x:c>
      <x:c r="B17" s="107" t="str">
        <x:v>Own</x:v>
      </x:c>
      <x:c r="C17" s="111"/>
      <x:c r="D17" s="111"/>
      <x:c r="E17" s="111"/>
      <x:c r="F17" s="111"/>
      <x:c r="G17" s="111"/>
      <x:c r="H17" s="111"/>
      <x:c r="I17" s="111"/>
      <x:c r="J17" s="111"/>
      <x:c r="K17" s="111"/>
      <x:c r="L17" s="111"/>
      <x:c r="M17" s="111"/>
      <x:c r="N17" s="111"/>
      <x:c r="O17" s="111"/>
      <x:c r="P17" s="111"/>
      <x:c r="Q17" s="111"/>
      <x:c r="R17" s="111"/>
      <x:c r="S17" s="111"/>
      <x:c r="T17" s="111"/>
    </x:row>
    <x:row r="18" ht="28" customHeight="1">
      <x:c r="A18" s="107" t="str">
        <x:v>Mazar Road</x:v>
      </x:c>
      <x:c r="B18" s="107" t="str">
        <x:v>Commission</x:v>
      </x:c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11"/>
      <x:c r="M18" s="111"/>
      <x:c r="N18" s="111"/>
      <x:c r="O18" s="111"/>
      <x:c r="P18" s="111"/>
      <x:c r="Q18" s="111"/>
      <x:c r="R18" s="111"/>
      <x:c r="S18" s="111"/>
      <x:c r="T18" s="111"/>
    </x:row>
    <x:row r="19" ht="28" customHeight="1">
      <x:c r="A19" s="107" t="str">
        <x:v>Kallyanpur BRTC - 2</x:v>
      </x:c>
      <x:c r="B19" s="107" t="str">
        <x:v>Commission</x:v>
      </x:c>
      <x:c r="C19" s="111"/>
      <x:c r="D19" s="111"/>
      <x:c r="E19" s="111"/>
      <x:c r="F19" s="111"/>
      <x:c r="G19" s="111"/>
      <x:c r="H19" s="111"/>
      <x:c r="I19" s="111"/>
      <x:c r="J19" s="111"/>
      <x:c r="K19" s="111"/>
      <x:c r="L19" s="111"/>
      <x:c r="M19" s="111"/>
      <x:c r="N19" s="111"/>
      <x:c r="O19" s="111"/>
      <x:c r="P19" s="111"/>
      <x:c r="Q19" s="111"/>
      <x:c r="R19" s="111"/>
      <x:c r="S19" s="111"/>
      <x:c r="T19" s="111"/>
    </x:row>
    <x:row r="20" ht="28" customHeight="1">
      <x:c r="A20" s="107" t="str">
        <x:v>Panthapath Shohag</x:v>
      </x:c>
      <x:c r="B20" s="107" t="str">
        <x:v>Commission</x:v>
      </x:c>
      <x:c r="C20" s="111"/>
      <x:c r="D20" s="111"/>
      <x:c r="E20" s="111"/>
      <x:c r="F20" s="111"/>
      <x:c r="G20" s="111"/>
      <x:c r="H20" s="111"/>
      <x:c r="I20" s="111"/>
      <x:c r="J20" s="111"/>
      <x:c r="K20" s="111"/>
      <x:c r="L20" s="111"/>
      <x:c r="M20" s="111"/>
      <x:c r="N20" s="111"/>
      <x:c r="O20" s="111"/>
      <x:c r="P20" s="111"/>
      <x:c r="Q20" s="111"/>
      <x:c r="R20" s="111"/>
      <x:c r="S20" s="111"/>
      <x:c r="T20" s="111"/>
    </x:row>
    <x:row r="21" ht="28" customHeight="1">
      <x:c r="A21" s="107" t="str">
        <x:v>Maniknagar</x:v>
      </x:c>
      <x:c r="B21" s="107" t="str">
        <x:v>Commission</x:v>
      </x:c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11"/>
      <x:c r="M21" s="111"/>
      <x:c r="N21" s="111"/>
      <x:c r="O21" s="111"/>
      <x:c r="P21" s="111"/>
      <x:c r="Q21" s="111"/>
      <x:c r="R21" s="111"/>
      <x:c r="S21" s="111"/>
      <x:c r="T21" s="111"/>
    </x:row>
    <x:row r="22" ht="28" customHeight="1">
      <x:c r="A22" s="107" t="str">
        <x:v>B-8</x:v>
      </x:c>
      <x:c r="B22" s="107" t="str">
        <x:v>Commission</x:v>
      </x:c>
      <x:c r="C22" s="111"/>
      <x:c r="D22" s="111"/>
      <x:c r="E22" s="111"/>
      <x:c r="F22" s="111"/>
      <x:c r="G22" s="111"/>
      <x:c r="H22" s="111"/>
      <x:c r="I22" s="111"/>
      <x:c r="J22" s="111"/>
      <x:c r="K22" s="111"/>
      <x:c r="L22" s="111"/>
      <x:c r="M22" s="111"/>
      <x:c r="N22" s="111"/>
      <x:c r="O22" s="111"/>
      <x:c r="P22" s="111"/>
      <x:c r="Q22" s="111"/>
      <x:c r="R22" s="111"/>
      <x:c r="S22" s="111"/>
      <x:c r="T22" s="111"/>
    </x:row>
    <x:row r="23" ht="28" customHeight="1">
      <x:c r="A23" s="107" t="str">
        <x:v>B-9</x:v>
      </x:c>
      <x:c r="B23" s="107" t="str">
        <x:v>Commission</x:v>
      </x:c>
      <x:c r="C23" s="111"/>
      <x:c r="D23" s="111"/>
      <x:c r="E23" s="111"/>
      <x:c r="F23" s="111"/>
      <x:c r="G23" s="111"/>
      <x:c r="H23" s="111"/>
      <x:c r="I23" s="111"/>
      <x:c r="J23" s="111"/>
      <x:c r="K23" s="111"/>
      <x:c r="L23" s="111"/>
      <x:c r="M23" s="111"/>
      <x:c r="N23" s="111"/>
      <x:c r="O23" s="111"/>
      <x:c r="P23" s="111"/>
      <x:c r="Q23" s="111"/>
      <x:c r="R23" s="111"/>
      <x:c r="S23" s="111"/>
      <x:c r="T23" s="111"/>
    </x:row>
    <x:row r="24" ht="28" customHeight="1">
      <x:c r="A24" s="107" t="str">
        <x:v>Janapad-2</x:v>
      </x:c>
      <x:c r="B24" s="107" t="str">
        <x:v>Commission</x:v>
      </x:c>
      <x:c r="C24" s="111"/>
      <x:c r="D24" s="111"/>
      <x:c r="E24" s="111"/>
      <x:c r="F24" s="111"/>
      <x:c r="G24" s="111"/>
      <x:c r="H24" s="111"/>
      <x:c r="I24" s="111"/>
      <x:c r="J24" s="111"/>
      <x:c r="K24" s="111"/>
      <x:c r="L24" s="111"/>
      <x:c r="M24" s="111"/>
      <x:c r="N24" s="111"/>
      <x:c r="O24" s="111"/>
      <x:c r="P24" s="111"/>
      <x:c r="Q24" s="111"/>
      <x:c r="R24" s="111"/>
      <x:c r="S24" s="111"/>
      <x:c r="T24" s="111"/>
    </x:row>
    <x:row r="25" ht="28" customHeight="1">
      <x:c r="A25" s="107" t="str">
        <x:v>Janapad-1</x:v>
      </x:c>
      <x:c r="B25" s="107" t="str">
        <x:v>Commission</x:v>
      </x:c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11"/>
      <x:c r="M25" s="111"/>
      <x:c r="N25" s="111"/>
      <x:c r="O25" s="111"/>
      <x:c r="P25" s="111"/>
      <x:c r="Q25" s="111"/>
      <x:c r="R25" s="111"/>
      <x:c r="S25" s="111"/>
      <x:c r="T25" s="111"/>
    </x:row>
    <x:row r="26" ht="28" customHeight="1">
      <x:c r="A26" s="107" t="str">
        <x:v>Janapad-4</x:v>
      </x:c>
      <x:c r="B26" s="107" t="str">
        <x:v>Commission</x:v>
      </x:c>
      <x:c r="C26" s="111"/>
      <x:c r="D26" s="111"/>
      <x:c r="E26" s="111"/>
      <x:c r="F26" s="111"/>
      <x:c r="G26" s="111"/>
      <x:c r="H26" s="111"/>
      <x:c r="I26" s="111"/>
      <x:c r="J26" s="111"/>
      <x:c r="K26" s="111"/>
      <x:c r="L26" s="111"/>
      <x:c r="M26" s="111"/>
      <x:c r="N26" s="111"/>
      <x:c r="O26" s="111"/>
      <x:c r="P26" s="111"/>
      <x:c r="Q26" s="111"/>
      <x:c r="R26" s="111"/>
      <x:c r="S26" s="111"/>
      <x:c r="T26" s="111"/>
    </x:row>
    <x:row r="27" ht="28" customHeight="1">
      <x:c r="A27" s="107" t="str">
        <x:v>Janapad-7</x:v>
      </x:c>
      <x:c r="B27" s="107" t="str">
        <x:v>Commission</x:v>
      </x:c>
      <x:c r="C27" s="111"/>
      <x:c r="D27" s="111"/>
      <x:c r="E27" s="111"/>
      <x:c r="F27" s="111"/>
      <x:c r="G27" s="111"/>
      <x:c r="H27" s="111"/>
      <x:c r="I27" s="111"/>
      <x:c r="J27" s="111"/>
      <x:c r="K27" s="111"/>
      <x:c r="L27" s="111"/>
      <x:c r="M27" s="111"/>
      <x:c r="N27" s="111"/>
      <x:c r="O27" s="111"/>
      <x:c r="P27" s="111"/>
      <x:c r="Q27" s="111"/>
      <x:c r="R27" s="111"/>
      <x:c r="S27" s="111"/>
      <x:c r="T27" s="111"/>
    </x:row>
    <x:row r="28" ht="28" customHeight="1">
      <x:c r="A28" s="107" t="str">
        <x:v>Janapad-5</x:v>
      </x:c>
      <x:c r="B28" s="107" t="str">
        <x:v>Commission</x:v>
      </x:c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11"/>
      <x:c r="M28" s="111"/>
      <x:c r="N28" s="111"/>
      <x:c r="O28" s="111"/>
      <x:c r="P28" s="111"/>
      <x:c r="Q28" s="111"/>
      <x:c r="R28" s="111"/>
      <x:c r="S28" s="111"/>
      <x:c r="T28" s="111"/>
    </x:row>
    <x:row r="29" ht="28" customHeight="1">
      <x:c r="A29" s="107" t="str">
        <x:v>B-10</x:v>
      </x:c>
      <x:c r="B29" s="107" t="str">
        <x:v>Commission</x:v>
      </x:c>
      <x:c r="C29" s="111"/>
      <x:c r="D29" s="111"/>
      <x:c r="E29" s="111"/>
      <x:c r="F29" s="111"/>
      <x:c r="G29" s="111"/>
      <x:c r="H29" s="111"/>
      <x:c r="I29" s="111"/>
      <x:c r="J29" s="111"/>
      <x:c r="K29" s="111"/>
      <x:c r="L29" s="111"/>
      <x:c r="M29" s="111"/>
      <x:c r="N29" s="111"/>
      <x:c r="O29" s="111"/>
      <x:c r="P29" s="111"/>
      <x:c r="Q29" s="111"/>
      <x:c r="R29" s="111"/>
      <x:c r="S29" s="111"/>
      <x:c r="T29" s="111"/>
    </x:row>
    <x:row r="30" ht="28" customHeight="1">
      <x:c r="A30" s="107" t="str">
        <x:v>Janapad-6</x:v>
      </x:c>
      <x:c r="B30" s="107" t="str">
        <x:v>Commission</x:v>
      </x:c>
      <x:c r="C30" s="111"/>
      <x:c r="D30" s="111"/>
      <x:c r="E30" s="111"/>
      <x:c r="F30" s="111"/>
      <x:c r="G30" s="111"/>
      <x:c r="H30" s="111"/>
      <x:c r="I30" s="111"/>
      <x:c r="J30" s="111"/>
      <x:c r="K30" s="111"/>
      <x:c r="L30" s="111"/>
      <x:c r="M30" s="111"/>
      <x:c r="N30" s="111"/>
      <x:c r="O30" s="111"/>
      <x:c r="P30" s="111"/>
      <x:c r="Q30" s="111"/>
      <x:c r="R30" s="111"/>
      <x:c r="S30" s="111"/>
      <x:c r="T30" s="111"/>
    </x:row>
    <x:row r="31" ht="28" customHeight="1">
      <x:c r="A31" s="107" t="str">
        <x:v>Terminal</x:v>
      </x:c>
      <x:c r="B31" s="107" t="str">
        <x:v>Commission</x:v>
      </x:c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11"/>
      <x:c r="M31" s="111"/>
      <x:c r="N31" s="111"/>
      <x:c r="O31" s="111"/>
      <x:c r="P31" s="111"/>
      <x:c r="Q31" s="111"/>
      <x:c r="R31" s="111"/>
      <x:c r="S31" s="111"/>
      <x:c r="T31" s="111"/>
    </x:row>
    <x:row r="32" ht="28" customHeight="1">
      <x:c r="A32" s="107" t="str">
        <x:v>Jatrabari</x:v>
      </x:c>
      <x:c r="B32" s="107" t="str">
        <x:v>Commission</x:v>
      </x:c>
      <x:c r="C32" s="111"/>
      <x:c r="D32" s="111"/>
      <x:c r="E32" s="111"/>
      <x:c r="F32" s="111"/>
      <x:c r="G32" s="111"/>
      <x:c r="H32" s="111"/>
      <x:c r="I32" s="111"/>
      <x:c r="J32" s="111"/>
      <x:c r="K32" s="111"/>
      <x:c r="L32" s="111"/>
      <x:c r="M32" s="111"/>
      <x:c r="N32" s="111"/>
      <x:c r="O32" s="111"/>
      <x:c r="P32" s="111"/>
      <x:c r="Q32" s="111"/>
      <x:c r="R32" s="111"/>
      <x:c r="S32" s="111"/>
      <x:c r="T32" s="111"/>
    </x:row>
    <x:row r="33" ht="28" customHeight="1">
      <x:c r="A33" s="107" t="str">
        <x:v>Signboard</x:v>
      </x:c>
      <x:c r="B33" s="107" t="str">
        <x:v>Commission</x:v>
      </x:c>
      <x:c r="C33" s="111"/>
      <x:c r="D33" s="111"/>
      <x:c r="E33" s="111"/>
      <x:c r="F33" s="111"/>
      <x:c r="G33" s="111"/>
      <x:c r="H33" s="111"/>
      <x:c r="I33" s="111"/>
      <x:c r="J33" s="111"/>
      <x:c r="K33" s="111"/>
      <x:c r="L33" s="111"/>
      <x:c r="M33" s="111"/>
      <x:c r="N33" s="111"/>
      <x:c r="O33" s="111"/>
      <x:c r="P33" s="111"/>
      <x:c r="Q33" s="111"/>
      <x:c r="R33" s="111"/>
      <x:c r="S33" s="111"/>
      <x:c r="T33" s="111"/>
    </x:row>
    <x:row r="34" ht="28" customHeight="1">
      <x:c r="A34" s="107" t="str">
        <x:v>B-20</x:v>
      </x:c>
      <x:c r="B34" s="107" t="str">
        <x:v>Commission</x:v>
      </x:c>
      <x:c r="C34" s="111"/>
      <x:c r="D34" s="111"/>
      <x:c r="E34" s="111"/>
      <x:c r="F34" s="111"/>
      <x:c r="G34" s="111"/>
      <x:c r="H34" s="111"/>
      <x:c r="I34" s="111"/>
      <x:c r="J34" s="111"/>
      <x:c r="K34" s="111"/>
      <x:c r="L34" s="111"/>
      <x:c r="M34" s="111"/>
      <x:c r="N34" s="111"/>
      <x:c r="O34" s="111"/>
      <x:c r="P34" s="111"/>
      <x:c r="Q34" s="111"/>
      <x:c r="R34" s="111"/>
      <x:c r="S34" s="111"/>
      <x:c r="T34" s="111"/>
    </x:row>
    <x:row r="35" ht="28" customHeight="1">
      <x:c r="A35" s="107" t="str">
        <x:v>Kanchpur</x:v>
      </x:c>
      <x:c r="B35" s="107" t="str">
        <x:v>Commission</x:v>
      </x:c>
      <x:c r="C35" s="111"/>
      <x:c r="D35" s="111"/>
      <x:c r="E35" s="111"/>
      <x:c r="F35" s="111"/>
      <x:c r="G35" s="111"/>
      <x:c r="H35" s="111"/>
      <x:c r="I35" s="111"/>
      <x:c r="J35" s="111"/>
      <x:c r="K35" s="111"/>
      <x:c r="L35" s="111"/>
      <x:c r="M35" s="111"/>
      <x:c r="N35" s="111"/>
      <x:c r="O35" s="111"/>
      <x:c r="P35" s="111"/>
      <x:c r="Q35" s="111"/>
      <x:c r="R35" s="111"/>
      <x:c r="S35" s="111"/>
      <x:c r="T35" s="111"/>
    </x:row>
    <x:row r="36" ht="28" customHeight="1">
      <x:c r="A36" s="107" t="str">
        <x:v>Mirpur-10</x:v>
      </x:c>
      <x:c r="B36" s="107" t="str">
        <x:v>Commission</x:v>
      </x:c>
      <x:c r="C36" s="111"/>
      <x:c r="D36" s="111"/>
      <x:c r="E36" s="111"/>
      <x:c r="F36" s="111"/>
      <x:c r="G36" s="111"/>
      <x:c r="H36" s="111"/>
      <x:c r="I36" s="111"/>
      <x:c r="J36" s="111"/>
      <x:c r="K36" s="111"/>
      <x:c r="L36" s="111"/>
      <x:c r="M36" s="111"/>
      <x:c r="N36" s="111"/>
      <x:c r="O36" s="111"/>
      <x:c r="P36" s="111"/>
      <x:c r="Q36" s="111"/>
      <x:c r="R36" s="111"/>
      <x:c r="S36" s="111"/>
      <x:c r="T36" s="111"/>
    </x:row>
    <x:row r="37" ht="28" customHeight="1">
      <x:c r="A37" s="107" t="str">
        <x:v>Kochukhet</x:v>
      </x:c>
      <x:c r="B37" s="107" t="str">
        <x:v>Commission</x:v>
      </x:c>
      <x:c r="C37" s="111"/>
      <x:c r="D37" s="111"/>
      <x:c r="E37" s="111"/>
      <x:c r="F37" s="111"/>
      <x:c r="G37" s="111"/>
      <x:c r="H37" s="111"/>
      <x:c r="I37" s="111"/>
      <x:c r="J37" s="111"/>
      <x:c r="K37" s="111"/>
      <x:c r="L37" s="111"/>
      <x:c r="M37" s="111"/>
      <x:c r="N37" s="111"/>
      <x:c r="O37" s="111"/>
      <x:c r="P37" s="111"/>
      <x:c r="Q37" s="111"/>
      <x:c r="R37" s="111"/>
      <x:c r="S37" s="111"/>
      <x:c r="T37" s="111"/>
    </x:row>
    <x:row r="38" ht="28" customHeight="1">
      <x:c r="A38" s="107" t="str">
        <x:v>Court Kachari</x:v>
      </x:c>
      <x:c r="B38" s="107" t="str">
        <x:v>Commission</x:v>
      </x:c>
      <x:c r="C38" s="111"/>
      <x:c r="D38" s="111"/>
      <x:c r="E38" s="111"/>
      <x:c r="F38" s="111"/>
      <x:c r="G38" s="111"/>
      <x:c r="H38" s="111"/>
      <x:c r="I38" s="111"/>
      <x:c r="J38" s="111"/>
      <x:c r="K38" s="111"/>
      <x:c r="L38" s="111"/>
      <x:c r="M38" s="111"/>
      <x:c r="N38" s="111"/>
      <x:c r="O38" s="111"/>
      <x:c r="P38" s="111"/>
      <x:c r="Q38" s="111"/>
      <x:c r="R38" s="111"/>
      <x:c r="S38" s="111"/>
      <x:c r="T38" s="111"/>
    </x:row>
    <x:row r="39" ht="28" customHeight="1">
      <x:c r="A39" s="107"/>
      <x:c r="B39" s="107"/>
      <x:c r="C39" s="111"/>
      <x:c r="D39" s="111"/>
      <x:c r="E39" s="111"/>
      <x:c r="F39" s="111"/>
      <x:c r="G39" s="111"/>
      <x:c r="H39" s="111"/>
      <x:c r="I39" s="111"/>
      <x:c r="J39" s="111"/>
      <x:c r="K39" s="111"/>
      <x:c r="L39" s="111"/>
      <x:c r="M39" s="111"/>
      <x:c r="N39" s="111"/>
      <x:c r="O39" s="111"/>
      <x:c r="P39" s="111"/>
      <x:c r="Q39" s="111"/>
      <x:c r="R39" s="111"/>
      <x:c r="S39" s="111"/>
      <x:c r="T39" s="111"/>
    </x:row>
    <x:row r="40" ht="28" customHeight="1">
      <x:c r="A40" s="107"/>
      <x:c r="B40" s="107"/>
      <x:c r="C40" s="111"/>
      <x:c r="D40" s="111"/>
      <x:c r="E40" s="111"/>
      <x:c r="F40" s="111"/>
      <x:c r="G40" s="111"/>
      <x:c r="H40" s="111"/>
      <x:c r="I40" s="111"/>
      <x:c r="J40" s="111"/>
      <x:c r="K40" s="111"/>
      <x:c r="L40" s="111"/>
      <x:c r="M40" s="111"/>
      <x:c r="N40" s="111"/>
      <x:c r="O40" s="111"/>
      <x:c r="P40" s="111"/>
      <x:c r="Q40" s="111"/>
      <x:c r="R40" s="111"/>
      <x:c r="S40" s="111"/>
      <x:c r="T40" s="111"/>
    </x:row>
    <x:row r="41" ht="28" customHeight="1">
      <x:c r="A41" s="107"/>
      <x:c r="B41" s="107"/>
      <x:c r="C41" s="111"/>
      <x:c r="D41" s="111"/>
      <x:c r="E41" s="111"/>
      <x:c r="F41" s="111"/>
      <x:c r="G41" s="111"/>
      <x:c r="H41" s="111"/>
      <x:c r="I41" s="111"/>
      <x:c r="J41" s="111"/>
      <x:c r="K41" s="111"/>
      <x:c r="L41" s="111"/>
      <x:c r="M41" s="111"/>
      <x:c r="N41" s="111"/>
      <x:c r="O41" s="111"/>
      <x:c r="P41" s="111"/>
      <x:c r="Q41" s="111"/>
      <x:c r="R41" s="111"/>
      <x:c r="S41" s="111"/>
      <x:c r="T41" s="111"/>
    </x:row>
    <x:row r="42" ht="28" customHeight="1">
      <x:c r="A42" s="107"/>
      <x:c r="B42" s="107"/>
      <x:c r="C42" s="111"/>
      <x:c r="D42" s="111"/>
      <x:c r="E42" s="111"/>
      <x:c r="F42" s="111"/>
      <x:c r="G42" s="111"/>
      <x:c r="H42" s="111"/>
      <x:c r="I42" s="111"/>
      <x:c r="J42" s="111"/>
      <x:c r="K42" s="111"/>
      <x:c r="L42" s="111"/>
      <x:c r="M42" s="111"/>
      <x:c r="N42" s="111"/>
      <x:c r="O42" s="111"/>
      <x:c r="P42" s="111"/>
      <x:c r="Q42" s="111"/>
      <x:c r="R42" s="111"/>
      <x:c r="S42" s="111"/>
      <x:c r="T42" s="111"/>
    </x:row>
    <x:row r="43" ht="28" customHeight="1">
      <x:c r="A43" s="107"/>
      <x:c r="B43" s="107"/>
      <x:c r="C43" s="111"/>
      <x:c r="D43" s="111"/>
      <x:c r="E43" s="111"/>
      <x:c r="F43" s="111"/>
      <x:c r="G43" s="111"/>
      <x:c r="H43" s="111"/>
      <x:c r="I43" s="111"/>
      <x:c r="J43" s="111"/>
      <x:c r="K43" s="111"/>
      <x:c r="L43" s="111"/>
      <x:c r="M43" s="111"/>
      <x:c r="N43" s="111"/>
      <x:c r="O43" s="111"/>
      <x:c r="P43" s="111"/>
      <x:c r="Q43" s="111"/>
      <x:c r="R43" s="111"/>
      <x:c r="S43" s="111"/>
      <x:c r="T43" s="111"/>
    </x:row>
    <x:row r="44" ht="28" customHeight="1">
      <x:c r="A44" s="107"/>
      <x:c r="B44" s="107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1"/>
      <x:c r="P44" s="111"/>
      <x:c r="Q44" s="111"/>
      <x:c r="R44" s="111"/>
      <x:c r="S44" s="111"/>
      <x:c r="T44" s="111"/>
    </x:row>
    <x:row r="45" ht="28" customHeight="1">
      <x:c r="A45" s="107"/>
      <x:c r="B45" s="107"/>
      <x:c r="C45" s="111"/>
      <x:c r="D45" s="111"/>
      <x:c r="E45" s="111"/>
      <x:c r="F45" s="111"/>
      <x:c r="G45" s="111"/>
      <x:c r="H45" s="111"/>
      <x:c r="I45" s="111"/>
      <x:c r="J45" s="111"/>
      <x:c r="K45" s="111"/>
      <x:c r="L45" s="111"/>
      <x:c r="M45" s="111"/>
      <x:c r="N45" s="111"/>
      <x:c r="O45" s="111"/>
      <x:c r="P45" s="111"/>
      <x:c r="Q45" s="111"/>
      <x:c r="R45" s="111"/>
      <x:c r="S45" s="111"/>
      <x:c r="T45" s="111"/>
    </x:row>
    <x:row r="46" ht="28" customHeight="1">
      <x:c r="A46" s="107"/>
      <x:c r="B46" s="107"/>
      <x:c r="C46" s="111"/>
      <x:c r="D46" s="111"/>
      <x:c r="E46" s="111"/>
      <x:c r="F46" s="111"/>
      <x:c r="G46" s="111"/>
      <x:c r="H46" s="111"/>
      <x:c r="I46" s="111"/>
      <x:c r="J46" s="111"/>
      <x:c r="K46" s="111"/>
      <x:c r="L46" s="111"/>
      <x:c r="M46" s="111"/>
      <x:c r="N46" s="111"/>
      <x:c r="O46" s="111"/>
      <x:c r="P46" s="111"/>
      <x:c r="Q46" s="111"/>
      <x:c r="R46" s="111"/>
      <x:c r="S46" s="111"/>
      <x:c r="T46" s="111"/>
    </x:row>
    <x:row r="47" ht="28" customHeight="1">
      <x:c r="A47" s="107"/>
      <x:c r="B47" s="107"/>
      <x:c r="C47" s="111"/>
      <x:c r="D47" s="111"/>
      <x:c r="E47" s="111"/>
      <x:c r="F47" s="111"/>
      <x:c r="G47" s="111"/>
      <x:c r="H47" s="111"/>
      <x:c r="I47" s="111"/>
      <x:c r="J47" s="111"/>
      <x:c r="K47" s="111"/>
      <x:c r="L47" s="111"/>
      <x:c r="M47" s="111"/>
      <x:c r="N47" s="111"/>
      <x:c r="O47" s="111"/>
      <x:c r="P47" s="111"/>
      <x:c r="Q47" s="111"/>
      <x:c r="R47" s="111"/>
      <x:c r="S47" s="111"/>
      <x:c r="T47" s="111"/>
    </x:row>
    <x:row r="48" ht="28" customHeight="1">
      <x:c r="A48" s="107"/>
      <x:c r="B48" s="107"/>
      <x:c r="C48" s="111"/>
      <x:c r="D48" s="111"/>
      <x:c r="E48" s="111"/>
      <x:c r="F48" s="111"/>
      <x:c r="G48" s="111"/>
      <x:c r="H48" s="111"/>
      <x:c r="I48" s="111"/>
      <x:c r="J48" s="111"/>
      <x:c r="K48" s="111"/>
      <x:c r="L48" s="111"/>
      <x:c r="M48" s="111"/>
      <x:c r="N48" s="111"/>
      <x:c r="O48" s="111"/>
      <x:c r="P48" s="111"/>
      <x:c r="Q48" s="111"/>
      <x:c r="R48" s="111"/>
      <x:c r="S48" s="111"/>
      <x:c r="T48" s="111"/>
    </x:row>
    <x:row r="49" ht="28" customHeight="1">
      <x:c r="A49" s="107"/>
      <x:c r="B49" s="107"/>
      <x:c r="C49" s="111"/>
      <x:c r="D49" s="111"/>
      <x:c r="E49" s="111"/>
      <x:c r="F49" s="111"/>
      <x:c r="G49" s="111"/>
      <x:c r="H49" s="111"/>
      <x:c r="I49" s="111"/>
      <x:c r="J49" s="111"/>
      <x:c r="K49" s="111"/>
      <x:c r="L49" s="111"/>
      <x:c r="M49" s="111"/>
      <x:c r="N49" s="111"/>
      <x:c r="O49" s="111"/>
      <x:c r="P49" s="111"/>
      <x:c r="Q49" s="111"/>
      <x:c r="R49" s="111"/>
      <x:c r="S49" s="111"/>
      <x:c r="T49" s="111"/>
    </x:row>
    <x:row r="50" ht="28" customHeight="1">
      <x:c r="A50" s="107"/>
      <x:c r="B50" s="107"/>
      <x:c r="C50" s="111"/>
      <x:c r="D50" s="111"/>
      <x:c r="E50" s="111"/>
      <x:c r="F50" s="111"/>
      <x:c r="G50" s="111"/>
      <x:c r="H50" s="111"/>
      <x:c r="I50" s="111"/>
      <x:c r="J50" s="111"/>
      <x:c r="K50" s="111"/>
      <x:c r="L50" s="111"/>
      <x:c r="M50" s="111"/>
      <x:c r="N50" s="111"/>
      <x:c r="O50" s="111"/>
      <x:c r="P50" s="111"/>
      <x:c r="Q50" s="111"/>
      <x:c r="R50" s="111"/>
      <x:c r="S50" s="111"/>
      <x:c r="T50" s="111"/>
    </x:row>
    <x:row r="51" ht="28" customHeight="1">
      <x:c r="A51" s="107"/>
      <x:c r="B51" s="107"/>
      <x:c r="C51" s="111"/>
      <x:c r="D51" s="111"/>
      <x:c r="E51" s="111"/>
      <x:c r="F51" s="111"/>
      <x:c r="G51" s="111"/>
      <x:c r="H51" s="111"/>
      <x:c r="I51" s="111"/>
      <x:c r="J51" s="111"/>
      <x:c r="K51" s="111"/>
      <x:c r="L51" s="111"/>
      <x:c r="M51" s="111"/>
      <x:c r="N51" s="111"/>
      <x:c r="O51" s="111"/>
      <x:c r="P51" s="111"/>
      <x:c r="Q51" s="111"/>
      <x:c r="R51" s="111"/>
      <x:c r="S51" s="111"/>
      <x:c r="T51" s="111"/>
    </x:row>
    <x:row r="52" ht="28" customHeight="1">
      <x:c r="A52" s="107"/>
      <x:c r="B52" s="107"/>
      <x:c r="C52" s="111"/>
      <x:c r="D52" s="111"/>
      <x:c r="E52" s="111"/>
      <x:c r="F52" s="111"/>
      <x:c r="G52" s="111"/>
      <x:c r="H52" s="111"/>
      <x:c r="I52" s="111"/>
      <x:c r="J52" s="111"/>
      <x:c r="K52" s="111"/>
      <x:c r="L52" s="111"/>
      <x:c r="M52" s="111"/>
      <x:c r="N52" s="111"/>
      <x:c r="O52" s="111"/>
      <x:c r="P52" s="111"/>
      <x:c r="Q52" s="111"/>
      <x:c r="R52" s="111"/>
      <x:c r="S52" s="111"/>
      <x:c r="T52" s="111"/>
    </x:row>
    <x:row r="53" ht="28" customHeight="1">
      <x:c r="A53" s="107"/>
      <x:c r="B53" s="107"/>
      <x:c r="C53" s="111"/>
      <x:c r="D53" s="111"/>
      <x:c r="E53" s="111"/>
      <x:c r="F53" s="111"/>
      <x:c r="G53" s="111"/>
      <x:c r="H53" s="111"/>
      <x:c r="I53" s="111"/>
      <x:c r="J53" s="111"/>
      <x:c r="K53" s="111"/>
      <x:c r="L53" s="111"/>
      <x:c r="M53" s="111"/>
      <x:c r="N53" s="111"/>
      <x:c r="O53" s="111"/>
      <x:c r="P53" s="111"/>
      <x:c r="Q53" s="111"/>
      <x:c r="R53" s="111"/>
      <x:c r="S53" s="111"/>
      <x:c r="T53" s="111"/>
    </x:row>
    <x:row r="54" ht="28" customHeight="1">
      <x:c r="A54" s="107"/>
      <x:c r="B54" s="107"/>
      <x:c r="C54" s="111"/>
      <x:c r="D54" s="111"/>
      <x:c r="E54" s="111"/>
      <x:c r="F54" s="111"/>
      <x:c r="G54" s="111"/>
      <x:c r="H54" s="111"/>
      <x:c r="I54" s="111"/>
      <x:c r="J54" s="111"/>
      <x:c r="K54" s="111"/>
      <x:c r="L54" s="111"/>
      <x:c r="M54" s="111"/>
      <x:c r="N54" s="111"/>
      <x:c r="O54" s="111"/>
      <x:c r="P54" s="111"/>
      <x:c r="Q54" s="111"/>
      <x:c r="R54" s="111"/>
      <x:c r="S54" s="111"/>
      <x:c r="T54" s="111"/>
    </x:row>
    <x:row r="55" ht="28" customHeight="1">
      <x:c r="A55" s="107"/>
      <x:c r="B55" s="107"/>
      <x:c r="C55" s="111"/>
      <x:c r="D55" s="111"/>
      <x:c r="E55" s="111"/>
      <x:c r="F55" s="111"/>
      <x:c r="G55" s="111"/>
      <x:c r="H55" s="111"/>
      <x:c r="I55" s="111"/>
      <x:c r="J55" s="111"/>
      <x:c r="K55" s="111"/>
      <x:c r="L55" s="111"/>
      <x:c r="M55" s="111"/>
      <x:c r="N55" s="111"/>
      <x:c r="O55" s="111"/>
      <x:c r="P55" s="111"/>
      <x:c r="Q55" s="111"/>
      <x:c r="R55" s="111"/>
      <x:c r="S55" s="111"/>
      <x:c r="T55" s="111"/>
    </x:row>
    <x:row r="56" ht="28" customHeight="1">
      <x:c r="A56" s="107"/>
      <x:c r="B56" s="107"/>
      <x:c r="C56" s="111"/>
      <x:c r="D56" s="111"/>
      <x:c r="E56" s="111"/>
      <x:c r="F56" s="111"/>
      <x:c r="G56" s="111"/>
      <x:c r="H56" s="111"/>
      <x:c r="I56" s="111"/>
      <x:c r="J56" s="111"/>
      <x:c r="K56" s="111"/>
      <x:c r="L56" s="111"/>
      <x:c r="M56" s="111"/>
      <x:c r="N56" s="111"/>
      <x:c r="O56" s="111"/>
      <x:c r="P56" s="111"/>
      <x:c r="Q56" s="111"/>
      <x:c r="R56" s="111"/>
      <x:c r="S56" s="111"/>
      <x:c r="T56" s="111"/>
    </x:row>
    <x:row r="57" ht="28" customHeight="1">
      <x:c r="A57" s="107"/>
      <x:c r="B57" s="107"/>
      <x:c r="C57" s="111"/>
      <x:c r="D57" s="111"/>
      <x:c r="E57" s="111"/>
      <x:c r="F57" s="111"/>
      <x:c r="G57" s="111"/>
      <x:c r="H57" s="111"/>
      <x:c r="I57" s="111"/>
      <x:c r="J57" s="111"/>
      <x:c r="K57" s="111"/>
      <x:c r="L57" s="111"/>
      <x:c r="M57" s="111"/>
      <x:c r="N57" s="111"/>
      <x:c r="O57" s="111"/>
      <x:c r="P57" s="111"/>
      <x:c r="Q57" s="111"/>
      <x:c r="R57" s="111"/>
      <x:c r="S57" s="111"/>
      <x:c r="T57" s="111"/>
    </x:row>
    <x:row r="58" ht="28" customHeight="1">
      <x:c r="A58" s="107"/>
      <x:c r="B58" s="107"/>
      <x:c r="C58" s="111"/>
      <x:c r="D58" s="111"/>
      <x:c r="E58" s="111"/>
      <x:c r="F58" s="111"/>
      <x:c r="G58" s="111"/>
      <x:c r="H58" s="111"/>
      <x:c r="I58" s="111"/>
      <x:c r="J58" s="111"/>
      <x:c r="K58" s="111"/>
      <x:c r="L58" s="111"/>
      <x:c r="M58" s="111"/>
      <x:c r="N58" s="111"/>
      <x:c r="O58" s="111"/>
      <x:c r="P58" s="111"/>
      <x:c r="Q58" s="111"/>
      <x:c r="R58" s="111"/>
      <x:c r="S58" s="111"/>
      <x:c r="T58" s="111"/>
    </x:row>
    <x:row r="59" ht="28" customHeight="1">
      <x:c r="A59" s="107"/>
      <x:c r="B59" s="107"/>
      <x:c r="C59" s="111"/>
      <x:c r="D59" s="111"/>
      <x:c r="E59" s="111"/>
      <x:c r="F59" s="111"/>
      <x:c r="G59" s="111"/>
      <x:c r="H59" s="111"/>
      <x:c r="I59" s="111"/>
      <x:c r="J59" s="111"/>
      <x:c r="K59" s="111"/>
      <x:c r="L59" s="111"/>
      <x:c r="M59" s="111"/>
      <x:c r="N59" s="111"/>
      <x:c r="O59" s="111"/>
      <x:c r="P59" s="111"/>
      <x:c r="Q59" s="111"/>
      <x:c r="R59" s="111"/>
      <x:c r="S59" s="111"/>
      <x:c r="T59" s="111"/>
    </x:row>
    <x:row r="60" ht="28" customHeight="1">
      <x:c r="A60" s="107"/>
      <x:c r="B60" s="107"/>
      <x:c r="C60" s="111"/>
      <x:c r="D60" s="111"/>
      <x:c r="E60" s="111"/>
      <x:c r="F60" s="111"/>
      <x:c r="G60" s="111"/>
      <x:c r="H60" s="111"/>
      <x:c r="I60" s="111"/>
      <x:c r="J60" s="111"/>
      <x:c r="K60" s="111"/>
      <x:c r="L60" s="111"/>
      <x:c r="M60" s="111"/>
      <x:c r="N60" s="111"/>
      <x:c r="O60" s="111"/>
      <x:c r="P60" s="111"/>
      <x:c r="Q60" s="111"/>
      <x:c r="R60" s="111"/>
      <x:c r="S60" s="111"/>
      <x:c r="T60" s="111"/>
    </x:row>
    <x:row r="61" ht="28" customHeight="1">
      <x:c r="A61" s="107"/>
      <x:c r="B61" s="107"/>
      <x:c r="C61" s="111"/>
      <x:c r="D61" s="111"/>
      <x:c r="E61" s="111"/>
      <x:c r="F61" s="111"/>
      <x:c r="G61" s="111"/>
      <x:c r="H61" s="111"/>
      <x:c r="I61" s="111"/>
      <x:c r="J61" s="111"/>
      <x:c r="K61" s="111"/>
      <x:c r="L61" s="111"/>
      <x:c r="M61" s="111"/>
      <x:c r="N61" s="111"/>
      <x:c r="O61" s="111"/>
      <x:c r="P61" s="111"/>
      <x:c r="Q61" s="111"/>
      <x:c r="R61" s="111"/>
      <x:c r="S61" s="111"/>
      <x:c r="T61" s="111"/>
    </x:row>
    <x:row r="62" ht="28" customHeight="1">
      <x:c r="A62" s="107"/>
      <x:c r="B62" s="107"/>
      <x:c r="C62" s="111"/>
      <x:c r="D62" s="111"/>
      <x:c r="E62" s="111"/>
      <x:c r="F62" s="111"/>
      <x:c r="G62" s="111"/>
      <x:c r="H62" s="111"/>
      <x:c r="I62" s="111"/>
      <x:c r="J62" s="111"/>
      <x:c r="K62" s="111"/>
      <x:c r="L62" s="111"/>
      <x:c r="M62" s="111"/>
      <x:c r="N62" s="111"/>
      <x:c r="O62" s="111"/>
      <x:c r="P62" s="111"/>
      <x:c r="Q62" s="111"/>
      <x:c r="R62" s="111"/>
      <x:c r="S62" s="111"/>
      <x:c r="T62" s="111"/>
    </x:row>
    <x:row r="63" ht="28" customHeight="1">
      <x:c r="A63" s="107"/>
      <x:c r="B63" s="107"/>
      <x:c r="C63" s="111"/>
      <x:c r="D63" s="111"/>
      <x:c r="E63" s="111"/>
      <x:c r="F63" s="111"/>
      <x:c r="G63" s="111"/>
      <x:c r="H63" s="111"/>
      <x:c r="I63" s="111"/>
      <x:c r="J63" s="111"/>
      <x:c r="K63" s="111"/>
      <x:c r="L63" s="111"/>
      <x:c r="M63" s="111"/>
      <x:c r="N63" s="111"/>
      <x:c r="O63" s="111"/>
      <x:c r="P63" s="111"/>
      <x:c r="Q63" s="111"/>
      <x:c r="R63" s="111"/>
      <x:c r="S63" s="111"/>
      <x:c r="T63" s="111"/>
    </x:row>
    <x:row r="64" ht="28" customHeight="1">
      <x:c r="A64" s="107"/>
      <x:c r="B64" s="107"/>
      <x:c r="C64" s="111"/>
      <x:c r="D64" s="111"/>
      <x:c r="E64" s="111"/>
      <x:c r="F64" s="111"/>
      <x:c r="G64" s="111"/>
      <x:c r="H64" s="111"/>
      <x:c r="I64" s="111"/>
      <x:c r="J64" s="111"/>
      <x:c r="K64" s="111"/>
      <x:c r="L64" s="111"/>
      <x:c r="M64" s="111"/>
      <x:c r="N64" s="111"/>
      <x:c r="O64" s="111"/>
      <x:c r="P64" s="111"/>
      <x:c r="Q64" s="111"/>
      <x:c r="R64" s="111"/>
      <x:c r="S64" s="111"/>
      <x:c r="T64" s="111"/>
    </x:row>
    <x:row r="65" ht="28" customHeight="1">
      <x:c r="A65" s="107"/>
      <x:c r="B65" s="107"/>
      <x:c r="C65" s="111"/>
      <x:c r="D65" s="111"/>
      <x:c r="E65" s="111"/>
      <x:c r="F65" s="111"/>
      <x:c r="G65" s="111"/>
      <x:c r="H65" s="111"/>
      <x:c r="I65" s="111"/>
      <x:c r="J65" s="111"/>
      <x:c r="K65" s="111"/>
      <x:c r="L65" s="111"/>
      <x:c r="M65" s="111"/>
      <x:c r="N65" s="111"/>
      <x:c r="O65" s="111"/>
      <x:c r="P65" s="111"/>
      <x:c r="Q65" s="111"/>
      <x:c r="R65" s="111"/>
      <x:c r="S65" s="111"/>
      <x:c r="T65" s="111"/>
    </x:row>
    <x:row r="66" ht="28" customHeight="1">
      <x:c r="A66" s="107"/>
      <x:c r="B66" s="107"/>
      <x:c r="C66" s="111"/>
      <x:c r="D66" s="111"/>
      <x:c r="E66" s="111"/>
      <x:c r="F66" s="111"/>
      <x:c r="G66" s="111"/>
      <x:c r="H66" s="111"/>
      <x:c r="I66" s="111"/>
      <x:c r="J66" s="111"/>
      <x:c r="K66" s="111"/>
      <x:c r="L66" s="111"/>
      <x:c r="M66" s="111"/>
      <x:c r="N66" s="111"/>
      <x:c r="O66" s="111"/>
      <x:c r="P66" s="111"/>
      <x:c r="Q66" s="111"/>
      <x:c r="R66" s="111"/>
      <x:c r="S66" s="111"/>
      <x:c r="T66" s="111"/>
    </x:row>
    <x:row r="67" ht="28" customHeight="1">
      <x:c r="A67" s="107"/>
      <x:c r="B67" s="107"/>
      <x:c r="C67" s="111"/>
      <x:c r="D67" s="111"/>
      <x:c r="E67" s="111"/>
      <x:c r="F67" s="111"/>
      <x:c r="G67" s="111"/>
      <x:c r="H67" s="111"/>
      <x:c r="I67" s="111"/>
      <x:c r="J67" s="111"/>
      <x:c r="K67" s="111"/>
      <x:c r="L67" s="111"/>
      <x:c r="M67" s="111"/>
      <x:c r="N67" s="111"/>
      <x:c r="O67" s="111"/>
      <x:c r="P67" s="111"/>
      <x:c r="Q67" s="111"/>
      <x:c r="R67" s="111"/>
      <x:c r="S67" s="111"/>
      <x:c r="T67" s="111"/>
    </x:row>
    <x:row r="68" ht="28" customHeight="1">
      <x:c r="A68" s="107"/>
      <x:c r="B68" s="107"/>
      <x:c r="C68" s="111"/>
      <x:c r="D68" s="111"/>
      <x:c r="E68" s="111"/>
      <x:c r="F68" s="111"/>
      <x:c r="G68" s="111"/>
      <x:c r="H68" s="111"/>
      <x:c r="I68" s="111"/>
      <x:c r="J68" s="111"/>
      <x:c r="K68" s="111"/>
      <x:c r="L68" s="111"/>
      <x:c r="M68" s="111"/>
      <x:c r="N68" s="111"/>
      <x:c r="O68" s="111"/>
      <x:c r="P68" s="111"/>
      <x:c r="Q68" s="111"/>
      <x:c r="R68" s="111"/>
      <x:c r="S68" s="111"/>
      <x:c r="T68" s="111"/>
    </x:row>
    <x:row r="69" ht="28" customHeight="1">
      <x:c r="A69" s="107"/>
      <x:c r="B69" s="107"/>
      <x:c r="C69" s="111"/>
      <x:c r="D69" s="111"/>
      <x:c r="E69" s="111"/>
      <x:c r="F69" s="111"/>
      <x:c r="G69" s="111"/>
      <x:c r="H69" s="111"/>
      <x:c r="I69" s="111"/>
      <x:c r="J69" s="111"/>
      <x:c r="K69" s="111"/>
      <x:c r="L69" s="111"/>
      <x:c r="M69" s="111"/>
      <x:c r="N69" s="111"/>
      <x:c r="O69" s="111"/>
      <x:c r="P69" s="111"/>
      <x:c r="Q69" s="111"/>
      <x:c r="R69" s="111"/>
      <x:c r="S69" s="111"/>
      <x:c r="T69" s="111"/>
    </x:row>
    <x:row r="70" ht="28" customHeight="1">
      <x:c r="A70" s="107"/>
      <x:c r="B70" s="107"/>
      <x:c r="C70" s="111"/>
      <x:c r="D70" s="111"/>
      <x:c r="E70" s="111"/>
      <x:c r="F70" s="111"/>
      <x:c r="G70" s="111"/>
      <x:c r="H70" s="111"/>
      <x:c r="I70" s="111"/>
      <x:c r="J70" s="111"/>
      <x:c r="K70" s="111"/>
      <x:c r="L70" s="111"/>
      <x:c r="M70" s="111"/>
      <x:c r="N70" s="111"/>
      <x:c r="O70" s="111"/>
      <x:c r="P70" s="111"/>
      <x:c r="Q70" s="111"/>
      <x:c r="R70" s="111"/>
      <x:c r="S70" s="111"/>
      <x:c r="T70" s="111"/>
    </x:row>
    <x:row r="71" ht="28" customHeight="1">
      <x:c r="A71" s="107"/>
      <x:c r="B71" s="107"/>
      <x:c r="C71" s="111"/>
      <x:c r="D71" s="111"/>
      <x:c r="E71" s="111"/>
      <x:c r="F71" s="111"/>
      <x:c r="G71" s="111"/>
      <x:c r="H71" s="111"/>
      <x:c r="I71" s="111"/>
      <x:c r="J71" s="111"/>
      <x:c r="K71" s="111"/>
      <x:c r="L71" s="111"/>
      <x:c r="M71" s="111"/>
      <x:c r="N71" s="111"/>
      <x:c r="O71" s="111"/>
      <x:c r="P71" s="111"/>
      <x:c r="Q71" s="111"/>
      <x:c r="R71" s="111"/>
      <x:c r="S71" s="111"/>
      <x:c r="T71" s="111"/>
    </x:row>
    <x:row r="72" ht="28" customHeight="1">
      <x:c r="A72" s="107"/>
      <x:c r="B72" s="107"/>
      <x:c r="C72" s="111"/>
      <x:c r="D72" s="111"/>
      <x:c r="E72" s="111"/>
      <x:c r="F72" s="111"/>
      <x:c r="G72" s="111"/>
      <x:c r="H72" s="111"/>
      <x:c r="I72" s="111"/>
      <x:c r="J72" s="111"/>
      <x:c r="K72" s="111"/>
      <x:c r="L72" s="111"/>
      <x:c r="M72" s="111"/>
      <x:c r="N72" s="111"/>
      <x:c r="O72" s="111"/>
      <x:c r="P72" s="111"/>
      <x:c r="Q72" s="111"/>
      <x:c r="R72" s="111"/>
      <x:c r="S72" s="111"/>
      <x:c r="T72" s="111"/>
    </x:row>
    <x:row r="73" ht="28" customHeight="1">
      <x:c r="A73" s="107"/>
      <x:c r="B73" s="107"/>
      <x:c r="C73" s="111"/>
      <x:c r="D73" s="111"/>
      <x:c r="E73" s="111"/>
      <x:c r="F73" s="111"/>
      <x:c r="G73" s="111"/>
      <x:c r="H73" s="111"/>
      <x:c r="I73" s="111"/>
      <x:c r="J73" s="111"/>
      <x:c r="K73" s="111"/>
      <x:c r="L73" s="111"/>
      <x:c r="M73" s="111"/>
      <x:c r="N73" s="111"/>
      <x:c r="O73" s="111"/>
      <x:c r="P73" s="111"/>
      <x:c r="Q73" s="111"/>
      <x:c r="R73" s="111"/>
      <x:c r="S73" s="111"/>
      <x:c r="T73" s="111"/>
    </x:row>
    <x:row r="74" ht="28" customHeight="1">
      <x:c r="A74" s="107"/>
      <x:c r="B74" s="107"/>
      <x:c r="C74" s="111"/>
      <x:c r="D74" s="111"/>
      <x:c r="E74" s="111"/>
      <x:c r="F74" s="111"/>
      <x:c r="G74" s="111"/>
      <x:c r="H74" s="111"/>
      <x:c r="I74" s="111"/>
      <x:c r="J74" s="111"/>
      <x:c r="K74" s="111"/>
      <x:c r="L74" s="111"/>
      <x:c r="M74" s="111"/>
      <x:c r="N74" s="111"/>
      <x:c r="O74" s="111"/>
      <x:c r="P74" s="111"/>
      <x:c r="Q74" s="111"/>
      <x:c r="R74" s="111"/>
      <x:c r="S74" s="111"/>
      <x:c r="T74" s="111"/>
    </x:row>
    <x:row r="75" ht="28" customHeight="1">
      <x:c r="A75" s="107"/>
      <x:c r="B75" s="107"/>
      <x:c r="C75" s="111"/>
      <x:c r="D75" s="111"/>
      <x:c r="E75" s="111"/>
      <x:c r="F75" s="111"/>
      <x:c r="G75" s="111"/>
      <x:c r="H75" s="111"/>
      <x:c r="I75" s="111"/>
      <x:c r="J75" s="111"/>
      <x:c r="K75" s="111"/>
      <x:c r="L75" s="111"/>
      <x:c r="M75" s="111"/>
      <x:c r="N75" s="111"/>
      <x:c r="O75" s="111"/>
      <x:c r="P75" s="111"/>
      <x:c r="Q75" s="111"/>
      <x:c r="R75" s="111"/>
      <x:c r="S75" s="111"/>
      <x:c r="T75" s="111"/>
    </x:row>
    <x:row r="76" ht="28" customHeight="1">
      <x:c r="A76" s="107"/>
      <x:c r="B76" s="107"/>
      <x:c r="C76" s="111"/>
      <x:c r="D76" s="111"/>
      <x:c r="E76" s="111"/>
      <x:c r="F76" s="111"/>
      <x:c r="G76" s="111"/>
      <x:c r="H76" s="111"/>
      <x:c r="I76" s="111"/>
      <x:c r="J76" s="111"/>
      <x:c r="K76" s="111"/>
      <x:c r="L76" s="111"/>
      <x:c r="M76" s="111"/>
      <x:c r="N76" s="111"/>
      <x:c r="O76" s="111"/>
      <x:c r="P76" s="111"/>
      <x:c r="Q76" s="111"/>
      <x:c r="R76" s="111"/>
      <x:c r="S76" s="111"/>
      <x:c r="T76" s="111"/>
    </x:row>
    <x:row r="77" ht="28" customHeight="1">
      <x:c r="A77" s="107"/>
      <x:c r="B77" s="107"/>
      <x:c r="C77" s="111"/>
      <x:c r="D77" s="111"/>
      <x:c r="E77" s="111"/>
      <x:c r="F77" s="111"/>
      <x:c r="G77" s="111"/>
      <x:c r="H77" s="111"/>
      <x:c r="I77" s="111"/>
      <x:c r="J77" s="111"/>
      <x:c r="K77" s="111"/>
      <x:c r="L77" s="111"/>
      <x:c r="M77" s="111"/>
      <x:c r="N77" s="111"/>
      <x:c r="O77" s="111"/>
      <x:c r="P77" s="111"/>
      <x:c r="Q77" s="111"/>
      <x:c r="R77" s="111"/>
      <x:c r="S77" s="111"/>
      <x:c r="T77" s="111"/>
    </x:row>
    <x:row r="78" ht="28" customHeight="1">
      <x:c r="A78" s="107"/>
      <x:c r="B78" s="107"/>
      <x:c r="C78" s="111"/>
      <x:c r="D78" s="111"/>
      <x:c r="E78" s="111"/>
      <x:c r="F78" s="111"/>
      <x:c r="G78" s="111"/>
      <x:c r="H78" s="111"/>
      <x:c r="I78" s="111"/>
      <x:c r="J78" s="111"/>
      <x:c r="K78" s="111"/>
      <x:c r="L78" s="111"/>
      <x:c r="M78" s="111"/>
      <x:c r="N78" s="111"/>
      <x:c r="O78" s="111"/>
      <x:c r="P78" s="111"/>
      <x:c r="Q78" s="111"/>
      <x:c r="R78" s="111"/>
      <x:c r="S78" s="111"/>
      <x:c r="T78" s="111"/>
    </x:row>
    <x:row r="79" ht="28" customHeight="1">
      <x:c r="A79" s="107"/>
      <x:c r="B79" s="107"/>
      <x:c r="C79" s="111"/>
      <x:c r="D79" s="111"/>
      <x:c r="E79" s="111"/>
      <x:c r="F79" s="111"/>
      <x:c r="G79" s="111"/>
      <x:c r="H79" s="111"/>
      <x:c r="I79" s="111"/>
      <x:c r="J79" s="111"/>
      <x:c r="K79" s="111"/>
      <x:c r="L79" s="111"/>
      <x:c r="M79" s="111"/>
      <x:c r="N79" s="111"/>
      <x:c r="O79" s="111"/>
      <x:c r="P79" s="111"/>
      <x:c r="Q79" s="111"/>
      <x:c r="R79" s="111"/>
      <x:c r="S79" s="111"/>
      <x:c r="T79" s="111"/>
    </x:row>
    <x:row r="80" ht="28" customHeight="1">
      <x:c r="A80" s="107"/>
      <x:c r="B80" s="107"/>
      <x:c r="C80" s="111"/>
      <x:c r="D80" s="111"/>
      <x:c r="E80" s="111"/>
      <x:c r="F80" s="111"/>
      <x:c r="G80" s="111"/>
      <x:c r="H80" s="111"/>
      <x:c r="I80" s="111"/>
      <x:c r="J80" s="111"/>
      <x:c r="K80" s="111"/>
      <x:c r="L80" s="111"/>
      <x:c r="M80" s="111"/>
      <x:c r="N80" s="111"/>
      <x:c r="O80" s="111"/>
      <x:c r="P80" s="111"/>
      <x:c r="Q80" s="111"/>
      <x:c r="R80" s="111"/>
      <x:c r="S80" s="111"/>
      <x:c r="T80" s="111"/>
    </x:row>
    <x:row r="81" ht="28" customHeight="1">
      <x:c r="A81" s="107"/>
      <x:c r="B81" s="107"/>
      <x:c r="C81" s="111"/>
      <x:c r="D81" s="111"/>
      <x:c r="E81" s="111"/>
      <x:c r="F81" s="111"/>
      <x:c r="G81" s="111"/>
      <x:c r="H81" s="111"/>
      <x:c r="I81" s="111"/>
      <x:c r="J81" s="111"/>
      <x:c r="K81" s="111"/>
      <x:c r="L81" s="111"/>
      <x:c r="M81" s="111"/>
      <x:c r="N81" s="111"/>
      <x:c r="O81" s="111"/>
      <x:c r="P81" s="111"/>
      <x:c r="Q81" s="111"/>
      <x:c r="R81" s="111"/>
      <x:c r="S81" s="111"/>
      <x:c r="T81" s="111"/>
    </x:row>
    <x:row r="82" ht="28" customHeight="1">
      <x:c r="A82" s="107"/>
      <x:c r="B82" s="107"/>
      <x:c r="C82" s="111"/>
      <x:c r="D82" s="111"/>
      <x:c r="E82" s="111"/>
      <x:c r="F82" s="111"/>
      <x:c r="G82" s="111"/>
      <x:c r="H82" s="111"/>
      <x:c r="I82" s="111"/>
      <x:c r="J82" s="111"/>
      <x:c r="K82" s="111"/>
      <x:c r="L82" s="111"/>
      <x:c r="M82" s="111"/>
      <x:c r="N82" s="111"/>
      <x:c r="O82" s="111"/>
      <x:c r="P82" s="111"/>
      <x:c r="Q82" s="111"/>
      <x:c r="R82" s="111"/>
      <x:c r="S82" s="111"/>
      <x:c r="T82" s="111"/>
    </x:row>
    <x:row r="83" ht="28" customHeight="1">
      <x:c r="A83" s="107"/>
      <x:c r="B83" s="107"/>
      <x:c r="C83" s="111"/>
      <x:c r="D83" s="111"/>
      <x:c r="E83" s="111"/>
      <x:c r="F83" s="111"/>
      <x:c r="G83" s="111"/>
      <x:c r="H83" s="111"/>
      <x:c r="I83" s="111"/>
      <x:c r="J83" s="111"/>
      <x:c r="K83" s="111"/>
      <x:c r="L83" s="111"/>
      <x:c r="M83" s="111"/>
      <x:c r="N83" s="111"/>
      <x:c r="O83" s="111"/>
      <x:c r="P83" s="111"/>
      <x:c r="Q83" s="111"/>
      <x:c r="R83" s="111"/>
      <x:c r="S83" s="111"/>
      <x:c r="T83" s="111"/>
    </x:row>
    <x:row r="84" ht="28" customHeight="1">
      <x:c r="A84" s="107"/>
      <x:c r="B84" s="107"/>
      <x:c r="C84" s="111"/>
      <x:c r="D84" s="111"/>
      <x:c r="E84" s="111"/>
      <x:c r="F84" s="111"/>
      <x:c r="G84" s="111"/>
      <x:c r="H84" s="111"/>
      <x:c r="I84" s="111"/>
      <x:c r="J84" s="111"/>
      <x:c r="K84" s="111"/>
      <x:c r="L84" s="111"/>
      <x:c r="M84" s="111"/>
      <x:c r="N84" s="111"/>
      <x:c r="O84" s="111"/>
      <x:c r="P84" s="111"/>
      <x:c r="Q84" s="111"/>
      <x:c r="R84" s="111"/>
      <x:c r="S84" s="111"/>
      <x:c r="T84" s="111"/>
    </x:row>
    <x:row r="85" ht="28" customHeight="1">
      <x:c r="A85" s="107"/>
      <x:c r="B85" s="107"/>
      <x:c r="C85" s="111"/>
      <x:c r="D85" s="111"/>
      <x:c r="E85" s="111"/>
      <x:c r="F85" s="111"/>
      <x:c r="G85" s="111"/>
      <x:c r="H85" s="111"/>
      <x:c r="I85" s="111"/>
      <x:c r="J85" s="111"/>
      <x:c r="K85" s="111"/>
      <x:c r="L85" s="111"/>
      <x:c r="M85" s="111"/>
      <x:c r="N85" s="111"/>
      <x:c r="O85" s="111"/>
      <x:c r="P85" s="111"/>
      <x:c r="Q85" s="111"/>
      <x:c r="R85" s="111"/>
      <x:c r="S85" s="111"/>
      <x:c r="T85" s="111"/>
    </x:row>
    <x:row r="86" ht="28" customHeight="1">
      <x:c r="A86" s="107"/>
      <x:c r="B86" s="107"/>
      <x:c r="C86" s="111"/>
      <x:c r="D86" s="111"/>
      <x:c r="E86" s="111"/>
      <x:c r="F86" s="111"/>
      <x:c r="G86" s="111"/>
      <x:c r="H86" s="111"/>
      <x:c r="I86" s="111"/>
      <x:c r="J86" s="111"/>
      <x:c r="K86" s="111"/>
      <x:c r="L86" s="111"/>
      <x:c r="M86" s="111"/>
      <x:c r="N86" s="111"/>
      <x:c r="O86" s="111"/>
      <x:c r="P86" s="111"/>
      <x:c r="Q86" s="111"/>
      <x:c r="R86" s="111"/>
      <x:c r="S86" s="111"/>
      <x:c r="T86" s="111"/>
    </x:row>
    <x:row r="87" ht="28" customHeight="1">
      <x:c r="A87" s="107"/>
      <x:c r="B87" s="107"/>
      <x:c r="C87" s="111"/>
      <x:c r="D87" s="111"/>
      <x:c r="E87" s="111"/>
      <x:c r="F87" s="111"/>
      <x:c r="G87" s="111"/>
      <x:c r="H87" s="111"/>
      <x:c r="I87" s="111"/>
      <x:c r="J87" s="111"/>
      <x:c r="K87" s="111"/>
      <x:c r="L87" s="111"/>
      <x:c r="M87" s="111"/>
      <x:c r="N87" s="111"/>
      <x:c r="O87" s="111"/>
      <x:c r="P87" s="111"/>
      <x:c r="Q87" s="111"/>
      <x:c r="R87" s="111"/>
      <x:c r="S87" s="111"/>
      <x:c r="T87" s="111"/>
    </x:row>
    <x:row r="88" ht="28" customHeight="1">
      <x:c r="A88" s="107"/>
      <x:c r="B88" s="107"/>
      <x:c r="C88" s="111"/>
      <x:c r="D88" s="111"/>
      <x:c r="E88" s="111"/>
      <x:c r="F88" s="111"/>
      <x:c r="G88" s="111"/>
      <x:c r="H88" s="111"/>
      <x:c r="I88" s="111"/>
      <x:c r="J88" s="111"/>
      <x:c r="K88" s="111"/>
      <x:c r="L88" s="111"/>
      <x:c r="M88" s="111"/>
      <x:c r="N88" s="111"/>
      <x:c r="O88" s="111"/>
      <x:c r="P88" s="111"/>
      <x:c r="Q88" s="111"/>
      <x:c r="R88" s="111"/>
      <x:c r="S88" s="111"/>
      <x:c r="T88" s="111"/>
    </x:row>
    <x:row r="89" ht="28" customHeight="1">
      <x:c r="A89" s="107"/>
      <x:c r="B89" s="107"/>
      <x:c r="C89" s="111"/>
      <x:c r="D89" s="111"/>
      <x:c r="E89" s="111"/>
      <x:c r="F89" s="111"/>
      <x:c r="G89" s="111"/>
      <x:c r="H89" s="111"/>
      <x:c r="I89" s="111"/>
      <x:c r="J89" s="111"/>
      <x:c r="K89" s="111"/>
      <x:c r="L89" s="111"/>
      <x:c r="M89" s="111"/>
      <x:c r="N89" s="111"/>
      <x:c r="O89" s="111"/>
      <x:c r="P89" s="111"/>
      <x:c r="Q89" s="111"/>
      <x:c r="R89" s="111"/>
      <x:c r="S89" s="111"/>
      <x:c r="T89" s="111"/>
    </x:row>
    <x:row r="90" ht="28" customHeight="1">
      <x:c r="A90" s="107"/>
      <x:c r="B90" s="107"/>
      <x:c r="C90" s="111"/>
      <x:c r="D90" s="111"/>
      <x:c r="E90" s="111"/>
      <x:c r="F90" s="111"/>
      <x:c r="G90" s="111"/>
      <x:c r="H90" s="111"/>
      <x:c r="I90" s="111"/>
      <x:c r="J90" s="111"/>
      <x:c r="K90" s="111"/>
      <x:c r="L90" s="111"/>
      <x:c r="M90" s="111"/>
      <x:c r="N90" s="111"/>
      <x:c r="O90" s="111"/>
      <x:c r="P90" s="111"/>
      <x:c r="Q90" s="111"/>
      <x:c r="R90" s="111"/>
      <x:c r="S90" s="111"/>
      <x:c r="T90" s="111"/>
    </x:row>
    <x:row r="91" ht="28" customHeight="1">
      <x:c r="A91" s="107"/>
      <x:c r="B91" s="107"/>
      <x:c r="C91" s="111"/>
      <x:c r="D91" s="111"/>
      <x:c r="E91" s="111"/>
      <x:c r="F91" s="111"/>
      <x:c r="G91" s="111"/>
      <x:c r="H91" s="111"/>
      <x:c r="I91" s="111"/>
      <x:c r="J91" s="111"/>
      <x:c r="K91" s="111"/>
      <x:c r="L91" s="111"/>
      <x:c r="M91" s="111"/>
      <x:c r="N91" s="111"/>
      <x:c r="O91" s="111"/>
      <x:c r="P91" s="111"/>
      <x:c r="Q91" s="111"/>
      <x:c r="R91" s="111"/>
      <x:c r="S91" s="111"/>
      <x:c r="T91" s="111"/>
    </x:row>
    <x:row r="92" ht="28" customHeight="1">
      <x:c r="A92" s="107"/>
      <x:c r="B92" s="107"/>
      <x:c r="C92" s="111"/>
      <x:c r="D92" s="111"/>
      <x:c r="E92" s="111"/>
      <x:c r="F92" s="111"/>
      <x:c r="G92" s="111"/>
      <x:c r="H92" s="111"/>
      <x:c r="I92" s="111"/>
      <x:c r="J92" s="111"/>
      <x:c r="K92" s="111"/>
      <x:c r="L92" s="111"/>
      <x:c r="M92" s="111"/>
      <x:c r="N92" s="111"/>
      <x:c r="O92" s="111"/>
      <x:c r="P92" s="111"/>
      <x:c r="Q92" s="111"/>
      <x:c r="R92" s="111"/>
      <x:c r="S92" s="111"/>
      <x:c r="T92" s="111"/>
    </x:row>
    <x:row r="93" ht="28" customHeight="1">
      <x:c r="A93" s="107"/>
      <x:c r="B93" s="107"/>
      <x:c r="C93" s="111"/>
      <x:c r="D93" s="111"/>
      <x:c r="E93" s="111"/>
      <x:c r="F93" s="111"/>
      <x:c r="G93" s="111"/>
      <x:c r="H93" s="111"/>
      <x:c r="I93" s="111"/>
      <x:c r="J93" s="111"/>
      <x:c r="K93" s="111"/>
      <x:c r="L93" s="111"/>
      <x:c r="M93" s="111"/>
      <x:c r="N93" s="111"/>
      <x:c r="O93" s="111"/>
      <x:c r="P93" s="111"/>
      <x:c r="Q93" s="111"/>
      <x:c r="R93" s="111"/>
      <x:c r="S93" s="111"/>
      <x:c r="T93" s="111"/>
    </x:row>
    <x:row r="94" ht="28" customHeight="1">
      <x:c r="A94" s="107"/>
      <x:c r="B94" s="107"/>
      <x:c r="C94" s="111"/>
      <x:c r="D94" s="111"/>
      <x:c r="E94" s="111"/>
      <x:c r="F94" s="111"/>
      <x:c r="G94" s="111"/>
      <x:c r="H94" s="111"/>
      <x:c r="I94" s="111"/>
      <x:c r="J94" s="111"/>
      <x:c r="K94" s="111"/>
      <x:c r="L94" s="111"/>
      <x:c r="M94" s="111"/>
      <x:c r="N94" s="111"/>
      <x:c r="O94" s="111"/>
      <x:c r="P94" s="111"/>
      <x:c r="Q94" s="111"/>
      <x:c r="R94" s="111"/>
      <x:c r="S94" s="111"/>
      <x:c r="T94" s="111"/>
    </x:row>
    <x:row r="95" ht="28" customHeight="1">
      <x:c r="A95" s="107"/>
      <x:c r="B95" s="107"/>
      <x:c r="C95" s="111"/>
      <x:c r="D95" s="111"/>
      <x:c r="E95" s="111"/>
      <x:c r="F95" s="111"/>
      <x:c r="G95" s="111"/>
      <x:c r="H95" s="111"/>
      <x:c r="I95" s="111"/>
      <x:c r="J95" s="111"/>
      <x:c r="K95" s="111"/>
      <x:c r="L95" s="111"/>
      <x:c r="M95" s="111"/>
      <x:c r="N95" s="111"/>
      <x:c r="O95" s="111"/>
      <x:c r="P95" s="111"/>
      <x:c r="Q95" s="111"/>
      <x:c r="R95" s="111"/>
      <x:c r="S95" s="111"/>
      <x:c r="T95" s="111"/>
    </x:row>
    <x:row r="96" ht="28" customHeight="1">
      <x:c r="A96" s="107"/>
      <x:c r="B96" s="107"/>
      <x:c r="C96" s="111"/>
      <x:c r="D96" s="111"/>
      <x:c r="E96" s="111"/>
      <x:c r="F96" s="111"/>
      <x:c r="G96" s="111"/>
      <x:c r="H96" s="111"/>
      <x:c r="I96" s="111"/>
      <x:c r="J96" s="111"/>
      <x:c r="K96" s="111"/>
      <x:c r="L96" s="111"/>
      <x:c r="M96" s="111"/>
      <x:c r="N96" s="111"/>
      <x:c r="O96" s="111"/>
      <x:c r="P96" s="111"/>
      <x:c r="Q96" s="111"/>
      <x:c r="R96" s="111"/>
      <x:c r="S96" s="111"/>
      <x:c r="T96" s="111"/>
    </x:row>
    <x:row r="97" ht="28" customHeight="1">
      <x:c r="A97" s="107"/>
      <x:c r="B97" s="107"/>
      <x:c r="C97" s="111"/>
      <x:c r="D97" s="111"/>
      <x:c r="E97" s="111"/>
      <x:c r="F97" s="111"/>
      <x:c r="G97" s="111"/>
      <x:c r="H97" s="111"/>
      <x:c r="I97" s="111"/>
      <x:c r="J97" s="111"/>
      <x:c r="K97" s="111"/>
      <x:c r="L97" s="111"/>
      <x:c r="M97" s="111"/>
      <x:c r="N97" s="111"/>
      <x:c r="O97" s="111"/>
      <x:c r="P97" s="111"/>
      <x:c r="Q97" s="111"/>
      <x:c r="R97" s="111"/>
      <x:c r="S97" s="111"/>
      <x:c r="T97" s="111"/>
    </x:row>
    <x:row r="98" ht="28" customHeight="1">
      <x:c r="A98" s="107"/>
      <x:c r="B98" s="107"/>
      <x:c r="C98" s="111"/>
      <x:c r="D98" s="111"/>
      <x:c r="E98" s="111"/>
      <x:c r="F98" s="111"/>
      <x:c r="G98" s="111"/>
      <x:c r="H98" s="111"/>
      <x:c r="I98" s="111"/>
      <x:c r="J98" s="111"/>
      <x:c r="K98" s="111"/>
      <x:c r="L98" s="111"/>
      <x:c r="M98" s="111"/>
      <x:c r="N98" s="111"/>
      <x:c r="O98" s="111"/>
      <x:c r="P98" s="111"/>
      <x:c r="Q98" s="111"/>
      <x:c r="R98" s="111"/>
      <x:c r="S98" s="111"/>
      <x:c r="T98" s="111"/>
    </x:row>
    <x:row r="99" ht="28" customHeight="1">
      <x:c r="A99" s="107"/>
      <x:c r="B99" s="107"/>
      <x:c r="C99" s="111"/>
      <x:c r="D99" s="111"/>
      <x:c r="E99" s="111"/>
      <x:c r="F99" s="111"/>
      <x:c r="G99" s="111"/>
      <x:c r="H99" s="111"/>
      <x:c r="I99" s="111"/>
      <x:c r="J99" s="111"/>
      <x:c r="K99" s="111"/>
      <x:c r="L99" s="111"/>
      <x:c r="M99" s="111"/>
      <x:c r="N99" s="111"/>
      <x:c r="O99" s="111"/>
      <x:c r="P99" s="111"/>
      <x:c r="Q99" s="111"/>
      <x:c r="R99" s="111"/>
      <x:c r="S99" s="111"/>
      <x:c r="T99" s="111"/>
    </x:row>
    <x:row r="100" ht="28" customHeight="1">
      <x:c r="A100" s="107"/>
      <x:c r="B100" s="107"/>
      <x:c r="C100" s="111"/>
      <x:c r="D100" s="111"/>
      <x:c r="E100" s="111"/>
      <x:c r="F100" s="111"/>
      <x:c r="G100" s="111"/>
      <x:c r="H100" s="111"/>
      <x:c r="I100" s="111"/>
      <x:c r="J100" s="111"/>
      <x:c r="K100" s="111"/>
      <x:c r="L100" s="111"/>
      <x:c r="M100" s="111"/>
      <x:c r="N100" s="111"/>
      <x:c r="O100" s="111"/>
      <x:c r="P100" s="111"/>
      <x:c r="Q100" s="111"/>
      <x:c r="R100" s="111"/>
      <x:c r="S100" s="111"/>
      <x:c r="T100" s="111"/>
    </x:row>
    <x:row r="101" ht="28" customHeight="1">
      <x:c r="A101" s="107"/>
      <x:c r="B101" s="107"/>
      <x:c r="C101" s="111"/>
      <x:c r="D101" s="111"/>
      <x:c r="E101" s="111"/>
      <x:c r="F101" s="111"/>
      <x:c r="G101" s="111"/>
      <x:c r="H101" s="111"/>
      <x:c r="I101" s="111"/>
      <x:c r="J101" s="111"/>
      <x:c r="K101" s="111"/>
      <x:c r="L101" s="111"/>
      <x:c r="M101" s="111"/>
      <x:c r="N101" s="111"/>
      <x:c r="O101" s="111"/>
      <x:c r="P101" s="111"/>
      <x:c r="Q101" s="111"/>
      <x:c r="R101" s="111"/>
      <x:c r="S101" s="111"/>
      <x:c r="T101" s="111"/>
    </x:row>
    <x:row r="102" ht="28" customHeight="1">
      <x:c r="A102" s="107"/>
      <x:c r="B102" s="107"/>
      <x:c r="C102" s="111"/>
      <x:c r="D102" s="111"/>
      <x:c r="E102" s="111"/>
      <x:c r="F102" s="111"/>
      <x:c r="G102" s="111"/>
      <x:c r="H102" s="111"/>
      <x:c r="I102" s="111"/>
      <x:c r="J102" s="111"/>
      <x:c r="K102" s="111"/>
      <x:c r="L102" s="111"/>
      <x:c r="M102" s="111"/>
      <x:c r="N102" s="111"/>
      <x:c r="O102" s="111"/>
      <x:c r="P102" s="111"/>
      <x:c r="Q102" s="111"/>
      <x:c r="R102" s="111"/>
      <x:c r="S102" s="111"/>
      <x:c r="T102" s="111"/>
    </x:row>
    <x:row r="103" ht="28" customHeight="1">
      <x:c r="A103" s="107"/>
      <x:c r="B103" s="107"/>
      <x:c r="C103" s="111"/>
      <x:c r="D103" s="111"/>
      <x:c r="E103" s="111"/>
      <x:c r="F103" s="111"/>
      <x:c r="G103" s="111"/>
      <x:c r="H103" s="111"/>
      <x:c r="I103" s="111"/>
      <x:c r="J103" s="111"/>
      <x:c r="K103" s="111"/>
      <x:c r="L103" s="111"/>
      <x:c r="M103" s="111"/>
      <x:c r="N103" s="111"/>
      <x:c r="O103" s="111"/>
      <x:c r="P103" s="111"/>
      <x:c r="Q103" s="111"/>
      <x:c r="R103" s="111"/>
      <x:c r="S103" s="111"/>
      <x:c r="T103" s="111"/>
    </x:row>
    <x:row r="104" ht="28" customHeight="1">
      <x:c r="A104" s="107"/>
      <x:c r="B104" s="107"/>
      <x:c r="C104" s="111"/>
      <x:c r="D104" s="111"/>
      <x:c r="E104" s="111"/>
      <x:c r="F104" s="111"/>
      <x:c r="G104" s="111"/>
      <x:c r="H104" s="111"/>
      <x:c r="I104" s="111"/>
      <x:c r="J104" s="111"/>
      <x:c r="K104" s="111"/>
      <x:c r="L104" s="111"/>
      <x:c r="M104" s="111"/>
      <x:c r="N104" s="111"/>
      <x:c r="O104" s="111"/>
      <x:c r="P104" s="111"/>
      <x:c r="Q104" s="111"/>
      <x:c r="R104" s="111"/>
      <x:c r="S104" s="111"/>
      <x:c r="T104" s="111"/>
    </x:row>
    <x:row r="105" ht="28" customHeight="1">
      <x:c r="A105" s="107"/>
      <x:c r="B105" s="107"/>
      <x:c r="C105" s="111"/>
      <x:c r="D105" s="111"/>
      <x:c r="E105" s="111"/>
      <x:c r="F105" s="111"/>
      <x:c r="G105" s="111"/>
      <x:c r="H105" s="111"/>
      <x:c r="I105" s="111"/>
      <x:c r="J105" s="111"/>
      <x:c r="K105" s="111"/>
      <x:c r="L105" s="111"/>
      <x:c r="M105" s="111"/>
      <x:c r="N105" s="111"/>
      <x:c r="O105" s="111"/>
      <x:c r="P105" s="111"/>
      <x:c r="Q105" s="111"/>
      <x:c r="R105" s="111"/>
      <x:c r="S105" s="111"/>
      <x:c r="T105" s="111"/>
    </x:row>
    <x:row r="106">
      <x:c r="A106" s="111"/>
      <x:c r="B106" s="111"/>
      <x:c r="C106" s="111"/>
      <x:c r="D106" s="111"/>
      <x:c r="E106" s="111"/>
      <x:c r="F106" s="111"/>
      <x:c r="G106" s="111"/>
      <x:c r="H106" s="111"/>
      <x:c r="I106" s="111"/>
      <x:c r="J106" s="111"/>
      <x:c r="K106" s="111"/>
      <x:c r="L106" s="111"/>
      <x:c r="M106" s="111"/>
      <x:c r="N106" s="111"/>
      <x:c r="O106" s="111"/>
      <x:c r="P106" s="111"/>
      <x:c r="Q106" s="111"/>
      <x:c r="R106" s="111"/>
      <x:c r="S106" s="111"/>
      <x:c r="T106" s="111"/>
    </x:row>
    <x:row r="107">
      <x:c r="A107" s="111"/>
      <x:c r="B107" s="111"/>
      <x:c r="C107" s="111"/>
      <x:c r="D107" s="111"/>
      <x:c r="E107" s="111"/>
      <x:c r="F107" s="111"/>
      <x:c r="G107" s="111"/>
      <x:c r="H107" s="111"/>
      <x:c r="I107" s="111"/>
      <x:c r="J107" s="111"/>
      <x:c r="K107" s="111"/>
      <x:c r="L107" s="111"/>
      <x:c r="M107" s="111"/>
      <x:c r="N107" s="111"/>
      <x:c r="O107" s="111"/>
      <x:c r="P107" s="111"/>
      <x:c r="Q107" s="111"/>
      <x:c r="R107" s="111"/>
      <x:c r="S107" s="111"/>
      <x:c r="T107" s="111"/>
    </x:row>
    <x:row r="108">
      <x:c r="A108" s="111"/>
      <x:c r="B108" s="111"/>
      <x:c r="C108" s="111"/>
      <x:c r="D108" s="111"/>
      <x:c r="E108" s="111"/>
      <x:c r="F108" s="111"/>
      <x:c r="G108" s="111"/>
      <x:c r="H108" s="111"/>
      <x:c r="I108" s="111"/>
      <x:c r="J108" s="111"/>
      <x:c r="K108" s="111"/>
      <x:c r="L108" s="111"/>
      <x:c r="M108" s="111"/>
      <x:c r="N108" s="111"/>
      <x:c r="O108" s="111"/>
      <x:c r="P108" s="111"/>
      <x:c r="Q108" s="111"/>
      <x:c r="R108" s="111"/>
      <x:c r="S108" s="111"/>
      <x:c r="T108" s="111"/>
    </x:row>
    <x:row r="109">
      <x:c r="A109" s="111"/>
      <x:c r="B109" s="111"/>
      <x:c r="C109" s="111"/>
      <x:c r="D109" s="111"/>
      <x:c r="E109" s="111"/>
      <x:c r="F109" s="111"/>
      <x:c r="G109" s="111"/>
      <x:c r="H109" s="111"/>
      <x:c r="I109" s="111"/>
      <x:c r="J109" s="111"/>
      <x:c r="K109" s="111"/>
      <x:c r="L109" s="111"/>
      <x:c r="M109" s="111"/>
      <x:c r="N109" s="111"/>
      <x:c r="O109" s="111"/>
      <x:c r="P109" s="111"/>
      <x:c r="Q109" s="111"/>
      <x:c r="R109" s="111"/>
      <x:c r="S109" s="111"/>
      <x:c r="T109" s="111"/>
    </x:row>
    <x:row r="110">
      <x:c r="A110" s="111"/>
      <x:c r="B110" s="111"/>
      <x:c r="C110" s="111"/>
      <x:c r="D110" s="111"/>
      <x:c r="E110" s="111"/>
      <x:c r="F110" s="111"/>
      <x:c r="G110" s="111"/>
      <x:c r="H110" s="111"/>
      <x:c r="I110" s="111"/>
      <x:c r="J110" s="111"/>
      <x:c r="K110" s="111"/>
      <x:c r="L110" s="111"/>
      <x:c r="M110" s="111"/>
      <x:c r="N110" s="111"/>
      <x:c r="O110" s="111"/>
      <x:c r="P110" s="111"/>
      <x:c r="Q110" s="111"/>
      <x:c r="R110" s="111"/>
      <x:c r="S110" s="111"/>
      <x:c r="T110" s="111"/>
    </x:row>
    <x:row r="111">
      <x:c r="A111" s="111"/>
      <x:c r="B111" s="111"/>
      <x:c r="C111" s="111"/>
      <x:c r="D111" s="111"/>
      <x:c r="E111" s="111"/>
      <x:c r="F111" s="111"/>
      <x:c r="G111" s="111"/>
      <x:c r="H111" s="111"/>
      <x:c r="I111" s="111"/>
      <x:c r="J111" s="111"/>
      <x:c r="K111" s="111"/>
      <x:c r="L111" s="111"/>
      <x:c r="M111" s="111"/>
      <x:c r="N111" s="111"/>
      <x:c r="O111" s="111"/>
      <x:c r="P111" s="111"/>
      <x:c r="Q111" s="111"/>
      <x:c r="R111" s="111"/>
      <x:c r="S111" s="111"/>
      <x:c r="T111" s="111"/>
    </x:row>
    <x:row r="112">
      <x:c r="A112" s="111"/>
      <x:c r="B112" s="111"/>
      <x:c r="C112" s="111"/>
      <x:c r="D112" s="111"/>
      <x:c r="E112" s="111"/>
      <x:c r="F112" s="111"/>
      <x:c r="G112" s="111"/>
      <x:c r="H112" s="111"/>
      <x:c r="I112" s="111"/>
      <x:c r="J112" s="111"/>
      <x:c r="K112" s="111"/>
      <x:c r="L112" s="111"/>
      <x:c r="M112" s="111"/>
      <x:c r="N112" s="111"/>
      <x:c r="O112" s="111"/>
      <x:c r="P112" s="111"/>
      <x:c r="Q112" s="111"/>
      <x:c r="R112" s="111"/>
      <x:c r="S112" s="111"/>
      <x:c r="T112" s="111"/>
    </x:row>
    <x:row r="113">
      <x:c r="A113" s="111"/>
      <x:c r="B113" s="111"/>
      <x:c r="C113" s="111"/>
      <x:c r="D113" s="111"/>
      <x:c r="E113" s="111"/>
      <x:c r="F113" s="111"/>
      <x:c r="G113" s="111"/>
      <x:c r="H113" s="111"/>
      <x:c r="I113" s="111"/>
      <x:c r="J113" s="111"/>
      <x:c r="K113" s="111"/>
      <x:c r="L113" s="111"/>
      <x:c r="M113" s="111"/>
      <x:c r="N113" s="111"/>
      <x:c r="O113" s="111"/>
      <x:c r="P113" s="111"/>
      <x:c r="Q113" s="111"/>
      <x:c r="R113" s="111"/>
      <x:c r="S113" s="111"/>
      <x:c r="T113" s="111"/>
    </x:row>
    <x:row r="114">
      <x:c r="A114" s="111"/>
      <x:c r="B114" s="111"/>
      <x:c r="C114" s="111"/>
      <x:c r="D114" s="111"/>
      <x:c r="E114" s="111"/>
      <x:c r="F114" s="111"/>
      <x:c r="G114" s="111"/>
      <x:c r="H114" s="111"/>
      <x:c r="I114" s="111"/>
      <x:c r="J114" s="111"/>
      <x:c r="K114" s="111"/>
      <x:c r="L114" s="111"/>
      <x:c r="M114" s="111"/>
      <x:c r="N114" s="111"/>
      <x:c r="O114" s="111"/>
      <x:c r="P114" s="111"/>
      <x:c r="Q114" s="111"/>
      <x:c r="R114" s="111"/>
      <x:c r="S114" s="111"/>
      <x:c r="T114" s="111"/>
    </x:row>
    <x:row r="115">
      <x:c r="A115" s="111"/>
      <x:c r="B115" s="111"/>
      <x:c r="C115" s="111"/>
      <x:c r="D115" s="111"/>
      <x:c r="E115" s="111"/>
      <x:c r="F115" s="111"/>
      <x:c r="G115" s="111"/>
      <x:c r="H115" s="111"/>
      <x:c r="I115" s="111"/>
      <x:c r="J115" s="111"/>
      <x:c r="K115" s="111"/>
      <x:c r="L115" s="111"/>
      <x:c r="M115" s="111"/>
      <x:c r="N115" s="111"/>
      <x:c r="O115" s="111"/>
      <x:c r="P115" s="111"/>
      <x:c r="Q115" s="111"/>
      <x:c r="R115" s="111"/>
      <x:c r="S115" s="111"/>
      <x:c r="T115" s="111"/>
    </x:row>
    <x:row r="116">
      <x:c r="A116" s="111"/>
      <x:c r="B116" s="111"/>
      <x:c r="C116" s="111"/>
      <x:c r="D116" s="111"/>
      <x:c r="E116" s="111"/>
      <x:c r="F116" s="111"/>
      <x:c r="G116" s="111"/>
      <x:c r="H116" s="111"/>
      <x:c r="I116" s="111"/>
      <x:c r="J116" s="111"/>
      <x:c r="K116" s="111"/>
      <x:c r="L116" s="111"/>
      <x:c r="M116" s="111"/>
      <x:c r="N116" s="111"/>
      <x:c r="O116" s="111"/>
      <x:c r="P116" s="111"/>
      <x:c r="Q116" s="111"/>
      <x:c r="R116" s="111"/>
      <x:c r="S116" s="111"/>
      <x:c r="T116" s="111"/>
    </x:row>
    <x:row r="117">
      <x:c r="A117" s="111"/>
      <x:c r="B117" s="111"/>
      <x:c r="C117" s="111"/>
      <x:c r="D117" s="111"/>
      <x:c r="E117" s="111"/>
      <x:c r="F117" s="111"/>
      <x:c r="G117" s="111"/>
      <x:c r="H117" s="111"/>
      <x:c r="I117" s="111"/>
      <x:c r="J117" s="111"/>
      <x:c r="K117" s="111"/>
      <x:c r="L117" s="111"/>
      <x:c r="M117" s="111"/>
      <x:c r="N117" s="111"/>
      <x:c r="O117" s="111"/>
      <x:c r="P117" s="111"/>
      <x:c r="Q117" s="111"/>
      <x:c r="R117" s="111"/>
      <x:c r="S117" s="111"/>
      <x:c r="T117" s="111"/>
    </x:row>
    <x:row r="118">
      <x:c r="A118" s="111"/>
      <x:c r="B118" s="111"/>
      <x:c r="C118" s="111"/>
      <x:c r="D118" s="111"/>
      <x:c r="E118" s="111"/>
      <x:c r="F118" s="111"/>
      <x:c r="G118" s="111"/>
      <x:c r="H118" s="111"/>
      <x:c r="I118" s="111"/>
      <x:c r="J118" s="111"/>
      <x:c r="K118" s="111"/>
      <x:c r="L118" s="111"/>
      <x:c r="M118" s="111"/>
      <x:c r="N118" s="111"/>
      <x:c r="O118" s="111"/>
      <x:c r="P118" s="111"/>
      <x:c r="Q118" s="111"/>
      <x:c r="R118" s="111"/>
      <x:c r="S118" s="111"/>
      <x:c r="T118" s="111"/>
    </x:row>
    <x:row r="119">
      <x:c r="A119" s="111"/>
      <x:c r="B119" s="111"/>
      <x:c r="C119" s="111"/>
      <x:c r="D119" s="111"/>
      <x:c r="E119" s="111"/>
      <x:c r="F119" s="111"/>
      <x:c r="G119" s="111"/>
      <x:c r="H119" s="111"/>
      <x:c r="I119" s="111"/>
      <x:c r="J119" s="111"/>
      <x:c r="K119" s="111"/>
      <x:c r="L119" s="111"/>
      <x:c r="M119" s="111"/>
      <x:c r="N119" s="111"/>
      <x:c r="O119" s="111"/>
      <x:c r="P119" s="111"/>
      <x:c r="Q119" s="111"/>
      <x:c r="R119" s="111"/>
      <x:c r="S119" s="111"/>
      <x:c r="T119" s="111"/>
    </x:row>
    <x:row r="120">
      <x:c r="A120" s="111"/>
      <x:c r="B120" s="111"/>
      <x:c r="C120" s="111"/>
      <x:c r="D120" s="111"/>
      <x:c r="E120" s="111"/>
      <x:c r="F120" s="111"/>
      <x:c r="G120" s="111"/>
      <x:c r="H120" s="111"/>
      <x:c r="I120" s="111"/>
      <x:c r="J120" s="111"/>
      <x:c r="K120" s="111"/>
      <x:c r="L120" s="111"/>
      <x:c r="M120" s="111"/>
      <x:c r="N120" s="111"/>
      <x:c r="O120" s="111"/>
      <x:c r="P120" s="111"/>
      <x:c r="Q120" s="111"/>
      <x:c r="R120" s="111"/>
      <x:c r="S120" s="111"/>
      <x:c r="T120" s="111"/>
    </x:row>
    <x:row r="121">
      <x:c r="A121" s="111"/>
      <x:c r="B121" s="111"/>
      <x:c r="C121" s="111"/>
      <x:c r="D121" s="111"/>
      <x:c r="E121" s="111"/>
      <x:c r="F121" s="111"/>
      <x:c r="G121" s="111"/>
      <x:c r="H121" s="111"/>
      <x:c r="I121" s="111"/>
      <x:c r="J121" s="111"/>
      <x:c r="K121" s="111"/>
      <x:c r="L121" s="111"/>
      <x:c r="M121" s="111"/>
      <x:c r="N121" s="111"/>
      <x:c r="O121" s="111"/>
      <x:c r="P121" s="111"/>
      <x:c r="Q121" s="111"/>
      <x:c r="R121" s="111"/>
      <x:c r="S121" s="111"/>
      <x:c r="T121" s="111"/>
    </x:row>
    <x:row r="122">
      <x:c r="A122" s="111"/>
      <x:c r="B122" s="111"/>
      <x:c r="C122" s="111"/>
      <x:c r="D122" s="111"/>
      <x:c r="E122" s="111"/>
      <x:c r="F122" s="111"/>
      <x:c r="G122" s="111"/>
      <x:c r="H122" s="111"/>
      <x:c r="I122" s="111"/>
      <x:c r="J122" s="111"/>
      <x:c r="K122" s="111"/>
      <x:c r="L122" s="111"/>
      <x:c r="M122" s="111"/>
      <x:c r="N122" s="111"/>
      <x:c r="O122" s="111"/>
      <x:c r="P122" s="111"/>
      <x:c r="Q122" s="111"/>
      <x:c r="R122" s="111"/>
      <x:c r="S122" s="111"/>
      <x:c r="T122" s="111"/>
    </x:row>
    <x:row r="123">
      <x:c r="A123" s="111"/>
      <x:c r="B123" s="111"/>
      <x:c r="C123" s="111"/>
      <x:c r="D123" s="111"/>
      <x:c r="E123" s="111"/>
      <x:c r="F123" s="111"/>
      <x:c r="G123" s="111"/>
      <x:c r="H123" s="111"/>
      <x:c r="I123" s="111"/>
      <x:c r="J123" s="111"/>
      <x:c r="K123" s="111"/>
      <x:c r="L123" s="111"/>
      <x:c r="M123" s="111"/>
      <x:c r="N123" s="111"/>
      <x:c r="O123" s="111"/>
      <x:c r="P123" s="111"/>
      <x:c r="Q123" s="111"/>
      <x:c r="R123" s="111"/>
      <x:c r="S123" s="111"/>
      <x:c r="T123" s="111"/>
    </x:row>
    <x:row r="124">
      <x:c r="A124" s="111"/>
      <x:c r="B124" s="111"/>
      <x:c r="C124" s="111"/>
      <x:c r="D124" s="111"/>
      <x:c r="E124" s="111"/>
      <x:c r="F124" s="111"/>
      <x:c r="G124" s="111"/>
      <x:c r="H124" s="111"/>
      <x:c r="I124" s="111"/>
      <x:c r="J124" s="111"/>
      <x:c r="K124" s="111"/>
      <x:c r="L124" s="111"/>
      <x:c r="M124" s="111"/>
      <x:c r="N124" s="111"/>
      <x:c r="O124" s="111"/>
      <x:c r="P124" s="111"/>
      <x:c r="Q124" s="111"/>
      <x:c r="R124" s="111"/>
      <x:c r="S124" s="111"/>
      <x:c r="T124" s="111"/>
    </x:row>
    <x:row r="125">
      <x:c r="A125" s="111"/>
      <x:c r="B125" s="111"/>
      <x:c r="C125" s="111"/>
      <x:c r="D125" s="111"/>
      <x:c r="E125" s="111"/>
      <x:c r="F125" s="111"/>
      <x:c r="G125" s="111"/>
      <x:c r="H125" s="111"/>
      <x:c r="I125" s="111"/>
      <x:c r="J125" s="111"/>
      <x:c r="K125" s="111"/>
      <x:c r="L125" s="111"/>
      <x:c r="M125" s="111"/>
      <x:c r="N125" s="111"/>
      <x:c r="O125" s="111"/>
      <x:c r="P125" s="111"/>
      <x:c r="Q125" s="111"/>
      <x:c r="R125" s="111"/>
      <x:c r="S125" s="111"/>
      <x:c r="T125" s="111"/>
    </x:row>
    <x:row r="126">
      <x:c r="A126" s="111"/>
      <x:c r="B126" s="111"/>
      <x:c r="C126" s="111"/>
      <x:c r="D126" s="111"/>
      <x:c r="E126" s="111"/>
      <x:c r="F126" s="111"/>
      <x:c r="G126" s="111"/>
      <x:c r="H126" s="111"/>
      <x:c r="I126" s="111"/>
      <x:c r="J126" s="111"/>
      <x:c r="K126" s="111"/>
      <x:c r="L126" s="111"/>
      <x:c r="M126" s="111"/>
      <x:c r="N126" s="111"/>
      <x:c r="O126" s="111"/>
      <x:c r="P126" s="111"/>
      <x:c r="Q126" s="111"/>
      <x:c r="R126" s="111"/>
      <x:c r="S126" s="111"/>
      <x:c r="T126" s="111"/>
    </x:row>
    <x:row r="127">
      <x:c r="A127" s="111"/>
      <x:c r="B127" s="111"/>
      <x:c r="C127" s="111"/>
      <x:c r="D127" s="111"/>
      <x:c r="E127" s="111"/>
      <x:c r="F127" s="111"/>
      <x:c r="G127" s="111"/>
      <x:c r="H127" s="111"/>
      <x:c r="I127" s="111"/>
      <x:c r="J127" s="111"/>
      <x:c r="K127" s="111"/>
      <x:c r="L127" s="111"/>
      <x:c r="M127" s="111"/>
      <x:c r="N127" s="111"/>
      <x:c r="O127" s="111"/>
      <x:c r="P127" s="111"/>
      <x:c r="Q127" s="111"/>
      <x:c r="R127" s="111"/>
      <x:c r="S127" s="111"/>
      <x:c r="T127" s="111"/>
    </x:row>
    <x:row r="128">
      <x:c r="A128" s="111"/>
      <x:c r="B128" s="111"/>
      <x:c r="C128" s="111"/>
      <x:c r="D128" s="111"/>
      <x:c r="E128" s="111"/>
      <x:c r="F128" s="111"/>
      <x:c r="G128" s="111"/>
      <x:c r="H128" s="111"/>
      <x:c r="I128" s="111"/>
      <x:c r="J128" s="111"/>
      <x:c r="K128" s="111"/>
      <x:c r="L128" s="111"/>
      <x:c r="M128" s="111"/>
      <x:c r="N128" s="111"/>
      <x:c r="O128" s="111"/>
      <x:c r="P128" s="111"/>
      <x:c r="Q128" s="111"/>
      <x:c r="R128" s="111"/>
      <x:c r="S128" s="111"/>
      <x:c r="T128" s="111"/>
    </x:row>
    <x:row r="129">
      <x:c r="A129" s="111"/>
      <x:c r="B129" s="111"/>
      <x:c r="C129" s="111"/>
      <x:c r="D129" s="111"/>
      <x:c r="E129" s="111"/>
      <x:c r="F129" s="111"/>
      <x:c r="G129" s="111"/>
      <x:c r="H129" s="111"/>
      <x:c r="I129" s="111"/>
      <x:c r="J129" s="111"/>
      <x:c r="K129" s="111"/>
      <x:c r="L129" s="111"/>
      <x:c r="M129" s="111"/>
      <x:c r="N129" s="111"/>
      <x:c r="O129" s="111"/>
      <x:c r="P129" s="111"/>
      <x:c r="Q129" s="111"/>
      <x:c r="R129" s="111"/>
      <x:c r="S129" s="111"/>
      <x:c r="T129" s="111"/>
    </x:row>
    <x:row r="130">
      <x:c r="A130" s="111"/>
      <x:c r="B130" s="111"/>
      <x:c r="C130" s="111"/>
      <x:c r="D130" s="111"/>
      <x:c r="E130" s="111"/>
      <x:c r="F130" s="111"/>
      <x:c r="G130" s="111"/>
      <x:c r="H130" s="111"/>
      <x:c r="I130" s="111"/>
      <x:c r="J130" s="111"/>
      <x:c r="K130" s="111"/>
      <x:c r="L130" s="111"/>
      <x:c r="M130" s="111"/>
      <x:c r="N130" s="111"/>
      <x:c r="O130" s="111"/>
      <x:c r="P130" s="111"/>
      <x:c r="Q130" s="111"/>
      <x:c r="R130" s="111"/>
      <x:c r="S130" s="111"/>
      <x:c r="T130" s="111"/>
    </x:row>
    <x:row r="131">
      <x:c r="A131" s="111"/>
      <x:c r="B131" s="111"/>
      <x:c r="C131" s="111"/>
      <x:c r="D131" s="111"/>
      <x:c r="E131" s="111"/>
      <x:c r="F131" s="111"/>
      <x:c r="G131" s="111"/>
      <x:c r="H131" s="111"/>
      <x:c r="I131" s="111"/>
      <x:c r="J131" s="111"/>
      <x:c r="K131" s="111"/>
      <x:c r="L131" s="111"/>
      <x:c r="M131" s="111"/>
      <x:c r="N131" s="111"/>
      <x:c r="O131" s="111"/>
      <x:c r="P131" s="111"/>
      <x:c r="Q131" s="111"/>
      <x:c r="R131" s="111"/>
      <x:c r="S131" s="111"/>
      <x:c r="T131" s="111"/>
    </x:row>
    <x:row r="132">
      <x:c r="A132" s="111"/>
      <x:c r="B132" s="111"/>
      <x:c r="C132" s="111"/>
      <x:c r="D132" s="111"/>
      <x:c r="E132" s="111"/>
      <x:c r="F132" s="111"/>
      <x:c r="G132" s="111"/>
      <x:c r="H132" s="111"/>
      <x:c r="I132" s="111"/>
      <x:c r="J132" s="111"/>
      <x:c r="K132" s="111"/>
      <x:c r="L132" s="111"/>
      <x:c r="M132" s="111"/>
      <x:c r="N132" s="111"/>
      <x:c r="O132" s="111"/>
      <x:c r="P132" s="111"/>
      <x:c r="Q132" s="111"/>
      <x:c r="R132" s="111"/>
      <x:c r="S132" s="111"/>
      <x:c r="T132" s="111"/>
    </x:row>
    <x:row r="133">
      <x:c r="A133" s="111"/>
      <x:c r="B133" s="111"/>
      <x:c r="C133" s="111"/>
      <x:c r="D133" s="111"/>
      <x:c r="E133" s="111"/>
      <x:c r="F133" s="111"/>
      <x:c r="G133" s="111"/>
      <x:c r="H133" s="111"/>
      <x:c r="I133" s="111"/>
      <x:c r="J133" s="111"/>
      <x:c r="K133" s="111"/>
      <x:c r="L133" s="111"/>
      <x:c r="M133" s="111"/>
      <x:c r="N133" s="111"/>
      <x:c r="O133" s="111"/>
      <x:c r="P133" s="111"/>
      <x:c r="Q133" s="111"/>
      <x:c r="R133" s="111"/>
      <x:c r="S133" s="111"/>
      <x:c r="T133" s="111"/>
    </x:row>
    <x:row r="134">
      <x:c r="A134" s="111"/>
      <x:c r="B134" s="111"/>
      <x:c r="C134" s="111"/>
      <x:c r="D134" s="111"/>
      <x:c r="E134" s="111"/>
      <x:c r="F134" s="111"/>
      <x:c r="G134" s="111"/>
      <x:c r="H134" s="111"/>
      <x:c r="I134" s="111"/>
      <x:c r="J134" s="111"/>
      <x:c r="K134" s="111"/>
      <x:c r="L134" s="111"/>
      <x:c r="M134" s="111"/>
      <x:c r="N134" s="111"/>
      <x:c r="O134" s="111"/>
      <x:c r="P134" s="111"/>
      <x:c r="Q134" s="111"/>
      <x:c r="R134" s="111"/>
      <x:c r="S134" s="111"/>
      <x:c r="T134" s="111"/>
    </x:row>
    <x:row r="135">
      <x:c r="A135" s="111"/>
      <x:c r="B135" s="111"/>
      <x:c r="C135" s="111"/>
      <x:c r="D135" s="111"/>
      <x:c r="E135" s="111"/>
      <x:c r="F135" s="111"/>
      <x:c r="G135" s="111"/>
      <x:c r="H135" s="111"/>
      <x:c r="I135" s="111"/>
      <x:c r="J135" s="111"/>
      <x:c r="K135" s="111"/>
      <x:c r="L135" s="111"/>
      <x:c r="M135" s="111"/>
      <x:c r="N135" s="111"/>
      <x:c r="O135" s="111"/>
      <x:c r="P135" s="111"/>
      <x:c r="Q135" s="111"/>
      <x:c r="R135" s="111"/>
      <x:c r="S135" s="111"/>
      <x:c r="T135" s="111"/>
    </x:row>
    <x:row r="136">
      <x:c r="A136" s="111"/>
      <x:c r="B136" s="111"/>
      <x:c r="C136" s="111"/>
      <x:c r="D136" s="111"/>
      <x:c r="E136" s="111"/>
      <x:c r="F136" s="111"/>
      <x:c r="G136" s="111"/>
      <x:c r="H136" s="111"/>
      <x:c r="I136" s="111"/>
      <x:c r="J136" s="111"/>
      <x:c r="K136" s="111"/>
      <x:c r="L136" s="111"/>
      <x:c r="M136" s="111"/>
      <x:c r="N136" s="111"/>
      <x:c r="O136" s="111"/>
      <x:c r="P136" s="111"/>
      <x:c r="Q136" s="111"/>
      <x:c r="R136" s="111"/>
      <x:c r="S136" s="111"/>
      <x:c r="T136" s="111"/>
    </x:row>
    <x:row r="137">
      <x:c r="A137" s="111"/>
      <x:c r="B137" s="111"/>
      <x:c r="C137" s="111"/>
      <x:c r="D137" s="111"/>
      <x:c r="E137" s="111"/>
      <x:c r="F137" s="111"/>
      <x:c r="G137" s="111"/>
      <x:c r="H137" s="111"/>
      <x:c r="I137" s="111"/>
      <x:c r="J137" s="111"/>
      <x:c r="K137" s="111"/>
      <x:c r="L137" s="111"/>
      <x:c r="M137" s="111"/>
      <x:c r="N137" s="111"/>
      <x:c r="O137" s="111"/>
      <x:c r="P137" s="111"/>
      <x:c r="Q137" s="111"/>
      <x:c r="R137" s="111"/>
      <x:c r="S137" s="111"/>
      <x:c r="T137" s="111"/>
    </x:row>
    <x:row r="138">
      <x:c r="A138" s="111"/>
      <x:c r="B138" s="111"/>
      <x:c r="C138" s="111"/>
      <x:c r="D138" s="111"/>
      <x:c r="E138" s="111"/>
      <x:c r="F138" s="111"/>
      <x:c r="G138" s="111"/>
      <x:c r="H138" s="111"/>
      <x:c r="I138" s="111"/>
      <x:c r="J138" s="111"/>
      <x:c r="K138" s="111"/>
      <x:c r="L138" s="111"/>
      <x:c r="M138" s="111"/>
      <x:c r="N138" s="111"/>
      <x:c r="O138" s="111"/>
      <x:c r="P138" s="111"/>
      <x:c r="Q138" s="111"/>
      <x:c r="R138" s="111"/>
      <x:c r="S138" s="111"/>
      <x:c r="T138" s="111"/>
    </x:row>
    <x:row r="139">
      <x:c r="A139" s="111"/>
      <x:c r="B139" s="111"/>
      <x:c r="C139" s="111"/>
      <x:c r="D139" s="111"/>
      <x:c r="E139" s="111"/>
      <x:c r="F139" s="111"/>
      <x:c r="G139" s="111"/>
      <x:c r="H139" s="111"/>
      <x:c r="I139" s="111"/>
      <x:c r="J139" s="111"/>
      <x:c r="K139" s="111"/>
      <x:c r="L139" s="111"/>
      <x:c r="M139" s="111"/>
      <x:c r="N139" s="111"/>
      <x:c r="O139" s="111"/>
      <x:c r="P139" s="111"/>
      <x:c r="Q139" s="111"/>
      <x:c r="R139" s="111"/>
      <x:c r="S139" s="111"/>
      <x:c r="T139" s="111"/>
    </x:row>
    <x:row r="140">
      <x:c r="A140" s="111"/>
      <x:c r="B140" s="111"/>
      <x:c r="C140" s="111"/>
      <x:c r="D140" s="111"/>
      <x:c r="E140" s="111"/>
      <x:c r="F140" s="111"/>
      <x:c r="G140" s="111"/>
      <x:c r="H140" s="111"/>
      <x:c r="I140" s="111"/>
      <x:c r="J140" s="111"/>
      <x:c r="K140" s="111"/>
      <x:c r="L140" s="111"/>
      <x:c r="M140" s="111"/>
      <x:c r="N140" s="111"/>
      <x:c r="O140" s="111"/>
      <x:c r="P140" s="111"/>
      <x:c r="Q140" s="111"/>
      <x:c r="R140" s="111"/>
      <x:c r="S140" s="111"/>
      <x:c r="T140" s="111"/>
    </x:row>
    <x:row r="141">
      <x:c r="A141" s="111"/>
      <x:c r="B141" s="111"/>
      <x:c r="C141" s="111"/>
      <x:c r="D141" s="111"/>
      <x:c r="E141" s="111"/>
      <x:c r="F141" s="111"/>
      <x:c r="G141" s="111"/>
      <x:c r="H141" s="111"/>
      <x:c r="I141" s="111"/>
      <x:c r="J141" s="111"/>
      <x:c r="K141" s="111"/>
      <x:c r="L141" s="111"/>
      <x:c r="M141" s="111"/>
      <x:c r="N141" s="111"/>
      <x:c r="O141" s="111"/>
      <x:c r="P141" s="111"/>
      <x:c r="Q141" s="111"/>
      <x:c r="R141" s="111"/>
      <x:c r="S141" s="111"/>
      <x:c r="T141" s="111"/>
    </x:row>
    <x:row r="142">
      <x:c r="A142" s="111"/>
      <x:c r="B142" s="111"/>
      <x:c r="C142" s="111"/>
      <x:c r="D142" s="111"/>
      <x:c r="E142" s="111"/>
      <x:c r="F142" s="111"/>
      <x:c r="G142" s="111"/>
      <x:c r="H142" s="111"/>
      <x:c r="I142" s="111"/>
      <x:c r="J142" s="111"/>
      <x:c r="K142" s="111"/>
      <x:c r="L142" s="111"/>
      <x:c r="M142" s="111"/>
      <x:c r="N142" s="111"/>
      <x:c r="O142" s="111"/>
      <x:c r="P142" s="111"/>
      <x:c r="Q142" s="111"/>
      <x:c r="R142" s="111"/>
      <x:c r="S142" s="111"/>
      <x:c r="T142" s="111"/>
    </x:row>
    <x:row r="143">
      <x:c r="A143" s="111"/>
      <x:c r="B143" s="111"/>
      <x:c r="C143" s="111"/>
      <x:c r="D143" s="111"/>
      <x:c r="E143" s="111"/>
      <x:c r="F143" s="111"/>
      <x:c r="G143" s="111"/>
      <x:c r="H143" s="111"/>
      <x:c r="I143" s="111"/>
      <x:c r="J143" s="111"/>
      <x:c r="K143" s="111"/>
      <x:c r="L143" s="111"/>
      <x:c r="M143" s="111"/>
      <x:c r="N143" s="111"/>
      <x:c r="O143" s="111"/>
      <x:c r="P143" s="111"/>
      <x:c r="Q143" s="111"/>
      <x:c r="R143" s="111"/>
      <x:c r="S143" s="111"/>
      <x:c r="T143" s="111"/>
    </x:row>
    <x:row r="144">
      <x:c r="A144" s="111"/>
      <x:c r="B144" s="111"/>
      <x:c r="C144" s="111"/>
      <x:c r="D144" s="111"/>
      <x:c r="E144" s="111"/>
      <x:c r="F144" s="111"/>
      <x:c r="G144" s="111"/>
      <x:c r="H144" s="111"/>
      <x:c r="I144" s="111"/>
      <x:c r="J144" s="111"/>
      <x:c r="K144" s="111"/>
      <x:c r="L144" s="111"/>
      <x:c r="M144" s="111"/>
      <x:c r="N144" s="111"/>
      <x:c r="O144" s="111"/>
      <x:c r="P144" s="111"/>
      <x:c r="Q144" s="111"/>
      <x:c r="R144" s="111"/>
      <x:c r="S144" s="111"/>
      <x:c r="T144" s="111"/>
    </x:row>
    <x:row r="145">
      <x:c r="A145" s="111"/>
      <x:c r="B145" s="111"/>
      <x:c r="C145" s="111"/>
      <x:c r="D145" s="111"/>
      <x:c r="E145" s="111"/>
      <x:c r="F145" s="111"/>
      <x:c r="G145" s="111"/>
      <x:c r="H145" s="111"/>
      <x:c r="I145" s="111"/>
      <x:c r="J145" s="111"/>
      <x:c r="K145" s="111"/>
      <x:c r="L145" s="111"/>
      <x:c r="M145" s="111"/>
      <x:c r="N145" s="111"/>
      <x:c r="O145" s="111"/>
      <x:c r="P145" s="111"/>
      <x:c r="Q145" s="111"/>
      <x:c r="R145" s="111"/>
      <x:c r="S145" s="111"/>
      <x:c r="T145" s="111"/>
    </x:row>
    <x:row r="146">
      <x:c r="A146" s="111"/>
      <x:c r="B146" s="111"/>
      <x:c r="C146" s="111"/>
      <x:c r="D146" s="111"/>
      <x:c r="E146" s="111"/>
      <x:c r="F146" s="111"/>
      <x:c r="G146" s="111"/>
      <x:c r="H146" s="111"/>
      <x:c r="I146" s="111"/>
      <x:c r="J146" s="111"/>
      <x:c r="K146" s="111"/>
      <x:c r="L146" s="111"/>
      <x:c r="M146" s="111"/>
      <x:c r="N146" s="111"/>
      <x:c r="O146" s="111"/>
      <x:c r="P146" s="111"/>
      <x:c r="Q146" s="111"/>
      <x:c r="R146" s="111"/>
      <x:c r="S146" s="111"/>
      <x:c r="T146" s="111"/>
    </x:row>
    <x:row r="147">
      <x:c r="A147" s="111"/>
      <x:c r="B147" s="111"/>
      <x:c r="C147" s="111"/>
      <x:c r="D147" s="111"/>
      <x:c r="E147" s="111"/>
      <x:c r="F147" s="111"/>
      <x:c r="G147" s="111"/>
      <x:c r="H147" s="111"/>
      <x:c r="I147" s="111"/>
      <x:c r="J147" s="111"/>
      <x:c r="K147" s="111"/>
      <x:c r="L147" s="111"/>
      <x:c r="M147" s="111"/>
      <x:c r="N147" s="111"/>
      <x:c r="O147" s="111"/>
      <x:c r="P147" s="111"/>
      <x:c r="Q147" s="111"/>
      <x:c r="R147" s="111"/>
      <x:c r="S147" s="111"/>
      <x:c r="T147" s="111"/>
    </x:row>
    <x:row r="148">
      <x:c r="A148" s="111"/>
      <x:c r="B148" s="111"/>
      <x:c r="C148" s="111"/>
      <x:c r="D148" s="111"/>
      <x:c r="E148" s="111"/>
      <x:c r="F148" s="111"/>
      <x:c r="G148" s="111"/>
      <x:c r="H148" s="111"/>
      <x:c r="I148" s="111"/>
      <x:c r="J148" s="111"/>
      <x:c r="K148" s="111"/>
      <x:c r="L148" s="111"/>
      <x:c r="M148" s="111"/>
      <x:c r="N148" s="111"/>
      <x:c r="O148" s="111"/>
      <x:c r="P148" s="111"/>
      <x:c r="Q148" s="111"/>
      <x:c r="R148" s="111"/>
      <x:c r="S148" s="111"/>
      <x:c r="T148" s="111"/>
    </x:row>
    <x:row r="149">
      <x:c r="A149" s="111"/>
      <x:c r="B149" s="111"/>
      <x:c r="C149" s="111"/>
      <x:c r="D149" s="111"/>
      <x:c r="E149" s="111"/>
      <x:c r="F149" s="111"/>
      <x:c r="G149" s="111"/>
      <x:c r="H149" s="111"/>
      <x:c r="I149" s="111"/>
      <x:c r="J149" s="111"/>
      <x:c r="K149" s="111"/>
      <x:c r="L149" s="111"/>
      <x:c r="M149" s="111"/>
      <x:c r="N149" s="111"/>
      <x:c r="O149" s="111"/>
      <x:c r="P149" s="111"/>
      <x:c r="Q149" s="111"/>
      <x:c r="R149" s="111"/>
      <x:c r="S149" s="111"/>
      <x:c r="T149" s="111"/>
    </x:row>
    <x:row r="150">
      <x:c r="A150" s="111"/>
      <x:c r="B150" s="111"/>
      <x:c r="C150" s="111"/>
      <x:c r="D150" s="111"/>
      <x:c r="E150" s="111"/>
      <x:c r="F150" s="111"/>
      <x:c r="G150" s="111"/>
      <x:c r="H150" s="111"/>
      <x:c r="I150" s="111"/>
      <x:c r="J150" s="111"/>
      <x:c r="K150" s="111"/>
      <x:c r="L150" s="111"/>
      <x:c r="M150" s="111"/>
      <x:c r="N150" s="111"/>
      <x:c r="O150" s="111"/>
      <x:c r="P150" s="111"/>
      <x:c r="Q150" s="111"/>
      <x:c r="R150" s="111"/>
      <x:c r="S150" s="111"/>
      <x:c r="T150" s="111"/>
    </x:row>
    <x:row r="151">
      <x:c r="A151" s="111"/>
      <x:c r="B151" s="111"/>
      <x:c r="C151" s="111"/>
      <x:c r="D151" s="111"/>
      <x:c r="E151" s="111"/>
      <x:c r="F151" s="111"/>
      <x:c r="G151" s="111"/>
      <x:c r="H151" s="111"/>
      <x:c r="I151" s="111"/>
      <x:c r="J151" s="111"/>
      <x:c r="K151" s="111"/>
      <x:c r="L151" s="111"/>
      <x:c r="M151" s="111"/>
      <x:c r="N151" s="111"/>
      <x:c r="O151" s="111"/>
      <x:c r="P151" s="111"/>
      <x:c r="Q151" s="111"/>
      <x:c r="R151" s="111"/>
      <x:c r="S151" s="111"/>
      <x:c r="T151" s="111"/>
    </x:row>
    <x:row r="152">
      <x:c r="A152" s="111"/>
      <x:c r="B152" s="111"/>
      <x:c r="C152" s="111"/>
      <x:c r="D152" s="111"/>
      <x:c r="E152" s="111"/>
      <x:c r="F152" s="111"/>
      <x:c r="G152" s="111"/>
      <x:c r="H152" s="111"/>
      <x:c r="I152" s="111"/>
      <x:c r="J152" s="111"/>
      <x:c r="K152" s="111"/>
      <x:c r="L152" s="111"/>
      <x:c r="M152" s="111"/>
      <x:c r="N152" s="111"/>
      <x:c r="O152" s="111"/>
      <x:c r="P152" s="111"/>
      <x:c r="Q152" s="111"/>
      <x:c r="R152" s="111"/>
      <x:c r="S152" s="111"/>
      <x:c r="T152" s="111"/>
    </x:row>
    <x:row r="153">
      <x:c r="A153" s="111"/>
      <x:c r="B153" s="111"/>
      <x:c r="C153" s="111"/>
      <x:c r="D153" s="111"/>
      <x:c r="E153" s="111"/>
      <x:c r="F153" s="111"/>
      <x:c r="G153" s="111"/>
      <x:c r="H153" s="111"/>
      <x:c r="I153" s="111"/>
      <x:c r="J153" s="111"/>
      <x:c r="K153" s="111"/>
      <x:c r="L153" s="111"/>
      <x:c r="M153" s="111"/>
      <x:c r="N153" s="111"/>
      <x:c r="O153" s="111"/>
      <x:c r="P153" s="111"/>
      <x:c r="Q153" s="111"/>
      <x:c r="R153" s="111"/>
      <x:c r="S153" s="111"/>
      <x:c r="T153" s="111"/>
    </x:row>
    <x:row r="154">
      <x:c r="A154" s="111"/>
      <x:c r="B154" s="111"/>
      <x:c r="C154" s="111"/>
      <x:c r="D154" s="111"/>
      <x:c r="E154" s="111"/>
      <x:c r="F154" s="111"/>
      <x:c r="G154" s="111"/>
      <x:c r="H154" s="111"/>
      <x:c r="I154" s="111"/>
      <x:c r="J154" s="111"/>
      <x:c r="K154" s="111"/>
      <x:c r="L154" s="111"/>
      <x:c r="M154" s="111"/>
      <x:c r="N154" s="111"/>
      <x:c r="O154" s="111"/>
      <x:c r="P154" s="111"/>
      <x:c r="Q154" s="111"/>
      <x:c r="R154" s="111"/>
      <x:c r="S154" s="111"/>
      <x:c r="T154" s="111"/>
    </x:row>
    <x:row r="155">
      <x:c r="A155" s="111"/>
      <x:c r="B155" s="111"/>
      <x:c r="C155" s="111"/>
      <x:c r="D155" s="111"/>
      <x:c r="E155" s="111"/>
      <x:c r="F155" s="111"/>
      <x:c r="G155" s="111"/>
      <x:c r="H155" s="111"/>
      <x:c r="I155" s="111"/>
      <x:c r="J155" s="111"/>
      <x:c r="K155" s="111"/>
      <x:c r="L155" s="111"/>
      <x:c r="M155" s="111"/>
      <x:c r="N155" s="111"/>
      <x:c r="O155" s="111"/>
      <x:c r="P155" s="111"/>
      <x:c r="Q155" s="111"/>
      <x:c r="R155" s="111"/>
      <x:c r="S155" s="111"/>
      <x:c r="T155" s="111"/>
    </x:row>
    <x:row r="156">
      <x:c r="A156" s="111"/>
      <x:c r="B156" s="111"/>
      <x:c r="C156" s="111"/>
      <x:c r="D156" s="111"/>
      <x:c r="E156" s="111"/>
      <x:c r="F156" s="111"/>
      <x:c r="G156" s="111"/>
      <x:c r="H156" s="111"/>
      <x:c r="I156" s="111"/>
      <x:c r="J156" s="111"/>
      <x:c r="K156" s="111"/>
      <x:c r="L156" s="111"/>
      <x:c r="M156" s="111"/>
      <x:c r="N156" s="111"/>
      <x:c r="O156" s="111"/>
      <x:c r="P156" s="111"/>
      <x:c r="Q156" s="111"/>
      <x:c r="R156" s="111"/>
      <x:c r="S156" s="111"/>
      <x:c r="T156" s="111"/>
    </x:row>
    <x:row r="157">
      <x:c r="A157" s="111"/>
      <x:c r="B157" s="111"/>
      <x:c r="C157" s="111"/>
      <x:c r="D157" s="111"/>
      <x:c r="E157" s="111"/>
      <x:c r="F157" s="111"/>
      <x:c r="G157" s="111"/>
      <x:c r="H157" s="111"/>
      <x:c r="I157" s="111"/>
      <x:c r="J157" s="111"/>
      <x:c r="K157" s="111"/>
      <x:c r="L157" s="111"/>
      <x:c r="M157" s="111"/>
      <x:c r="N157" s="111"/>
      <x:c r="O157" s="111"/>
      <x:c r="P157" s="111"/>
      <x:c r="Q157" s="111"/>
      <x:c r="R157" s="111"/>
      <x:c r="S157" s="111"/>
      <x:c r="T157" s="111"/>
    </x:row>
    <x:row r="158">
      <x:c r="A158" s="111"/>
      <x:c r="B158" s="111"/>
      <x:c r="C158" s="111"/>
      <x:c r="D158" s="111"/>
      <x:c r="E158" s="111"/>
      <x:c r="F158" s="111"/>
      <x:c r="G158" s="111"/>
      <x:c r="H158" s="111"/>
      <x:c r="I158" s="111"/>
      <x:c r="J158" s="111"/>
      <x:c r="K158" s="111"/>
      <x:c r="L158" s="111"/>
      <x:c r="M158" s="111"/>
      <x:c r="N158" s="111"/>
      <x:c r="O158" s="111"/>
      <x:c r="P158" s="111"/>
      <x:c r="Q158" s="111"/>
      <x:c r="R158" s="111"/>
      <x:c r="S158" s="111"/>
      <x:c r="T158" s="111"/>
    </x:row>
    <x:row r="159">
      <x:c r="A159" s="111"/>
      <x:c r="B159" s="111"/>
      <x:c r="C159" s="111"/>
      <x:c r="D159" s="111"/>
      <x:c r="E159" s="111"/>
      <x:c r="F159" s="111"/>
      <x:c r="G159" s="111"/>
      <x:c r="H159" s="111"/>
      <x:c r="I159" s="111"/>
      <x:c r="J159" s="111"/>
      <x:c r="K159" s="111"/>
      <x:c r="L159" s="111"/>
      <x:c r="M159" s="111"/>
      <x:c r="N159" s="111"/>
      <x:c r="O159" s="111"/>
      <x:c r="P159" s="111"/>
      <x:c r="Q159" s="111"/>
      <x:c r="R159" s="111"/>
      <x:c r="S159" s="111"/>
      <x:c r="T159" s="111"/>
    </x:row>
    <x:row r="160">
      <x:c r="A160" s="111"/>
      <x:c r="B160" s="111"/>
      <x:c r="C160" s="111"/>
      <x:c r="D160" s="111"/>
      <x:c r="E160" s="111"/>
      <x:c r="F160" s="111"/>
      <x:c r="G160" s="111"/>
      <x:c r="H160" s="111"/>
      <x:c r="I160" s="111"/>
      <x:c r="J160" s="111"/>
      <x:c r="K160" s="111"/>
      <x:c r="L160" s="111"/>
      <x:c r="M160" s="111"/>
      <x:c r="N160" s="111"/>
      <x:c r="O160" s="111"/>
      <x:c r="P160" s="111"/>
      <x:c r="Q160" s="111"/>
      <x:c r="R160" s="111"/>
      <x:c r="S160" s="111"/>
      <x:c r="T160" s="111"/>
    </x:row>
    <x:row r="161">
      <x:c r="A161" s="111"/>
      <x:c r="B161" s="111"/>
      <x:c r="C161" s="111"/>
      <x:c r="D161" s="111"/>
      <x:c r="E161" s="111"/>
      <x:c r="F161" s="111"/>
      <x:c r="G161" s="111"/>
      <x:c r="H161" s="111"/>
      <x:c r="I161" s="111"/>
      <x:c r="J161" s="111"/>
      <x:c r="K161" s="111"/>
      <x:c r="L161" s="111"/>
      <x:c r="M161" s="111"/>
      <x:c r="N161" s="111"/>
      <x:c r="O161" s="111"/>
      <x:c r="P161" s="111"/>
      <x:c r="Q161" s="111"/>
      <x:c r="R161" s="111"/>
      <x:c r="S161" s="111"/>
      <x:c r="T161" s="111"/>
    </x:row>
    <x:row r="162">
      <x:c r="A162" s="111"/>
      <x:c r="B162" s="111"/>
      <x:c r="C162" s="111"/>
      <x:c r="D162" s="111"/>
      <x:c r="E162" s="111"/>
      <x:c r="F162" s="111"/>
      <x:c r="G162" s="111"/>
      <x:c r="H162" s="111"/>
      <x:c r="I162" s="111"/>
      <x:c r="J162" s="111"/>
      <x:c r="K162" s="111"/>
      <x:c r="L162" s="111"/>
      <x:c r="M162" s="111"/>
      <x:c r="N162" s="111"/>
      <x:c r="O162" s="111"/>
      <x:c r="P162" s="111"/>
      <x:c r="Q162" s="111"/>
      <x:c r="R162" s="111"/>
      <x:c r="S162" s="111"/>
      <x:c r="T162" s="111"/>
    </x:row>
    <x:row r="163">
      <x:c r="A163" s="111"/>
      <x:c r="B163" s="111"/>
      <x:c r="C163" s="111"/>
      <x:c r="D163" s="111"/>
      <x:c r="E163" s="111"/>
      <x:c r="F163" s="111"/>
      <x:c r="G163" s="111"/>
      <x:c r="H163" s="111"/>
      <x:c r="I163" s="111"/>
      <x:c r="J163" s="111"/>
      <x:c r="K163" s="111"/>
      <x:c r="L163" s="111"/>
      <x:c r="M163" s="111"/>
      <x:c r="N163" s="111"/>
      <x:c r="O163" s="111"/>
      <x:c r="P163" s="111"/>
      <x:c r="Q163" s="111"/>
      <x:c r="R163" s="111"/>
      <x:c r="S163" s="111"/>
      <x:c r="T163" s="111"/>
    </x:row>
    <x:row r="164">
      <x:c r="A164" s="111"/>
      <x:c r="B164" s="111"/>
      <x:c r="C164" s="111"/>
      <x:c r="D164" s="111"/>
      <x:c r="E164" s="111"/>
      <x:c r="F164" s="111"/>
      <x:c r="G164" s="111"/>
      <x:c r="H164" s="111"/>
      <x:c r="I164" s="111"/>
      <x:c r="J164" s="111"/>
      <x:c r="K164" s="111"/>
      <x:c r="L164" s="111"/>
      <x:c r="M164" s="111"/>
      <x:c r="N164" s="111"/>
      <x:c r="O164" s="111"/>
      <x:c r="P164" s="111"/>
      <x:c r="Q164" s="111"/>
      <x:c r="R164" s="111"/>
      <x:c r="S164" s="111"/>
      <x:c r="T164" s="111"/>
    </x:row>
    <x:row r="165">
      <x:c r="A165" s="111"/>
      <x:c r="B165" s="111"/>
      <x:c r="C165" s="111"/>
      <x:c r="D165" s="111"/>
      <x:c r="E165" s="111"/>
      <x:c r="F165" s="111"/>
      <x:c r="G165" s="111"/>
      <x:c r="H165" s="111"/>
      <x:c r="I165" s="111"/>
      <x:c r="J165" s="111"/>
      <x:c r="K165" s="111"/>
      <x:c r="L165" s="111"/>
      <x:c r="M165" s="111"/>
      <x:c r="N165" s="111"/>
      <x:c r="O165" s="111"/>
      <x:c r="P165" s="111"/>
      <x:c r="Q165" s="111"/>
      <x:c r="R165" s="111"/>
      <x:c r="S165" s="111"/>
      <x:c r="T165" s="111"/>
    </x:row>
    <x:row r="166">
      <x:c r="A166" s="111"/>
      <x:c r="B166" s="111"/>
      <x:c r="C166" s="111"/>
      <x:c r="D166" s="111"/>
      <x:c r="E166" s="111"/>
      <x:c r="F166" s="111"/>
      <x:c r="G166" s="111"/>
      <x:c r="H166" s="111"/>
      <x:c r="I166" s="111"/>
      <x:c r="J166" s="111"/>
      <x:c r="K166" s="111"/>
      <x:c r="L166" s="111"/>
      <x:c r="M166" s="111"/>
      <x:c r="N166" s="111"/>
      <x:c r="O166" s="111"/>
      <x:c r="P166" s="111"/>
      <x:c r="Q166" s="111"/>
      <x:c r="R166" s="111"/>
      <x:c r="S166" s="111"/>
      <x:c r="T166" s="111"/>
    </x:row>
    <x:row r="167">
      <x:c r="A167" s="111"/>
      <x:c r="B167" s="111"/>
      <x:c r="C167" s="111"/>
      <x:c r="D167" s="111"/>
      <x:c r="E167" s="111"/>
      <x:c r="F167" s="111"/>
      <x:c r="G167" s="111"/>
      <x:c r="H167" s="111"/>
      <x:c r="I167" s="111"/>
      <x:c r="J167" s="111"/>
      <x:c r="K167" s="111"/>
      <x:c r="L167" s="111"/>
      <x:c r="M167" s="111"/>
      <x:c r="N167" s="111"/>
      <x:c r="O167" s="111"/>
      <x:c r="P167" s="111"/>
      <x:c r="Q167" s="111"/>
      <x:c r="R167" s="111"/>
      <x:c r="S167" s="111"/>
      <x:c r="T167" s="111"/>
    </x:row>
    <x:row r="168">
      <x:c r="A168" s="111"/>
      <x:c r="B168" s="111"/>
      <x:c r="C168" s="111"/>
      <x:c r="D168" s="111"/>
      <x:c r="E168" s="111"/>
      <x:c r="F168" s="111"/>
      <x:c r="G168" s="111"/>
      <x:c r="H168" s="111"/>
      <x:c r="I168" s="111"/>
      <x:c r="J168" s="111"/>
      <x:c r="K168" s="111"/>
      <x:c r="L168" s="111"/>
      <x:c r="M168" s="111"/>
      <x:c r="N168" s="111"/>
      <x:c r="O168" s="111"/>
      <x:c r="P168" s="111"/>
      <x:c r="Q168" s="111"/>
      <x:c r="R168" s="111"/>
      <x:c r="S168" s="111"/>
      <x:c r="T168" s="111"/>
    </x:row>
    <x:row r="169">
      <x:c r="A169" s="111"/>
      <x:c r="B169" s="111"/>
      <x:c r="C169" s="111"/>
      <x:c r="D169" s="111"/>
      <x:c r="E169" s="111"/>
      <x:c r="F169" s="111"/>
      <x:c r="G169" s="111"/>
      <x:c r="H169" s="111"/>
      <x:c r="I169" s="111"/>
      <x:c r="J169" s="111"/>
      <x:c r="K169" s="111"/>
      <x:c r="L169" s="111"/>
      <x:c r="M169" s="111"/>
      <x:c r="N169" s="111"/>
      <x:c r="O169" s="111"/>
      <x:c r="P169" s="111"/>
      <x:c r="Q169" s="111"/>
      <x:c r="R169" s="111"/>
      <x:c r="S169" s="111"/>
      <x:c r="T169" s="111"/>
    </x:row>
    <x:row r="170">
      <x:c r="A170" s="111"/>
      <x:c r="B170" s="111"/>
      <x:c r="C170" s="111"/>
      <x:c r="D170" s="111"/>
      <x:c r="E170" s="111"/>
      <x:c r="F170" s="111"/>
      <x:c r="G170" s="111"/>
      <x:c r="H170" s="111"/>
      <x:c r="I170" s="111"/>
      <x:c r="J170" s="111"/>
      <x:c r="K170" s="111"/>
      <x:c r="L170" s="111"/>
      <x:c r="M170" s="111"/>
      <x:c r="N170" s="111"/>
      <x:c r="O170" s="111"/>
      <x:c r="P170" s="111"/>
      <x:c r="Q170" s="111"/>
      <x:c r="R170" s="111"/>
      <x:c r="S170" s="111"/>
      <x:c r="T170" s="111"/>
    </x:row>
    <x:row r="171">
      <x:c r="A171" s="111"/>
      <x:c r="B171" s="111"/>
      <x:c r="C171" s="111"/>
      <x:c r="D171" s="111"/>
      <x:c r="E171" s="111"/>
      <x:c r="F171" s="111"/>
      <x:c r="G171" s="111"/>
      <x:c r="H171" s="111"/>
      <x:c r="I171" s="111"/>
      <x:c r="J171" s="111"/>
      <x:c r="K171" s="111"/>
      <x:c r="L171" s="111"/>
      <x:c r="M171" s="111"/>
      <x:c r="N171" s="111"/>
      <x:c r="O171" s="111"/>
      <x:c r="P171" s="111"/>
      <x:c r="Q171" s="111"/>
      <x:c r="R171" s="111"/>
      <x:c r="S171" s="111"/>
      <x:c r="T171" s="111"/>
    </x:row>
    <x:row r="172">
      <x:c r="A172" s="111"/>
      <x:c r="B172" s="111"/>
      <x:c r="C172" s="111"/>
      <x:c r="D172" s="111"/>
      <x:c r="E172" s="111"/>
      <x:c r="F172" s="111"/>
      <x:c r="G172" s="111"/>
      <x:c r="H172" s="111"/>
      <x:c r="I172" s="111"/>
      <x:c r="J172" s="111"/>
      <x:c r="K172" s="111"/>
      <x:c r="L172" s="111"/>
      <x:c r="M172" s="111"/>
      <x:c r="N172" s="111"/>
      <x:c r="O172" s="111"/>
      <x:c r="P172" s="111"/>
      <x:c r="Q172" s="111"/>
      <x:c r="R172" s="111"/>
      <x:c r="S172" s="111"/>
      <x:c r="T172" s="111"/>
    </x:row>
    <x:row r="173">
      <x:c r="A173" s="111"/>
      <x:c r="B173" s="111"/>
      <x:c r="C173" s="111"/>
      <x:c r="D173" s="111"/>
      <x:c r="E173" s="111"/>
      <x:c r="F173" s="111"/>
      <x:c r="G173" s="111"/>
      <x:c r="H173" s="111"/>
      <x:c r="I173" s="111"/>
      <x:c r="J173" s="111"/>
      <x:c r="K173" s="111"/>
      <x:c r="L173" s="111"/>
      <x:c r="M173" s="111"/>
      <x:c r="N173" s="111"/>
      <x:c r="O173" s="111"/>
      <x:c r="P173" s="111"/>
      <x:c r="Q173" s="111"/>
      <x:c r="R173" s="111"/>
      <x:c r="S173" s="111"/>
      <x:c r="T173" s="111"/>
    </x:row>
    <x:row r="174">
      <x:c r="A174" s="111"/>
      <x:c r="B174" s="111"/>
      <x:c r="C174" s="111"/>
      <x:c r="D174" s="111"/>
      <x:c r="E174" s="111"/>
      <x:c r="F174" s="111"/>
      <x:c r="G174" s="111"/>
      <x:c r="H174" s="111"/>
      <x:c r="I174" s="111"/>
      <x:c r="J174" s="111"/>
      <x:c r="K174" s="111"/>
      <x:c r="L174" s="111"/>
      <x:c r="M174" s="111"/>
      <x:c r="N174" s="111"/>
      <x:c r="O174" s="111"/>
      <x:c r="P174" s="111"/>
      <x:c r="Q174" s="111"/>
      <x:c r="R174" s="111"/>
      <x:c r="S174" s="111"/>
      <x:c r="T174" s="111"/>
    </x:row>
    <x:row r="175">
      <x:c r="A175" s="111"/>
      <x:c r="B175" s="111"/>
      <x:c r="C175" s="111"/>
      <x:c r="D175" s="111"/>
      <x:c r="E175" s="111"/>
      <x:c r="F175" s="111"/>
      <x:c r="G175" s="111"/>
      <x:c r="H175" s="111"/>
      <x:c r="I175" s="111"/>
      <x:c r="J175" s="111"/>
      <x:c r="K175" s="111"/>
      <x:c r="L175" s="111"/>
      <x:c r="M175" s="111"/>
      <x:c r="N175" s="111"/>
      <x:c r="O175" s="111"/>
      <x:c r="P175" s="111"/>
      <x:c r="Q175" s="111"/>
      <x:c r="R175" s="111"/>
      <x:c r="S175" s="111"/>
      <x:c r="T175" s="111"/>
    </x:row>
    <x:row r="176">
      <x:c r="A176" s="111"/>
      <x:c r="B176" s="111"/>
      <x:c r="C176" s="111"/>
      <x:c r="D176" s="111"/>
      <x:c r="E176" s="111"/>
      <x:c r="F176" s="111"/>
      <x:c r="G176" s="111"/>
      <x:c r="H176" s="111"/>
      <x:c r="I176" s="111"/>
      <x:c r="J176" s="111"/>
      <x:c r="K176" s="111"/>
      <x:c r="L176" s="111"/>
      <x:c r="M176" s="111"/>
      <x:c r="N176" s="111"/>
      <x:c r="O176" s="111"/>
      <x:c r="P176" s="111"/>
      <x:c r="Q176" s="111"/>
      <x:c r="R176" s="111"/>
      <x:c r="S176" s="111"/>
      <x:c r="T176" s="111"/>
    </x:row>
    <x:row r="177">
      <x:c r="A177" s="111"/>
      <x:c r="B177" s="111"/>
      <x:c r="C177" s="111"/>
      <x:c r="D177" s="111"/>
      <x:c r="E177" s="111"/>
      <x:c r="F177" s="111"/>
      <x:c r="G177" s="111"/>
      <x:c r="H177" s="111"/>
      <x:c r="I177" s="111"/>
      <x:c r="J177" s="111"/>
      <x:c r="K177" s="111"/>
      <x:c r="L177" s="111"/>
      <x:c r="M177" s="111"/>
      <x:c r="N177" s="111"/>
      <x:c r="O177" s="111"/>
      <x:c r="P177" s="111"/>
      <x:c r="Q177" s="111"/>
      <x:c r="R177" s="111"/>
      <x:c r="S177" s="111"/>
      <x:c r="T177" s="111"/>
    </x:row>
    <x:row r="178">
      <x:c r="A178" s="111"/>
      <x:c r="B178" s="111"/>
      <x:c r="C178" s="111"/>
      <x:c r="D178" s="111"/>
      <x:c r="E178" s="111"/>
      <x:c r="F178" s="111"/>
      <x:c r="G178" s="111"/>
      <x:c r="H178" s="111"/>
      <x:c r="I178" s="111"/>
      <x:c r="J178" s="111"/>
      <x:c r="K178" s="111"/>
      <x:c r="L178" s="111"/>
      <x:c r="M178" s="111"/>
      <x:c r="N178" s="111"/>
      <x:c r="O178" s="111"/>
      <x:c r="P178" s="111"/>
      <x:c r="Q178" s="111"/>
      <x:c r="R178" s="111"/>
      <x:c r="S178" s="111"/>
      <x:c r="T178" s="111"/>
    </x:row>
    <x:row r="179">
      <x:c r="A179" s="111"/>
      <x:c r="B179" s="111"/>
      <x:c r="C179" s="111"/>
      <x:c r="D179" s="111"/>
      <x:c r="E179" s="111"/>
      <x:c r="F179" s="111"/>
      <x:c r="G179" s="111"/>
      <x:c r="H179" s="111"/>
      <x:c r="I179" s="111"/>
      <x:c r="J179" s="111"/>
      <x:c r="K179" s="111"/>
      <x:c r="L179" s="111"/>
      <x:c r="M179" s="111"/>
      <x:c r="N179" s="111"/>
      <x:c r="O179" s="111"/>
      <x:c r="P179" s="111"/>
      <x:c r="Q179" s="111"/>
      <x:c r="R179" s="111"/>
      <x:c r="S179" s="111"/>
      <x:c r="T179" s="111"/>
    </x:row>
    <x:row r="180">
      <x:c r="A180" s="111"/>
      <x:c r="B180" s="111"/>
      <x:c r="C180" s="111"/>
      <x:c r="D180" s="111"/>
      <x:c r="E180" s="111"/>
      <x:c r="F180" s="111"/>
      <x:c r="G180" s="111"/>
      <x:c r="H180" s="111"/>
      <x:c r="I180" s="111"/>
      <x:c r="J180" s="111"/>
      <x:c r="K180" s="111"/>
      <x:c r="L180" s="111"/>
      <x:c r="M180" s="111"/>
      <x:c r="N180" s="111"/>
      <x:c r="O180" s="111"/>
      <x:c r="P180" s="111"/>
      <x:c r="Q180" s="111"/>
      <x:c r="R180" s="111"/>
      <x:c r="S180" s="111"/>
      <x:c r="T180" s="111"/>
    </x:row>
    <x:row r="181">
      <x:c r="A181" s="111"/>
      <x:c r="B181" s="111"/>
      <x:c r="C181" s="111"/>
      <x:c r="D181" s="111"/>
      <x:c r="E181" s="111"/>
      <x:c r="F181" s="111"/>
      <x:c r="G181" s="111"/>
      <x:c r="H181" s="111"/>
      <x:c r="I181" s="111"/>
      <x:c r="J181" s="111"/>
      <x:c r="K181" s="111"/>
      <x:c r="L181" s="111"/>
      <x:c r="M181" s="111"/>
      <x:c r="N181" s="111"/>
      <x:c r="O181" s="111"/>
      <x:c r="P181" s="111"/>
      <x:c r="Q181" s="111"/>
      <x:c r="R181" s="111"/>
      <x:c r="S181" s="111"/>
      <x:c r="T181" s="111"/>
    </x:row>
    <x:row r="182">
      <x:c r="A182" s="111"/>
      <x:c r="B182" s="111"/>
      <x:c r="C182" s="111"/>
      <x:c r="D182" s="111"/>
      <x:c r="E182" s="111"/>
      <x:c r="F182" s="111"/>
      <x:c r="G182" s="111"/>
      <x:c r="H182" s="111"/>
      <x:c r="I182" s="111"/>
      <x:c r="J182" s="111"/>
      <x:c r="K182" s="111"/>
      <x:c r="L182" s="111"/>
      <x:c r="M182" s="111"/>
      <x:c r="N182" s="111"/>
      <x:c r="O182" s="111"/>
      <x:c r="P182" s="111"/>
      <x:c r="Q182" s="111"/>
      <x:c r="R182" s="111"/>
      <x:c r="S182" s="111"/>
      <x:c r="T182" s="111"/>
    </x:row>
    <x:row r="183">
      <x:c r="A183" s="111"/>
      <x:c r="B183" s="111"/>
      <x:c r="C183" s="111"/>
      <x:c r="D183" s="111"/>
      <x:c r="E183" s="111"/>
      <x:c r="F183" s="111"/>
      <x:c r="G183" s="111"/>
      <x:c r="H183" s="111"/>
      <x:c r="I183" s="111"/>
      <x:c r="J183" s="111"/>
      <x:c r="K183" s="111"/>
      <x:c r="L183" s="111"/>
      <x:c r="M183" s="111"/>
      <x:c r="N183" s="111"/>
      <x:c r="O183" s="111"/>
      <x:c r="P183" s="111"/>
      <x:c r="Q183" s="111"/>
      <x:c r="R183" s="111"/>
      <x:c r="S183" s="111"/>
      <x:c r="T183" s="111"/>
    </x:row>
    <x:row r="184">
      <x:c r="A184" s="111"/>
      <x:c r="B184" s="111"/>
      <x:c r="C184" s="111"/>
      <x:c r="D184" s="111"/>
      <x:c r="E184" s="111"/>
      <x:c r="F184" s="111"/>
      <x:c r="G184" s="111"/>
      <x:c r="H184" s="111"/>
      <x:c r="I184" s="111"/>
      <x:c r="J184" s="111"/>
      <x:c r="K184" s="111"/>
      <x:c r="L184" s="111"/>
      <x:c r="M184" s="111"/>
      <x:c r="N184" s="111"/>
      <x:c r="O184" s="111"/>
      <x:c r="P184" s="111"/>
      <x:c r="Q184" s="111"/>
      <x:c r="R184" s="111"/>
      <x:c r="S184" s="111"/>
      <x:c r="T184" s="111"/>
    </x:row>
    <x:row r="185">
      <x:c r="A185" s="111"/>
      <x:c r="B185" s="111"/>
      <x:c r="C185" s="111"/>
      <x:c r="D185" s="111"/>
      <x:c r="E185" s="111"/>
      <x:c r="F185" s="111"/>
      <x:c r="G185" s="111"/>
      <x:c r="H185" s="111"/>
      <x:c r="I185" s="111"/>
      <x:c r="J185" s="111"/>
      <x:c r="K185" s="111"/>
      <x:c r="L185" s="111"/>
      <x:c r="M185" s="111"/>
      <x:c r="N185" s="111"/>
      <x:c r="O185" s="111"/>
      <x:c r="P185" s="111"/>
      <x:c r="Q185" s="111"/>
      <x:c r="R185" s="111"/>
      <x:c r="S185" s="111"/>
      <x:c r="T185" s="111"/>
    </x:row>
    <x:row r="186">
      <x:c r="A186" s="111"/>
      <x:c r="B186" s="111"/>
      <x:c r="C186" s="111"/>
      <x:c r="D186" s="111"/>
      <x:c r="E186" s="111"/>
      <x:c r="F186" s="111"/>
      <x:c r="G186" s="111"/>
      <x:c r="H186" s="111"/>
      <x:c r="I186" s="111"/>
      <x:c r="J186" s="111"/>
      <x:c r="K186" s="111"/>
      <x:c r="L186" s="111"/>
      <x:c r="M186" s="111"/>
      <x:c r="N186" s="111"/>
      <x:c r="O186" s="111"/>
      <x:c r="P186" s="111"/>
      <x:c r="Q186" s="111"/>
      <x:c r="R186" s="111"/>
      <x:c r="S186" s="111"/>
      <x:c r="T186" s="111"/>
    </x:row>
    <x:row r="187">
      <x:c r="A187" s="111"/>
      <x:c r="B187" s="111"/>
      <x:c r="C187" s="111"/>
      <x:c r="D187" s="111"/>
      <x:c r="E187" s="111"/>
      <x:c r="F187" s="111"/>
      <x:c r="G187" s="111"/>
      <x:c r="H187" s="111"/>
      <x:c r="I187" s="111"/>
      <x:c r="J187" s="111"/>
      <x:c r="K187" s="111"/>
      <x:c r="L187" s="111"/>
      <x:c r="M187" s="111"/>
      <x:c r="N187" s="111"/>
      <x:c r="O187" s="111"/>
      <x:c r="P187" s="111"/>
      <x:c r="Q187" s="111"/>
      <x:c r="R187" s="111"/>
      <x:c r="S187" s="111"/>
      <x:c r="T187" s="111"/>
    </x:row>
    <x:row r="188">
      <x:c r="A188" s="111"/>
      <x:c r="B188" s="111"/>
      <x:c r="C188" s="111"/>
      <x:c r="D188" s="111"/>
      <x:c r="E188" s="111"/>
      <x:c r="F188" s="111"/>
      <x:c r="G188" s="111"/>
      <x:c r="H188" s="111"/>
      <x:c r="I188" s="111"/>
      <x:c r="J188" s="111"/>
      <x:c r="K188" s="111"/>
      <x:c r="L188" s="111"/>
      <x:c r="M188" s="111"/>
      <x:c r="N188" s="111"/>
      <x:c r="O188" s="111"/>
      <x:c r="P188" s="111"/>
      <x:c r="Q188" s="111"/>
      <x:c r="R188" s="111"/>
      <x:c r="S188" s="111"/>
      <x:c r="T188" s="111"/>
    </x:row>
    <x:row r="189">
      <x:c r="A189" s="111"/>
      <x:c r="B189" s="111"/>
      <x:c r="C189" s="111"/>
      <x:c r="D189" s="111"/>
      <x:c r="E189" s="111"/>
      <x:c r="F189" s="111"/>
      <x:c r="G189" s="111"/>
      <x:c r="H189" s="111"/>
      <x:c r="I189" s="111"/>
      <x:c r="J189" s="111"/>
      <x:c r="K189" s="111"/>
      <x:c r="L189" s="111"/>
      <x:c r="M189" s="111"/>
      <x:c r="N189" s="111"/>
      <x:c r="O189" s="111"/>
      <x:c r="P189" s="111"/>
      <x:c r="Q189" s="111"/>
      <x:c r="R189" s="111"/>
      <x:c r="S189" s="111"/>
      <x:c r="T189" s="111"/>
    </x:row>
    <x:row r="190">
      <x:c r="A190" s="111"/>
      <x:c r="B190" s="111"/>
      <x:c r="C190" s="111"/>
      <x:c r="D190" s="111"/>
      <x:c r="E190" s="111"/>
      <x:c r="F190" s="111"/>
      <x:c r="G190" s="111"/>
      <x:c r="H190" s="111"/>
      <x:c r="I190" s="111"/>
      <x:c r="J190" s="111"/>
      <x:c r="K190" s="111"/>
      <x:c r="L190" s="111"/>
      <x:c r="M190" s="111"/>
      <x:c r="N190" s="111"/>
      <x:c r="O190" s="111"/>
      <x:c r="P190" s="111"/>
      <x:c r="Q190" s="111"/>
      <x:c r="R190" s="111"/>
      <x:c r="S190" s="111"/>
      <x:c r="T190" s="111"/>
    </x:row>
    <x:row r="191">
      <x:c r="A191" s="111"/>
      <x:c r="B191" s="111"/>
      <x:c r="C191" s="111"/>
      <x:c r="D191" s="111"/>
      <x:c r="E191" s="111"/>
      <x:c r="F191" s="111"/>
      <x:c r="G191" s="111"/>
      <x:c r="H191" s="111"/>
      <x:c r="I191" s="111"/>
      <x:c r="J191" s="111"/>
      <x:c r="K191" s="111"/>
      <x:c r="L191" s="111"/>
      <x:c r="M191" s="111"/>
      <x:c r="N191" s="111"/>
      <x:c r="O191" s="111"/>
      <x:c r="P191" s="111"/>
      <x:c r="Q191" s="111"/>
      <x:c r="R191" s="111"/>
      <x:c r="S191" s="111"/>
      <x:c r="T191" s="111"/>
    </x:row>
    <x:row r="192">
      <x:c r="A192" s="111"/>
      <x:c r="B192" s="111"/>
      <x:c r="C192" s="111"/>
      <x:c r="D192" s="111"/>
      <x:c r="E192" s="111"/>
      <x:c r="F192" s="111"/>
      <x:c r="G192" s="111"/>
      <x:c r="H192" s="111"/>
      <x:c r="I192" s="111"/>
      <x:c r="J192" s="111"/>
      <x:c r="K192" s="111"/>
      <x:c r="L192" s="111"/>
      <x:c r="M192" s="111"/>
      <x:c r="N192" s="111"/>
      <x:c r="O192" s="111"/>
      <x:c r="P192" s="111"/>
      <x:c r="Q192" s="111"/>
      <x:c r="R192" s="111"/>
      <x:c r="S192" s="111"/>
      <x:c r="T192" s="111"/>
    </x:row>
    <x:row r="193">
      <x:c r="A193" s="111"/>
      <x:c r="B193" s="111"/>
      <x:c r="C193" s="111"/>
      <x:c r="D193" s="111"/>
      <x:c r="E193" s="111"/>
      <x:c r="F193" s="111"/>
      <x:c r="G193" s="111"/>
      <x:c r="H193" s="111"/>
      <x:c r="I193" s="111"/>
      <x:c r="J193" s="111"/>
      <x:c r="K193" s="111"/>
      <x:c r="L193" s="111"/>
      <x:c r="M193" s="111"/>
      <x:c r="N193" s="111"/>
      <x:c r="O193" s="111"/>
      <x:c r="P193" s="111"/>
      <x:c r="Q193" s="111"/>
      <x:c r="R193" s="111"/>
      <x:c r="S193" s="111"/>
      <x:c r="T193" s="111"/>
    </x:row>
    <x:row r="194">
      <x:c r="A194" s="111"/>
      <x:c r="B194" s="111"/>
      <x:c r="C194" s="111"/>
      <x:c r="D194" s="111"/>
      <x:c r="E194" s="111"/>
      <x:c r="F194" s="111"/>
      <x:c r="G194" s="111"/>
      <x:c r="H194" s="111"/>
      <x:c r="I194" s="111"/>
      <x:c r="J194" s="111"/>
      <x:c r="K194" s="111"/>
      <x:c r="L194" s="111"/>
      <x:c r="M194" s="111"/>
      <x:c r="N194" s="111"/>
      <x:c r="O194" s="111"/>
      <x:c r="P194" s="111"/>
      <x:c r="Q194" s="111"/>
      <x:c r="R194" s="111"/>
      <x:c r="S194" s="111"/>
      <x:c r="T194" s="111"/>
    </x:row>
    <x:row r="195">
      <x:c r="A195" s="111"/>
      <x:c r="B195" s="111"/>
      <x:c r="C195" s="111"/>
      <x:c r="D195" s="111"/>
      <x:c r="E195" s="111"/>
      <x:c r="F195" s="111"/>
      <x:c r="G195" s="111"/>
      <x:c r="H195" s="111"/>
      <x:c r="I195" s="111"/>
      <x:c r="J195" s="111"/>
      <x:c r="K195" s="111"/>
      <x:c r="L195" s="111"/>
      <x:c r="M195" s="111"/>
      <x:c r="N195" s="111"/>
      <x:c r="O195" s="111"/>
      <x:c r="P195" s="111"/>
      <x:c r="Q195" s="111"/>
      <x:c r="R195" s="111"/>
      <x:c r="S195" s="111"/>
      <x:c r="T195" s="111"/>
    </x:row>
    <x:row r="196">
      <x:c r="A196" s="111"/>
      <x:c r="B196" s="111"/>
      <x:c r="C196" s="111"/>
      <x:c r="D196" s="111"/>
      <x:c r="E196" s="111"/>
      <x:c r="F196" s="111"/>
      <x:c r="G196" s="111"/>
      <x:c r="H196" s="111"/>
      <x:c r="I196" s="111"/>
      <x:c r="J196" s="111"/>
      <x:c r="K196" s="111"/>
      <x:c r="L196" s="111"/>
      <x:c r="M196" s="111"/>
      <x:c r="N196" s="111"/>
      <x:c r="O196" s="111"/>
      <x:c r="P196" s="111"/>
      <x:c r="Q196" s="111"/>
      <x:c r="R196" s="111"/>
      <x:c r="S196" s="111"/>
      <x:c r="T196" s="111"/>
    </x:row>
    <x:row r="197">
      <x:c r="A197" s="111"/>
      <x:c r="B197" s="111"/>
      <x:c r="C197" s="111"/>
      <x:c r="D197" s="111"/>
      <x:c r="E197" s="111"/>
      <x:c r="F197" s="111"/>
      <x:c r="G197" s="111"/>
      <x:c r="H197" s="111"/>
      <x:c r="I197" s="111"/>
      <x:c r="J197" s="111"/>
      <x:c r="K197" s="111"/>
      <x:c r="L197" s="111"/>
      <x:c r="M197" s="111"/>
      <x:c r="N197" s="111"/>
      <x:c r="O197" s="111"/>
      <x:c r="P197" s="111"/>
      <x:c r="Q197" s="111"/>
      <x:c r="R197" s="111"/>
      <x:c r="S197" s="111"/>
      <x:c r="T197" s="111"/>
    </x:row>
    <x:row r="198">
      <x:c r="A198" s="111"/>
      <x:c r="B198" s="111"/>
      <x:c r="C198" s="111"/>
      <x:c r="D198" s="111"/>
      <x:c r="E198" s="111"/>
      <x:c r="F198" s="111"/>
      <x:c r="G198" s="111"/>
      <x:c r="H198" s="111"/>
      <x:c r="I198" s="111"/>
      <x:c r="J198" s="111"/>
      <x:c r="K198" s="111"/>
      <x:c r="L198" s="111"/>
      <x:c r="M198" s="111"/>
      <x:c r="N198" s="111"/>
      <x:c r="O198" s="111"/>
      <x:c r="P198" s="111"/>
      <x:c r="Q198" s="111"/>
      <x:c r="R198" s="111"/>
      <x:c r="S198" s="111"/>
      <x:c r="T198" s="111"/>
    </x:row>
    <x:row r="199">
      <x:c r="A199" s="111"/>
      <x:c r="B199" s="111"/>
      <x:c r="C199" s="111"/>
      <x:c r="D199" s="111"/>
      <x:c r="E199" s="111"/>
      <x:c r="F199" s="111"/>
      <x:c r="G199" s="111"/>
      <x:c r="H199" s="111"/>
      <x:c r="I199" s="111"/>
      <x:c r="J199" s="111"/>
      <x:c r="K199" s="111"/>
      <x:c r="L199" s="111"/>
      <x:c r="M199" s="111"/>
      <x:c r="N199" s="111"/>
      <x:c r="O199" s="111"/>
      <x:c r="P199" s="111"/>
      <x:c r="Q199" s="111"/>
      <x:c r="R199" s="111"/>
      <x:c r="S199" s="111"/>
      <x:c r="T199" s="111"/>
    </x:row>
    <x:row r="200">
      <x:c r="A200" s="111"/>
      <x:c r="B200" s="111"/>
      <x:c r="C200" s="111"/>
      <x:c r="D200" s="111"/>
      <x:c r="E200" s="111"/>
      <x:c r="F200" s="111"/>
      <x:c r="G200" s="111"/>
      <x:c r="H200" s="111"/>
      <x:c r="I200" s="111"/>
      <x:c r="J200" s="111"/>
      <x:c r="K200" s="111"/>
      <x:c r="L200" s="111"/>
      <x:c r="M200" s="111"/>
      <x:c r="N200" s="111"/>
      <x:c r="O200" s="111"/>
      <x:c r="P200" s="111"/>
      <x:c r="Q200" s="111"/>
      <x:c r="R200" s="111"/>
      <x:c r="S200" s="111"/>
      <x:c r="T200" s="111"/>
    </x:row>
    <x:row r="201">
      <x:c r="A201" s="111"/>
      <x:c r="B201" s="111"/>
      <x:c r="C201" s="111"/>
      <x:c r="D201" s="111"/>
      <x:c r="E201" s="111"/>
      <x:c r="F201" s="111"/>
      <x:c r="G201" s="111"/>
      <x:c r="H201" s="111"/>
      <x:c r="I201" s="111"/>
      <x:c r="J201" s="111"/>
      <x:c r="K201" s="111"/>
      <x:c r="L201" s="111"/>
      <x:c r="M201" s="111"/>
      <x:c r="N201" s="111"/>
      <x:c r="O201" s="111"/>
      <x:c r="P201" s="111"/>
      <x:c r="Q201" s="111"/>
      <x:c r="R201" s="111"/>
      <x:c r="S201" s="111"/>
      <x:c r="T201" s="111"/>
    </x:row>
    <x:row r="202">
      <x:c r="A202" s="111"/>
      <x:c r="B202" s="111"/>
      <x:c r="C202" s="111"/>
      <x:c r="D202" s="111"/>
      <x:c r="E202" s="111"/>
      <x:c r="F202" s="111"/>
      <x:c r="G202" s="111"/>
      <x:c r="H202" s="111"/>
      <x:c r="I202" s="111"/>
      <x:c r="J202" s="111"/>
      <x:c r="K202" s="111"/>
      <x:c r="L202" s="111"/>
      <x:c r="M202" s="111"/>
      <x:c r="N202" s="111"/>
      <x:c r="O202" s="111"/>
      <x:c r="P202" s="111"/>
      <x:c r="Q202" s="111"/>
      <x:c r="R202" s="111"/>
      <x:c r="S202" s="111"/>
      <x:c r="T202" s="111"/>
    </x:row>
    <x:row r="203">
      <x:c r="A203" s="111"/>
      <x:c r="B203" s="111"/>
      <x:c r="C203" s="111"/>
      <x:c r="D203" s="111"/>
      <x:c r="E203" s="111"/>
      <x:c r="F203" s="111"/>
      <x:c r="G203" s="111"/>
      <x:c r="H203" s="111"/>
      <x:c r="I203" s="111"/>
      <x:c r="J203" s="111"/>
      <x:c r="K203" s="111"/>
      <x:c r="L203" s="111"/>
      <x:c r="M203" s="111"/>
      <x:c r="N203" s="111"/>
      <x:c r="O203" s="111"/>
      <x:c r="P203" s="111"/>
      <x:c r="Q203" s="111"/>
      <x:c r="R203" s="111"/>
      <x:c r="S203" s="111"/>
      <x:c r="T203" s="111"/>
    </x:row>
    <x:row r="204">
      <x:c r="A204" s="111"/>
      <x:c r="B204" s="111"/>
      <x:c r="C204" s="111"/>
      <x:c r="D204" s="111"/>
      <x:c r="E204" s="111"/>
      <x:c r="F204" s="111"/>
      <x:c r="G204" s="111"/>
      <x:c r="H204" s="111"/>
      <x:c r="I204" s="111"/>
      <x:c r="J204" s="111"/>
      <x:c r="K204" s="111"/>
      <x:c r="L204" s="111"/>
      <x:c r="M204" s="111"/>
      <x:c r="N204" s="111"/>
      <x:c r="O204" s="111"/>
      <x:c r="P204" s="111"/>
      <x:c r="Q204" s="111"/>
      <x:c r="R204" s="111"/>
      <x:c r="S204" s="111"/>
      <x:c r="T204" s="111"/>
    </x:row>
    <x:row r="205">
      <x:c r="A205" s="111"/>
      <x:c r="B205" s="111"/>
      <x:c r="C205" s="111"/>
      <x:c r="D205" s="111"/>
      <x:c r="E205" s="111"/>
      <x:c r="F205" s="111"/>
      <x:c r="G205" s="111"/>
      <x:c r="H205" s="111"/>
      <x:c r="I205" s="111"/>
      <x:c r="J205" s="111"/>
      <x:c r="K205" s="111"/>
      <x:c r="L205" s="111"/>
      <x:c r="M205" s="111"/>
      <x:c r="N205" s="111"/>
      <x:c r="O205" s="111"/>
      <x:c r="P205" s="111"/>
      <x:c r="Q205" s="111"/>
      <x:c r="R205" s="111"/>
      <x:c r="S205" s="111"/>
      <x:c r="T205" s="111"/>
    </x:row>
  </x:sheetData>
  <x:dataValidations count="1">
    <x:dataValidation type="list" sqref="B6:B105">
      <x:formula1>"Own,Commission"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25a23057de4f9d"/>
  </x:tableParts>
</x:worksheet>
</file>

<file path=xl/worksheets/sheet7.xml><?xml version="1.0" encoding="utf-8"?>
<x:worksheet xmlns:x="http://schemas.openxmlformats.org/spreadsheetml/2006/main">
  <x:sheetPr>
    <x:tabColor rgb="FF92999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8" customHeight="1">
      <x:c r="A1" s="90"/>
      <x:c r="B1" s="90"/>
      <x:c r="C1" s="90"/>
      <x:c r="D1" s="90"/>
      <x:c r="E1" s="90"/>
      <x:c r="F1" s="90"/>
      <x:c r="G1" s="90"/>
      <x:c r="H1" s="90"/>
      <x:c r="I1" s="90"/>
      <x:c r="J1" s="111"/>
      <x:c r="K1" s="111"/>
      <x:c r="L1" s="111"/>
      <x:c r="M1" s="111"/>
      <x:c r="N1" s="111"/>
      <x:c r="O1" s="111"/>
      <x:c r="P1" s="111"/>
      <x:c r="Q1" s="111"/>
      <x:c r="R1" s="111"/>
      <x:c r="S1" s="111"/>
      <x:c r="T1" s="111"/>
    </x:row>
    <x:row r="2" ht="28" customHeight="1">
      <x:c r="A2" s="119" t="str">
        <x:v>Routes</x:v>
      </x:c>
      <x:c r="B2" s="90"/>
      <x:c r="C2" s="90"/>
      <x:c r="D2" s="90"/>
      <x:c r="E2" s="90"/>
      <x:c r="F2" s="90"/>
      <x:c r="G2" s="90"/>
      <x:c r="H2" s="90"/>
      <x:c r="I2" s="90"/>
      <x:c r="J2" s="111"/>
      <x:c r="K2" s="111"/>
      <x:c r="L2" s="111"/>
      <x:c r="M2" s="111"/>
      <x:c r="N2" s="111"/>
      <x:c r="O2" s="111"/>
      <x:c r="P2" s="111"/>
      <x:c r="Q2" s="111"/>
      <x:c r="R2" s="111"/>
      <x:c r="S2" s="111"/>
      <x:c r="T2" s="111"/>
    </x:row>
    <x:row r="3" ht="28" customHeight="1">
      <x:c r="A3" s="90" t="str">
        <x:v>Enter records in yellow cells.</x:v>
      </x:c>
      <x:c r="B3" s="90"/>
      <x:c r="C3" s="90"/>
      <x:c r="D3" s="90"/>
      <x:c r="E3" s="90"/>
      <x:c r="F3" s="90"/>
      <x:c r="G3" s="90"/>
      <x:c r="H3" s="90"/>
      <x:c r="I3" s="90"/>
      <x:c r="J3" s="111"/>
      <x:c r="K3" s="111"/>
      <x:c r="L3" s="111"/>
      <x:c r="M3" s="111"/>
      <x:c r="N3" s="111"/>
      <x:c r="O3" s="111"/>
      <x:c r="P3" s="111"/>
      <x:c r="Q3" s="111"/>
      <x:c r="R3" s="111"/>
      <x:c r="S3" s="111"/>
      <x:c r="T3" s="111"/>
    </x:row>
    <x:row r="4" ht="28" customHeight="1">
      <x:c r="A4" s="90"/>
      <x:c r="B4" s="90"/>
      <x:c r="C4" s="90"/>
      <x:c r="D4" s="90"/>
      <x:c r="E4" s="90"/>
      <x:c r="F4" s="90"/>
      <x:c r="G4" s="90"/>
      <x:c r="H4" s="90"/>
      <x:c r="I4" s="90"/>
      <x:c r="J4" s="111"/>
      <x:c r="K4" s="111"/>
      <x:c r="L4" s="111"/>
      <x:c r="M4" s="111"/>
      <x:c r="N4" s="111"/>
      <x:c r="O4" s="111"/>
      <x:c r="P4" s="111"/>
      <x:c r="Q4" s="111"/>
      <x:c r="R4" s="111"/>
      <x:c r="S4" s="111"/>
      <x:c r="T4" s="111"/>
    </x:row>
    <x:row r="5" ht="60" customHeight="1">
      <x:c r="A5" s="120" t="str">
        <x:v>Route</x:v>
      </x:c>
      <x:c r="B5" s="120" t="str">
        <x:v>Trips</x:v>
      </x:c>
      <x:c r="C5" s="120" t="str">
        <x:v>Total seats</x:v>
      </x:c>
      <x:c r="D5" s="120" t="str">
        <x:v>Sold seats</x:v>
      </x:c>
      <x:c r="E5" s="120" t="str">
        <x:v>Total fare</x:v>
      </x:c>
      <x:c r="F5" s="120" t="str">
        <x:v>Total commission</x:v>
      </x:c>
      <x:c r="G5" s="120" t="str">
        <x:v>Total income</x:v>
      </x:c>
      <x:c r="H5" s="120" t="str">
        <x:v>Total deposits</x:v>
      </x:c>
      <x:c r="I5" s="120" t="str">
        <x:v>Outstanding</x:v>
      </x:c>
      <x:c r="J5" s="111"/>
      <x:c r="K5" s="111"/>
      <x:c r="L5" s="111"/>
      <x:c r="M5" s="111"/>
      <x:c r="N5" s="111"/>
      <x:c r="O5" s="111"/>
      <x:c r="P5" s="111"/>
      <x:c r="Q5" s="111"/>
      <x:c r="R5" s="111"/>
      <x:c r="S5" s="111"/>
      <x:c r="T5" s="111"/>
    </x:row>
    <x:row r="6" ht="28" customHeight="1">
      <x:c r="A6" s="107" t="str">
        <x:f>IF('Route List'!F6="","",'Route List'!F6)</x:f>
        <x:v>Dhaka - Chattogram</x:v>
      </x:c>
      <x:c r="B6" s="90" t="n">
        <x:f>IF(A6="","",COUNTIFS(Trips!$D$6:$D$105,A6))</x:f>
        <x:v>0</x:v>
      </x:c>
      <x:c r="C6" s="90" t="n">
        <x:f>IF(A6="","",SUMIFS(Trips!$M$6:$M$105,Trips!$D$6:$D$105,A6))</x:f>
        <x:v>0</x:v>
      </x:c>
      <x:c r="D6" s="90" t="n">
        <x:f>IF(A6="","",SUMIFS(Trips!$N$6:$N$105,Trips!$D$6:$D$105,A6))</x:f>
        <x:v>0</x:v>
      </x:c>
      <x:c r="E6" s="98" t="n">
        <x:f>IF(A6="","",SUMIFS(Trips!$O$6:$O$105,Trips!$D$6:$D$105,A6))</x:f>
        <x:v>0</x:v>
      </x:c>
      <x:c r="F6" s="98" t="n">
        <x:f>IF(A6="","",SUMIFS(Trips!$P$6:$P$105,Trips!$D$6:$D$105,A6))</x:f>
        <x:v>0</x:v>
      </x:c>
      <x:c r="G6" s="98" t="n">
        <x:f>IF(A6="","",SUMIFS(Trips!$Q$6:$Q$105,Trips!$D$6:$D$105,A6))</x:f>
        <x:v>0</x:v>
      </x:c>
      <x:c r="H6" s="98" t="n">
        <x:f>IF(A6="","",SUMIFS(Trips!$R$6:$R$105,Trips!$D$6:$D$105,A6))</x:f>
        <x:v>0</x:v>
      </x:c>
      <x:c r="I6" s="98" t="n">
        <x:f>IF(A6="","",SUMIFS(Trips!$S$6:$S$105,Trips!$D$6:$D$105,A6))</x:f>
        <x:v>0</x:v>
      </x:c>
      <x:c r="J6" s="111"/>
      <x:c r="K6" s="111"/>
      <x:c r="L6" s="111"/>
      <x:c r="M6" s="111"/>
      <x:c r="N6" s="111"/>
      <x:c r="O6" s="111"/>
      <x:c r="P6" s="111"/>
      <x:c r="Q6" s="111"/>
      <x:c r="R6" s="111"/>
      <x:c r="S6" s="111"/>
      <x:c r="T6" s="111"/>
    </x:row>
    <x:row r="7" ht="28" customHeight="1">
      <x:c r="A7" s="107" t="str">
        <x:f>IF('Route List'!F7="","",'Route List'!F7)</x:f>
        <x:v>Chattogram - Dhaka</x:v>
      </x:c>
      <x:c r="B7" s="90" t="n">
        <x:f>IF(A7="","",COUNTIFS(Trips!$D$6:$D$105,A7))</x:f>
        <x:v>0</x:v>
      </x:c>
      <x:c r="C7" s="90" t="n">
        <x:f>IF(A7="","",SUMIFS(Trips!$M$6:$M$105,Trips!$D$6:$D$105,A7))</x:f>
        <x:v>0</x:v>
      </x:c>
      <x:c r="D7" s="90" t="n">
        <x:f>IF(A7="","",SUMIFS(Trips!$N$6:$N$105,Trips!$D$6:$D$105,A7))</x:f>
        <x:v>0</x:v>
      </x:c>
      <x:c r="E7" s="98" t="n">
        <x:f>IF(A7="","",SUMIFS(Trips!$O$6:$O$105,Trips!$D$6:$D$105,A7))</x:f>
        <x:v>0</x:v>
      </x:c>
      <x:c r="F7" s="98" t="n">
        <x:f>IF(A7="","",SUMIFS(Trips!$P$6:$P$105,Trips!$D$6:$D$105,A7))</x:f>
        <x:v>0</x:v>
      </x:c>
      <x:c r="G7" s="98" t="n">
        <x:f>IF(A7="","",SUMIFS(Trips!$Q$6:$Q$105,Trips!$D$6:$D$105,A7))</x:f>
        <x:v>0</x:v>
      </x:c>
      <x:c r="H7" s="98" t="n">
        <x:f>IF(A7="","",SUMIFS(Trips!$R$6:$R$105,Trips!$D$6:$D$105,A7))</x:f>
        <x:v>0</x:v>
      </x:c>
      <x:c r="I7" s="98" t="n">
        <x:f>IF(A7="","",SUMIFS(Trips!$S$6:$S$105,Trips!$D$6:$D$105,A7))</x:f>
        <x:v>0</x:v>
      </x:c>
      <x:c r="J7" s="111"/>
      <x:c r="K7" s="111"/>
      <x:c r="L7" s="111"/>
      <x:c r="M7" s="111"/>
      <x:c r="N7" s="111"/>
      <x:c r="O7" s="111"/>
      <x:c r="P7" s="111"/>
      <x:c r="Q7" s="111"/>
      <x:c r="R7" s="111"/>
      <x:c r="S7" s="111"/>
      <x:c r="T7" s="111"/>
    </x:row>
    <x:row r="8" ht="28" customHeight="1">
      <x:c r="A8" s="107" t="str">
        <x:f>IF('Route List'!F8="","",'Route List'!F8)</x:f>
        <x:v>Dhaka - Coxs Bazar</x:v>
      </x:c>
      <x:c r="B8" s="90" t="n">
        <x:f>IF(A8="","",COUNTIFS(Trips!$D$6:$D$105,A8))</x:f>
        <x:v>0</x:v>
      </x:c>
      <x:c r="C8" s="90" t="n">
        <x:f>IF(A8="","",SUMIFS(Trips!$M$6:$M$105,Trips!$D$6:$D$105,A8))</x:f>
        <x:v>0</x:v>
      </x:c>
      <x:c r="D8" s="90" t="n">
        <x:f>IF(A8="","",SUMIFS(Trips!$N$6:$N$105,Trips!$D$6:$D$105,A8))</x:f>
        <x:v>0</x:v>
      </x:c>
      <x:c r="E8" s="98" t="n">
        <x:f>IF(A8="","",SUMIFS(Trips!$O$6:$O$105,Trips!$D$6:$D$105,A8))</x:f>
        <x:v>0</x:v>
      </x:c>
      <x:c r="F8" s="98" t="n">
        <x:f>IF(A8="","",SUMIFS(Trips!$P$6:$P$105,Trips!$D$6:$D$105,A8))</x:f>
        <x:v>0</x:v>
      </x:c>
      <x:c r="G8" s="98" t="n">
        <x:f>IF(A8="","",SUMIFS(Trips!$Q$6:$Q$105,Trips!$D$6:$D$105,A8))</x:f>
        <x:v>0</x:v>
      </x:c>
      <x:c r="H8" s="98" t="n">
        <x:f>IF(A8="","",SUMIFS(Trips!$R$6:$R$105,Trips!$D$6:$D$105,A8))</x:f>
        <x:v>0</x:v>
      </x:c>
      <x:c r="I8" s="98" t="n">
        <x:f>IF(A8="","",SUMIFS(Trips!$S$6:$S$105,Trips!$D$6:$D$105,A8))</x:f>
        <x:v>0</x:v>
      </x:c>
      <x:c r="J8" s="111"/>
      <x:c r="K8" s="111"/>
      <x:c r="L8" s="111"/>
      <x:c r="M8" s="111"/>
      <x:c r="N8" s="111"/>
      <x:c r="O8" s="111"/>
      <x:c r="P8" s="111"/>
      <x:c r="Q8" s="111"/>
      <x:c r="R8" s="111"/>
      <x:c r="S8" s="111"/>
      <x:c r="T8" s="111"/>
    </x:row>
    <x:row r="9" ht="28" customHeight="1">
      <x:c r="A9" s="107" t="str">
        <x:f>IF('Route List'!F9="","",'Route List'!F9)</x:f>
        <x:v>Coxs Bazar - Dhaka</x:v>
      </x:c>
      <x:c r="B9" s="90" t="n">
        <x:f>IF(A9="","",COUNTIFS(Trips!$D$6:$D$105,A9))</x:f>
        <x:v>0</x:v>
      </x:c>
      <x:c r="C9" s="90" t="n">
        <x:f>IF(A9="","",SUMIFS(Trips!$M$6:$M$105,Trips!$D$6:$D$105,A9))</x:f>
        <x:v>0</x:v>
      </x:c>
      <x:c r="D9" s="90" t="n">
        <x:f>IF(A9="","",SUMIFS(Trips!$N$6:$N$105,Trips!$D$6:$D$105,A9))</x:f>
        <x:v>0</x:v>
      </x:c>
      <x:c r="E9" s="98" t="n">
        <x:f>IF(A9="","",SUMIFS(Trips!$O$6:$O$105,Trips!$D$6:$D$105,A9))</x:f>
        <x:v>0</x:v>
      </x:c>
      <x:c r="F9" s="98" t="n">
        <x:f>IF(A9="","",SUMIFS(Trips!$P$6:$P$105,Trips!$D$6:$D$105,A9))</x:f>
        <x:v>0</x:v>
      </x:c>
      <x:c r="G9" s="98" t="n">
        <x:f>IF(A9="","",SUMIFS(Trips!$Q$6:$Q$105,Trips!$D$6:$D$105,A9))</x:f>
        <x:v>0</x:v>
      </x:c>
      <x:c r="H9" s="98" t="n">
        <x:f>IF(A9="","",SUMIFS(Trips!$R$6:$R$105,Trips!$D$6:$D$105,A9))</x:f>
        <x:v>0</x:v>
      </x:c>
      <x:c r="I9" s="98" t="n">
        <x:f>IF(A9="","",SUMIFS(Trips!$S$6:$S$105,Trips!$D$6:$D$105,A9))</x:f>
        <x:v>0</x:v>
      </x:c>
      <x:c r="J9" s="111"/>
      <x:c r="K9" s="111"/>
      <x:c r="L9" s="111"/>
      <x:c r="M9" s="111"/>
      <x:c r="N9" s="111"/>
      <x:c r="O9" s="111"/>
      <x:c r="P9" s="111"/>
      <x:c r="Q9" s="111"/>
      <x:c r="R9" s="111"/>
      <x:c r="S9" s="111"/>
      <x:c r="T9" s="111"/>
    </x:row>
    <x:row r="10" ht="28" customHeight="1">
      <x:c r="A10" s="107" t="str">
        <x:f>IF('Route List'!F10="","",'Route List'!F10)</x:f>
        <x:v>Dhaka - Barishal</x:v>
      </x:c>
      <x:c r="B10" s="90" t="n">
        <x:f>IF(A10="","",COUNTIFS(Trips!$D$6:$D$105,A10))</x:f>
        <x:v>0</x:v>
      </x:c>
      <x:c r="C10" s="90" t="n">
        <x:f>IF(A10="","",SUMIFS(Trips!$M$6:$M$105,Trips!$D$6:$D$105,A10))</x:f>
        <x:v>0</x:v>
      </x:c>
      <x:c r="D10" s="90" t="n">
        <x:f>IF(A10="","",SUMIFS(Trips!$N$6:$N$105,Trips!$D$6:$D$105,A10))</x:f>
        <x:v>0</x:v>
      </x:c>
      <x:c r="E10" s="98" t="n">
        <x:f>IF(A10="","",SUMIFS(Trips!$O$6:$O$105,Trips!$D$6:$D$105,A10))</x:f>
        <x:v>0</x:v>
      </x:c>
      <x:c r="F10" s="98" t="n">
        <x:f>IF(A10="","",SUMIFS(Trips!$P$6:$P$105,Trips!$D$6:$D$105,A10))</x:f>
        <x:v>0</x:v>
      </x:c>
      <x:c r="G10" s="98" t="n">
        <x:f>IF(A10="","",SUMIFS(Trips!$Q$6:$Q$105,Trips!$D$6:$D$105,A10))</x:f>
        <x:v>0</x:v>
      </x:c>
      <x:c r="H10" s="98" t="n">
        <x:f>IF(A10="","",SUMIFS(Trips!$R$6:$R$105,Trips!$D$6:$D$105,A10))</x:f>
        <x:v>0</x:v>
      </x:c>
      <x:c r="I10" s="98" t="n">
        <x:f>IF(A10="","",SUMIFS(Trips!$S$6:$S$105,Trips!$D$6:$D$105,A10))</x:f>
        <x:v>0</x:v>
      </x:c>
      <x:c r="J10" s="111"/>
      <x:c r="K10" s="111"/>
      <x:c r="L10" s="111"/>
      <x:c r="M10" s="111"/>
      <x:c r="N10" s="111"/>
      <x:c r="O10" s="111"/>
      <x:c r="P10" s="111"/>
      <x:c r="Q10" s="111"/>
      <x:c r="R10" s="111"/>
      <x:c r="S10" s="111"/>
      <x:c r="T10" s="111"/>
    </x:row>
    <x:row r="11" ht="28" customHeight="1">
      <x:c r="A11" s="107" t="str">
        <x:f>IF('Route List'!F11="","",'Route List'!F11)</x:f>
        <x:v>Barishal - Dhaka</x:v>
      </x:c>
      <x:c r="B11" s="90" t="n">
        <x:f>IF(A11="","",COUNTIFS(Trips!$D$6:$D$105,A11))</x:f>
        <x:v>0</x:v>
      </x:c>
      <x:c r="C11" s="90" t="n">
        <x:f>IF(A11="","",SUMIFS(Trips!$M$6:$M$105,Trips!$D$6:$D$105,A11))</x:f>
        <x:v>0</x:v>
      </x:c>
      <x:c r="D11" s="90" t="n">
        <x:f>IF(A11="","",SUMIFS(Trips!$N$6:$N$105,Trips!$D$6:$D$105,A11))</x:f>
        <x:v>0</x:v>
      </x:c>
      <x:c r="E11" s="98" t="n">
        <x:f>IF(A11="","",SUMIFS(Trips!$O$6:$O$105,Trips!$D$6:$D$105,A11))</x:f>
        <x:v>0</x:v>
      </x:c>
      <x:c r="F11" s="98" t="n">
        <x:f>IF(A11="","",SUMIFS(Trips!$P$6:$P$105,Trips!$D$6:$D$105,A11))</x:f>
        <x:v>0</x:v>
      </x:c>
      <x:c r="G11" s="98" t="n">
        <x:f>IF(A11="","",SUMIFS(Trips!$Q$6:$Q$105,Trips!$D$6:$D$105,A11))</x:f>
        <x:v>0</x:v>
      </x:c>
      <x:c r="H11" s="98" t="n">
        <x:f>IF(A11="","",SUMIFS(Trips!$R$6:$R$105,Trips!$D$6:$D$105,A11))</x:f>
        <x:v>0</x:v>
      </x:c>
      <x:c r="I11" s="98" t="n">
        <x:f>IF(A11="","",SUMIFS(Trips!$S$6:$S$105,Trips!$D$6:$D$105,A11))</x:f>
        <x:v>0</x:v>
      </x:c>
      <x:c r="J11" s="111"/>
      <x:c r="K11" s="111"/>
      <x:c r="L11" s="111"/>
      <x:c r="M11" s="111"/>
      <x:c r="N11" s="111"/>
      <x:c r="O11" s="111"/>
      <x:c r="P11" s="111"/>
      <x:c r="Q11" s="111"/>
      <x:c r="R11" s="111"/>
      <x:c r="S11" s="111"/>
      <x:c r="T11" s="111"/>
    </x:row>
    <x:row r="12" ht="28" customHeight="1">
      <x:c r="A12" s="107" t="str">
        <x:f>IF('Route List'!F12="","",'Route List'!F12)</x:f>
        <x:v>Dhaka - Bandarban</x:v>
      </x:c>
      <x:c r="B12" s="90" t="n">
        <x:f>IF(A12="","",COUNTIFS(Trips!$D$6:$D$105,A12))</x:f>
        <x:v>0</x:v>
      </x:c>
      <x:c r="C12" s="90" t="n">
        <x:f>IF(A12="","",SUMIFS(Trips!$M$6:$M$105,Trips!$D$6:$D$105,A12))</x:f>
        <x:v>0</x:v>
      </x:c>
      <x:c r="D12" s="90" t="n">
        <x:f>IF(A12="","",SUMIFS(Trips!$N$6:$N$105,Trips!$D$6:$D$105,A12))</x:f>
        <x:v>0</x:v>
      </x:c>
      <x:c r="E12" s="98" t="n">
        <x:f>IF(A12="","",SUMIFS(Trips!$O$6:$O$105,Trips!$D$6:$D$105,A12))</x:f>
        <x:v>0</x:v>
      </x:c>
      <x:c r="F12" s="98" t="n">
        <x:f>IF(A12="","",SUMIFS(Trips!$P$6:$P$105,Trips!$D$6:$D$105,A12))</x:f>
        <x:v>0</x:v>
      </x:c>
      <x:c r="G12" s="98" t="n">
        <x:f>IF(A12="","",SUMIFS(Trips!$Q$6:$Q$105,Trips!$D$6:$D$105,A12))</x:f>
        <x:v>0</x:v>
      </x:c>
      <x:c r="H12" s="98" t="n">
        <x:f>IF(A12="","",SUMIFS(Trips!$R$6:$R$105,Trips!$D$6:$D$105,A12))</x:f>
        <x:v>0</x:v>
      </x:c>
      <x:c r="I12" s="98" t="n">
        <x:f>IF(A12="","",SUMIFS(Trips!$S$6:$S$105,Trips!$D$6:$D$105,A12))</x:f>
        <x:v>0</x:v>
      </x:c>
      <x:c r="J12" s="111"/>
      <x:c r="K12" s="111"/>
      <x:c r="L12" s="111"/>
      <x:c r="M12" s="111"/>
      <x:c r="N12" s="111"/>
      <x:c r="O12" s="111"/>
      <x:c r="P12" s="111"/>
      <x:c r="Q12" s="111"/>
      <x:c r="R12" s="111"/>
      <x:c r="S12" s="111"/>
      <x:c r="T12" s="111"/>
    </x:row>
    <x:row r="13" ht="28" customHeight="1">
      <x:c r="A13" s="107" t="str">
        <x:f>IF('Route List'!F13="","",'Route List'!F13)</x:f>
        <x:v>Bandarban - Dhaka</x:v>
      </x:c>
      <x:c r="B13" s="90" t="n">
        <x:f>IF(A13="","",COUNTIFS(Trips!$D$6:$D$105,A13))</x:f>
        <x:v>0</x:v>
      </x:c>
      <x:c r="C13" s="90" t="n">
        <x:f>IF(A13="","",SUMIFS(Trips!$M$6:$M$105,Trips!$D$6:$D$105,A13))</x:f>
        <x:v>0</x:v>
      </x:c>
      <x:c r="D13" s="90" t="n">
        <x:f>IF(A13="","",SUMIFS(Trips!$N$6:$N$105,Trips!$D$6:$D$105,A13))</x:f>
        <x:v>0</x:v>
      </x:c>
      <x:c r="E13" s="98" t="n">
        <x:f>IF(A13="","",SUMIFS(Trips!$O$6:$O$105,Trips!$D$6:$D$105,A13))</x:f>
        <x:v>0</x:v>
      </x:c>
      <x:c r="F13" s="98" t="n">
        <x:f>IF(A13="","",SUMIFS(Trips!$P$6:$P$105,Trips!$D$6:$D$105,A13))</x:f>
        <x:v>0</x:v>
      </x:c>
      <x:c r="G13" s="98" t="n">
        <x:f>IF(A13="","",SUMIFS(Trips!$Q$6:$Q$105,Trips!$D$6:$D$105,A13))</x:f>
        <x:v>0</x:v>
      </x:c>
      <x:c r="H13" s="98" t="n">
        <x:f>IF(A13="","",SUMIFS(Trips!$R$6:$R$105,Trips!$D$6:$D$105,A13))</x:f>
        <x:v>0</x:v>
      </x:c>
      <x:c r="I13" s="98" t="n">
        <x:f>IF(A13="","",SUMIFS(Trips!$S$6:$S$105,Trips!$D$6:$D$105,A13))</x:f>
        <x:v>0</x:v>
      </x:c>
      <x:c r="J13" s="111"/>
      <x:c r="K13" s="111"/>
      <x:c r="L13" s="111"/>
      <x:c r="M13" s="111"/>
      <x:c r="N13" s="111"/>
      <x:c r="O13" s="111"/>
      <x:c r="P13" s="111"/>
      <x:c r="Q13" s="111"/>
      <x:c r="R13" s="111"/>
      <x:c r="S13" s="111"/>
      <x:c r="T13" s="111"/>
    </x:row>
    <x:row r="14" ht="28" customHeight="1">
      <x:c r="A14" s="107" t="str">
        <x:f>IF('Route List'!F14="","",'Route List'!F14)</x:f>
        <x:v>Dhaka - Alikadam</x:v>
      </x:c>
      <x:c r="B14" s="90" t="n">
        <x:f>IF(A14="","",COUNTIFS(Trips!$D$6:$D$105,A14))</x:f>
        <x:v>0</x:v>
      </x:c>
      <x:c r="C14" s="90" t="n">
        <x:f>IF(A14="","",SUMIFS(Trips!$M$6:$M$105,Trips!$D$6:$D$105,A14))</x:f>
        <x:v>0</x:v>
      </x:c>
      <x:c r="D14" s="90" t="n">
        <x:f>IF(A14="","",SUMIFS(Trips!$N$6:$N$105,Trips!$D$6:$D$105,A14))</x:f>
        <x:v>0</x:v>
      </x:c>
      <x:c r="E14" s="98" t="n">
        <x:f>IF(A14="","",SUMIFS(Trips!$O$6:$O$105,Trips!$D$6:$D$105,A14))</x:f>
        <x:v>0</x:v>
      </x:c>
      <x:c r="F14" s="98" t="n">
        <x:f>IF(A14="","",SUMIFS(Trips!$P$6:$P$105,Trips!$D$6:$D$105,A14))</x:f>
        <x:v>0</x:v>
      </x:c>
      <x:c r="G14" s="98" t="n">
        <x:f>IF(A14="","",SUMIFS(Trips!$Q$6:$Q$105,Trips!$D$6:$D$105,A14))</x:f>
        <x:v>0</x:v>
      </x:c>
      <x:c r="H14" s="98" t="n">
        <x:f>IF(A14="","",SUMIFS(Trips!$R$6:$R$105,Trips!$D$6:$D$105,A14))</x:f>
        <x:v>0</x:v>
      </x:c>
      <x:c r="I14" s="98" t="n">
        <x:f>IF(A14="","",SUMIFS(Trips!$S$6:$S$105,Trips!$D$6:$D$105,A14))</x:f>
        <x:v>0</x:v>
      </x:c>
      <x:c r="J14" s="111"/>
      <x:c r="K14" s="111"/>
      <x:c r="L14" s="111"/>
      <x:c r="M14" s="111"/>
      <x:c r="N14" s="111"/>
      <x:c r="O14" s="111"/>
      <x:c r="P14" s="111"/>
      <x:c r="Q14" s="111"/>
      <x:c r="R14" s="111"/>
      <x:c r="S14" s="111"/>
      <x:c r="T14" s="111"/>
    </x:row>
    <x:row r="15" ht="28" customHeight="1">
      <x:c r="A15" s="107" t="str">
        <x:f>IF('Route List'!F15="","",'Route List'!F15)</x:f>
        <x:v>Alikadam - Dhaka</x:v>
      </x:c>
      <x:c r="B15" s="90" t="n">
        <x:f>IF(A15="","",COUNTIFS(Trips!$D$6:$D$105,A15))</x:f>
        <x:v>0</x:v>
      </x:c>
      <x:c r="C15" s="90" t="n">
        <x:f>IF(A15="","",SUMIFS(Trips!$M$6:$M$105,Trips!$D$6:$D$105,A15))</x:f>
        <x:v>0</x:v>
      </x:c>
      <x:c r="D15" s="90" t="n">
        <x:f>IF(A15="","",SUMIFS(Trips!$N$6:$N$105,Trips!$D$6:$D$105,A15))</x:f>
        <x:v>0</x:v>
      </x:c>
      <x:c r="E15" s="98" t="n">
        <x:f>IF(A15="","",SUMIFS(Trips!$O$6:$O$105,Trips!$D$6:$D$105,A15))</x:f>
        <x:v>0</x:v>
      </x:c>
      <x:c r="F15" s="98" t="n">
        <x:f>IF(A15="","",SUMIFS(Trips!$P$6:$P$105,Trips!$D$6:$D$105,A15))</x:f>
        <x:v>0</x:v>
      </x:c>
      <x:c r="G15" s="98" t="n">
        <x:f>IF(A15="","",SUMIFS(Trips!$Q$6:$Q$105,Trips!$D$6:$D$105,A15))</x:f>
        <x:v>0</x:v>
      </x:c>
      <x:c r="H15" s="98" t="n">
        <x:f>IF(A15="","",SUMIFS(Trips!$R$6:$R$105,Trips!$D$6:$D$105,A15))</x:f>
        <x:v>0</x:v>
      </x:c>
      <x:c r="I15" s="98" t="n">
        <x:f>IF(A15="","",SUMIFS(Trips!$S$6:$S$105,Trips!$D$6:$D$105,A15))</x:f>
        <x:v>0</x:v>
      </x:c>
      <x:c r="J15" s="111"/>
      <x:c r="K15" s="111"/>
      <x:c r="L15" s="111"/>
      <x:c r="M15" s="111"/>
      <x:c r="N15" s="111"/>
      <x:c r="O15" s="111"/>
      <x:c r="P15" s="111"/>
      <x:c r="Q15" s="111"/>
      <x:c r="R15" s="111"/>
      <x:c r="S15" s="111"/>
      <x:c r="T15" s="111"/>
    </x:row>
    <x:row r="16" ht="28" customHeight="1">
      <x:c r="A16" s="107" t="str">
        <x:f>IF('Route List'!F16="","",'Route List'!F16)</x:f>
        <x:v>Dhaka - Teknaf</x:v>
      </x:c>
      <x:c r="B16" s="90" t="n">
        <x:f>IF(A16="","",COUNTIFS(Trips!$D$6:$D$105,A16))</x:f>
        <x:v>0</x:v>
      </x:c>
      <x:c r="C16" s="90" t="n">
        <x:f>IF(A16="","",SUMIFS(Trips!$M$6:$M$105,Trips!$D$6:$D$105,A16))</x:f>
        <x:v>0</x:v>
      </x:c>
      <x:c r="D16" s="90" t="n">
        <x:f>IF(A16="","",SUMIFS(Trips!$N$6:$N$105,Trips!$D$6:$D$105,A16))</x:f>
        <x:v>0</x:v>
      </x:c>
      <x:c r="E16" s="98" t="n">
        <x:f>IF(A16="","",SUMIFS(Trips!$O$6:$O$105,Trips!$D$6:$D$105,A16))</x:f>
        <x:v>0</x:v>
      </x:c>
      <x:c r="F16" s="98" t="n">
        <x:f>IF(A16="","",SUMIFS(Trips!$P$6:$P$105,Trips!$D$6:$D$105,A16))</x:f>
        <x:v>0</x:v>
      </x:c>
      <x:c r="G16" s="98" t="n">
        <x:f>IF(A16="","",SUMIFS(Trips!$Q$6:$Q$105,Trips!$D$6:$D$105,A16))</x:f>
        <x:v>0</x:v>
      </x:c>
      <x:c r="H16" s="98" t="n">
        <x:f>IF(A16="","",SUMIFS(Trips!$R$6:$R$105,Trips!$D$6:$D$105,A16))</x:f>
        <x:v>0</x:v>
      </x:c>
      <x:c r="I16" s="98" t="n">
        <x:f>IF(A16="","",SUMIFS(Trips!$S$6:$S$105,Trips!$D$6:$D$105,A16))</x:f>
        <x:v>0</x:v>
      </x:c>
      <x:c r="J16" s="111"/>
      <x:c r="K16" s="111"/>
      <x:c r="L16" s="111"/>
      <x:c r="M16" s="111"/>
      <x:c r="N16" s="111"/>
      <x:c r="O16" s="111"/>
      <x:c r="P16" s="111"/>
      <x:c r="Q16" s="111"/>
      <x:c r="R16" s="111"/>
      <x:c r="S16" s="111"/>
      <x:c r="T16" s="111"/>
    </x:row>
    <x:row r="17" ht="28" customHeight="1">
      <x:c r="A17" s="107" t="str">
        <x:f>IF('Route List'!F17="","",'Route List'!F17)</x:f>
        <x:v>Teknaf - Dhaka</x:v>
      </x:c>
      <x:c r="B17" s="90" t="n">
        <x:f>IF(A17="","",COUNTIFS(Trips!$D$6:$D$105,A17))</x:f>
        <x:v>0</x:v>
      </x:c>
      <x:c r="C17" s="90" t="n">
        <x:f>IF(A17="","",SUMIFS(Trips!$M$6:$M$105,Trips!$D$6:$D$105,A17))</x:f>
        <x:v>0</x:v>
      </x:c>
      <x:c r="D17" s="90" t="n">
        <x:f>IF(A17="","",SUMIFS(Trips!$N$6:$N$105,Trips!$D$6:$D$105,A17))</x:f>
        <x:v>0</x:v>
      </x:c>
      <x:c r="E17" s="98" t="n">
        <x:f>IF(A17="","",SUMIFS(Trips!$O$6:$O$105,Trips!$D$6:$D$105,A17))</x:f>
        <x:v>0</x:v>
      </x:c>
      <x:c r="F17" s="98" t="n">
        <x:f>IF(A17="","",SUMIFS(Trips!$P$6:$P$105,Trips!$D$6:$D$105,A17))</x:f>
        <x:v>0</x:v>
      </x:c>
      <x:c r="G17" s="98" t="n">
        <x:f>IF(A17="","",SUMIFS(Trips!$Q$6:$Q$105,Trips!$D$6:$D$105,A17))</x:f>
        <x:v>0</x:v>
      </x:c>
      <x:c r="H17" s="98" t="n">
        <x:f>IF(A17="","",SUMIFS(Trips!$R$6:$R$105,Trips!$D$6:$D$105,A17))</x:f>
        <x:v>0</x:v>
      </x:c>
      <x:c r="I17" s="98" t="n">
        <x:f>IF(A17="","",SUMIFS(Trips!$S$6:$S$105,Trips!$D$6:$D$105,A17))</x:f>
        <x:v>0</x:v>
      </x:c>
      <x:c r="J17" s="111"/>
      <x:c r="K17" s="111"/>
      <x:c r="L17" s="111"/>
      <x:c r="M17" s="111"/>
      <x:c r="N17" s="111"/>
      <x:c r="O17" s="111"/>
      <x:c r="P17" s="111"/>
      <x:c r="Q17" s="111"/>
      <x:c r="R17" s="111"/>
      <x:c r="S17" s="111"/>
      <x:c r="T17" s="111"/>
    </x:row>
    <x:row r="18" ht="28" customHeight="1">
      <x:c r="A18" s="107" t="str">
        <x:f>IF('Route List'!F18="","",'Route List'!F18)</x:f>
        <x:v>Dhaka - Kaptai</x:v>
      </x:c>
      <x:c r="B18" s="90" t="n">
        <x:f>IF(A18="","",COUNTIFS(Trips!$D$6:$D$105,A18))</x:f>
        <x:v>0</x:v>
      </x:c>
      <x:c r="C18" s="90" t="n">
        <x:f>IF(A18="","",SUMIFS(Trips!$M$6:$M$105,Trips!$D$6:$D$105,A18))</x:f>
        <x:v>0</x:v>
      </x:c>
      <x:c r="D18" s="90" t="n">
        <x:f>IF(A18="","",SUMIFS(Trips!$N$6:$N$105,Trips!$D$6:$D$105,A18))</x:f>
        <x:v>0</x:v>
      </x:c>
      <x:c r="E18" s="98" t="n">
        <x:f>IF(A18="","",SUMIFS(Trips!$O$6:$O$105,Trips!$D$6:$D$105,A18))</x:f>
        <x:v>0</x:v>
      </x:c>
      <x:c r="F18" s="98" t="n">
        <x:f>IF(A18="","",SUMIFS(Trips!$P$6:$P$105,Trips!$D$6:$D$105,A18))</x:f>
        <x:v>0</x:v>
      </x:c>
      <x:c r="G18" s="98" t="n">
        <x:f>IF(A18="","",SUMIFS(Trips!$Q$6:$Q$105,Trips!$D$6:$D$105,A18))</x:f>
        <x:v>0</x:v>
      </x:c>
      <x:c r="H18" s="98" t="n">
        <x:f>IF(A18="","",SUMIFS(Trips!$R$6:$R$105,Trips!$D$6:$D$105,A18))</x:f>
        <x:v>0</x:v>
      </x:c>
      <x:c r="I18" s="98" t="n">
        <x:f>IF(A18="","",SUMIFS(Trips!$S$6:$S$105,Trips!$D$6:$D$105,A18))</x:f>
        <x:v>0</x:v>
      </x:c>
      <x:c r="J18" s="111"/>
      <x:c r="K18" s="111"/>
      <x:c r="L18" s="111"/>
      <x:c r="M18" s="111"/>
      <x:c r="N18" s="111"/>
      <x:c r="O18" s="111"/>
      <x:c r="P18" s="111"/>
      <x:c r="Q18" s="111"/>
      <x:c r="R18" s="111"/>
      <x:c r="S18" s="111"/>
      <x:c r="T18" s="111"/>
    </x:row>
    <x:row r="19" ht="28" customHeight="1">
      <x:c r="A19" s="107" t="str">
        <x:f>IF('Route List'!F19="","",'Route List'!F19)</x:f>
        <x:v>Kaptai - Dhaka</x:v>
      </x:c>
      <x:c r="B19" s="90" t="n">
        <x:f>IF(A19="","",COUNTIFS(Trips!$D$6:$D$105,A19))</x:f>
        <x:v>0</x:v>
      </x:c>
      <x:c r="C19" s="90" t="n">
        <x:f>IF(A19="","",SUMIFS(Trips!$M$6:$M$105,Trips!$D$6:$D$105,A19))</x:f>
        <x:v>0</x:v>
      </x:c>
      <x:c r="D19" s="90" t="n">
        <x:f>IF(A19="","",SUMIFS(Trips!$N$6:$N$105,Trips!$D$6:$D$105,A19))</x:f>
        <x:v>0</x:v>
      </x:c>
      <x:c r="E19" s="98" t="n">
        <x:f>IF(A19="","",SUMIFS(Trips!$O$6:$O$105,Trips!$D$6:$D$105,A19))</x:f>
        <x:v>0</x:v>
      </x:c>
      <x:c r="F19" s="98" t="n">
        <x:f>IF(A19="","",SUMIFS(Trips!$P$6:$P$105,Trips!$D$6:$D$105,A19))</x:f>
        <x:v>0</x:v>
      </x:c>
      <x:c r="G19" s="98" t="n">
        <x:f>IF(A19="","",SUMIFS(Trips!$Q$6:$Q$105,Trips!$D$6:$D$105,A19))</x:f>
        <x:v>0</x:v>
      </x:c>
      <x:c r="H19" s="98" t="n">
        <x:f>IF(A19="","",SUMIFS(Trips!$R$6:$R$105,Trips!$D$6:$D$105,A19))</x:f>
        <x:v>0</x:v>
      </x:c>
      <x:c r="I19" s="98" t="n">
        <x:f>IF(A19="","",SUMIFS(Trips!$S$6:$S$105,Trips!$D$6:$D$105,A19))</x:f>
        <x:v>0</x:v>
      </x:c>
      <x:c r="J19" s="111"/>
      <x:c r="K19" s="111"/>
      <x:c r="L19" s="111"/>
      <x:c r="M19" s="111"/>
      <x:c r="N19" s="111"/>
      <x:c r="O19" s="111"/>
      <x:c r="P19" s="111"/>
      <x:c r="Q19" s="111"/>
      <x:c r="R19" s="111"/>
      <x:c r="S19" s="111"/>
      <x:c r="T19" s="111"/>
    </x:row>
    <x:row r="20" ht="28" customHeight="1">
      <x:c r="A20" s="107" t="str">
        <x:f>IF('Route List'!F20="","",'Route List'!F20)</x:f>
      </x:c>
      <x:c r="B20" s="90" t="str">
        <x:f>IF(A20="","",COUNTIFS(Trips!$D$6:$D$105,A20))</x:f>
      </x:c>
      <x:c r="C20" s="90" t="str">
        <x:f>IF(A20="","",SUMIFS(Trips!$M$6:$M$105,Trips!$D$6:$D$105,A20))</x:f>
      </x:c>
      <x:c r="D20" s="90" t="str">
        <x:f>IF(A20="","",SUMIFS(Trips!$N$6:$N$105,Trips!$D$6:$D$105,A20))</x:f>
      </x:c>
      <x:c r="E20" s="98" t="str">
        <x:f>IF(A20="","",SUMIFS(Trips!$O$6:$O$105,Trips!$D$6:$D$105,A20))</x:f>
      </x:c>
      <x:c r="F20" s="98" t="str">
        <x:f>IF(A20="","",SUMIFS(Trips!$P$6:$P$105,Trips!$D$6:$D$105,A20))</x:f>
      </x:c>
      <x:c r="G20" s="98" t="str">
        <x:f>IF(A20="","",SUMIFS(Trips!$Q$6:$Q$105,Trips!$D$6:$D$105,A20))</x:f>
      </x:c>
      <x:c r="H20" s="98" t="str">
        <x:f>IF(A20="","",SUMIFS(Trips!$R$6:$R$105,Trips!$D$6:$D$105,A20))</x:f>
      </x:c>
      <x:c r="I20" s="98" t="str">
        <x:f>IF(A20="","",SUMIFS(Trips!$S$6:$S$105,Trips!$D$6:$D$105,A20))</x:f>
      </x:c>
      <x:c r="J20" s="111"/>
      <x:c r="K20" s="111"/>
      <x:c r="L20" s="111"/>
      <x:c r="M20" s="111"/>
      <x:c r="N20" s="111"/>
      <x:c r="O20" s="111"/>
      <x:c r="P20" s="111"/>
      <x:c r="Q20" s="111"/>
      <x:c r="R20" s="111"/>
      <x:c r="S20" s="111"/>
      <x:c r="T20" s="111"/>
    </x:row>
    <x:row r="21" ht="28" customHeight="1">
      <x:c r="A21" s="107" t="str">
        <x:f>IF('Route List'!F21="","",'Route List'!F21)</x:f>
      </x:c>
      <x:c r="B21" s="90" t="str">
        <x:f>IF(A21="","",COUNTIFS(Trips!$D$6:$D$105,A21))</x:f>
      </x:c>
      <x:c r="C21" s="90" t="str">
        <x:f>IF(A21="","",SUMIFS(Trips!$M$6:$M$105,Trips!$D$6:$D$105,A21))</x:f>
      </x:c>
      <x:c r="D21" s="90" t="str">
        <x:f>IF(A21="","",SUMIFS(Trips!$N$6:$N$105,Trips!$D$6:$D$105,A21))</x:f>
      </x:c>
      <x:c r="E21" s="98" t="str">
        <x:f>IF(A21="","",SUMIFS(Trips!$O$6:$O$105,Trips!$D$6:$D$105,A21))</x:f>
      </x:c>
      <x:c r="F21" s="98" t="str">
        <x:f>IF(A21="","",SUMIFS(Trips!$P$6:$P$105,Trips!$D$6:$D$105,A21))</x:f>
      </x:c>
      <x:c r="G21" s="98" t="str">
        <x:f>IF(A21="","",SUMIFS(Trips!$Q$6:$Q$105,Trips!$D$6:$D$105,A21))</x:f>
      </x:c>
      <x:c r="H21" s="98" t="str">
        <x:f>IF(A21="","",SUMIFS(Trips!$R$6:$R$105,Trips!$D$6:$D$105,A21))</x:f>
      </x:c>
      <x:c r="I21" s="98" t="str">
        <x:f>IF(A21="","",SUMIFS(Trips!$S$6:$S$105,Trips!$D$6:$D$105,A21))</x:f>
      </x:c>
      <x:c r="J21" s="111"/>
      <x:c r="K21" s="111"/>
      <x:c r="L21" s="111"/>
      <x:c r="M21" s="111"/>
      <x:c r="N21" s="111"/>
      <x:c r="O21" s="111"/>
      <x:c r="P21" s="111"/>
      <x:c r="Q21" s="111"/>
      <x:c r="R21" s="111"/>
      <x:c r="S21" s="111"/>
      <x:c r="T21" s="111"/>
    </x:row>
    <x:row r="22" ht="28" customHeight="1">
      <x:c r="A22" s="107" t="str">
        <x:f>IF('Route List'!F22="","",'Route List'!F22)</x:f>
      </x:c>
      <x:c r="B22" s="90" t="str">
        <x:f>IF(A22="","",COUNTIFS(Trips!$D$6:$D$105,A22))</x:f>
      </x:c>
      <x:c r="C22" s="90" t="str">
        <x:f>IF(A22="","",SUMIFS(Trips!$M$6:$M$105,Trips!$D$6:$D$105,A22))</x:f>
      </x:c>
      <x:c r="D22" s="90" t="str">
        <x:f>IF(A22="","",SUMIFS(Trips!$N$6:$N$105,Trips!$D$6:$D$105,A22))</x:f>
      </x:c>
      <x:c r="E22" s="98" t="str">
        <x:f>IF(A22="","",SUMIFS(Trips!$O$6:$O$105,Trips!$D$6:$D$105,A22))</x:f>
      </x:c>
      <x:c r="F22" s="98" t="str">
        <x:f>IF(A22="","",SUMIFS(Trips!$P$6:$P$105,Trips!$D$6:$D$105,A22))</x:f>
      </x:c>
      <x:c r="G22" s="98" t="str">
        <x:f>IF(A22="","",SUMIFS(Trips!$Q$6:$Q$105,Trips!$D$6:$D$105,A22))</x:f>
      </x:c>
      <x:c r="H22" s="98" t="str">
        <x:f>IF(A22="","",SUMIFS(Trips!$R$6:$R$105,Trips!$D$6:$D$105,A22))</x:f>
      </x:c>
      <x:c r="I22" s="98" t="str">
        <x:f>IF(A22="","",SUMIFS(Trips!$S$6:$S$105,Trips!$D$6:$D$105,A22))</x:f>
      </x:c>
      <x:c r="J22" s="111"/>
      <x:c r="K22" s="111"/>
      <x:c r="L22" s="111"/>
      <x:c r="M22" s="111"/>
      <x:c r="N22" s="111"/>
      <x:c r="O22" s="111"/>
      <x:c r="P22" s="111"/>
      <x:c r="Q22" s="111"/>
      <x:c r="R22" s="111"/>
      <x:c r="S22" s="111"/>
      <x:c r="T22" s="111"/>
    </x:row>
    <x:row r="23" ht="28" customHeight="1">
      <x:c r="A23" s="107" t="str">
        <x:f>IF('Route List'!F23="","",'Route List'!F23)</x:f>
      </x:c>
      <x:c r="B23" s="90" t="str">
        <x:f>IF(A23="","",COUNTIFS(Trips!$D$6:$D$105,A23))</x:f>
      </x:c>
      <x:c r="C23" s="90" t="str">
        <x:f>IF(A23="","",SUMIFS(Trips!$M$6:$M$105,Trips!$D$6:$D$105,A23))</x:f>
      </x:c>
      <x:c r="D23" s="90" t="str">
        <x:f>IF(A23="","",SUMIFS(Trips!$N$6:$N$105,Trips!$D$6:$D$105,A23))</x:f>
      </x:c>
      <x:c r="E23" s="98" t="str">
        <x:f>IF(A23="","",SUMIFS(Trips!$O$6:$O$105,Trips!$D$6:$D$105,A23))</x:f>
      </x:c>
      <x:c r="F23" s="98" t="str">
        <x:f>IF(A23="","",SUMIFS(Trips!$P$6:$P$105,Trips!$D$6:$D$105,A23))</x:f>
      </x:c>
      <x:c r="G23" s="98" t="str">
        <x:f>IF(A23="","",SUMIFS(Trips!$Q$6:$Q$105,Trips!$D$6:$D$105,A23))</x:f>
      </x:c>
      <x:c r="H23" s="98" t="str">
        <x:f>IF(A23="","",SUMIFS(Trips!$R$6:$R$105,Trips!$D$6:$D$105,A23))</x:f>
      </x:c>
      <x:c r="I23" s="98" t="str">
        <x:f>IF(A23="","",SUMIFS(Trips!$S$6:$S$105,Trips!$D$6:$D$105,A23))</x:f>
      </x:c>
      <x:c r="J23" s="111"/>
      <x:c r="K23" s="111"/>
      <x:c r="L23" s="111"/>
      <x:c r="M23" s="111"/>
      <x:c r="N23" s="111"/>
      <x:c r="O23" s="111"/>
      <x:c r="P23" s="111"/>
      <x:c r="Q23" s="111"/>
      <x:c r="R23" s="111"/>
      <x:c r="S23" s="111"/>
      <x:c r="T23" s="111"/>
    </x:row>
    <x:row r="24" ht="28" customHeight="1">
      <x:c r="A24" s="107" t="str">
        <x:f>IF('Route List'!F24="","",'Route List'!F24)</x:f>
      </x:c>
      <x:c r="B24" s="90" t="str">
        <x:f>IF(A24="","",COUNTIFS(Trips!$D$6:$D$105,A24))</x:f>
      </x:c>
      <x:c r="C24" s="90" t="str">
        <x:f>IF(A24="","",SUMIFS(Trips!$M$6:$M$105,Trips!$D$6:$D$105,A24))</x:f>
      </x:c>
      <x:c r="D24" s="90" t="str">
        <x:f>IF(A24="","",SUMIFS(Trips!$N$6:$N$105,Trips!$D$6:$D$105,A24))</x:f>
      </x:c>
      <x:c r="E24" s="98" t="str">
        <x:f>IF(A24="","",SUMIFS(Trips!$O$6:$O$105,Trips!$D$6:$D$105,A24))</x:f>
      </x:c>
      <x:c r="F24" s="98" t="str">
        <x:f>IF(A24="","",SUMIFS(Trips!$P$6:$P$105,Trips!$D$6:$D$105,A24))</x:f>
      </x:c>
      <x:c r="G24" s="98" t="str">
        <x:f>IF(A24="","",SUMIFS(Trips!$Q$6:$Q$105,Trips!$D$6:$D$105,A24))</x:f>
      </x:c>
      <x:c r="H24" s="98" t="str">
        <x:f>IF(A24="","",SUMIFS(Trips!$R$6:$R$105,Trips!$D$6:$D$105,A24))</x:f>
      </x:c>
      <x:c r="I24" s="98" t="str">
        <x:f>IF(A24="","",SUMIFS(Trips!$S$6:$S$105,Trips!$D$6:$D$105,A24))</x:f>
      </x:c>
      <x:c r="J24" s="111"/>
      <x:c r="K24" s="111"/>
      <x:c r="L24" s="111"/>
      <x:c r="M24" s="111"/>
      <x:c r="N24" s="111"/>
      <x:c r="O24" s="111"/>
      <x:c r="P24" s="111"/>
      <x:c r="Q24" s="111"/>
      <x:c r="R24" s="111"/>
      <x:c r="S24" s="111"/>
      <x:c r="T24" s="111"/>
    </x:row>
    <x:row r="25" ht="28" customHeight="1">
      <x:c r="A25" s="107" t="str">
        <x:f>IF('Route List'!F25="","",'Route List'!F25)</x:f>
      </x:c>
      <x:c r="B25" s="90" t="str">
        <x:f>IF(A25="","",COUNTIFS(Trips!$D$6:$D$105,A25))</x:f>
      </x:c>
      <x:c r="C25" s="90" t="str">
        <x:f>IF(A25="","",SUMIFS(Trips!$M$6:$M$105,Trips!$D$6:$D$105,A25))</x:f>
      </x:c>
      <x:c r="D25" s="90" t="str">
        <x:f>IF(A25="","",SUMIFS(Trips!$N$6:$N$105,Trips!$D$6:$D$105,A25))</x:f>
      </x:c>
      <x:c r="E25" s="98" t="str">
        <x:f>IF(A25="","",SUMIFS(Trips!$O$6:$O$105,Trips!$D$6:$D$105,A25))</x:f>
      </x:c>
      <x:c r="F25" s="98" t="str">
        <x:f>IF(A25="","",SUMIFS(Trips!$P$6:$P$105,Trips!$D$6:$D$105,A25))</x:f>
      </x:c>
      <x:c r="G25" s="98" t="str">
        <x:f>IF(A25="","",SUMIFS(Trips!$Q$6:$Q$105,Trips!$D$6:$D$105,A25))</x:f>
      </x:c>
      <x:c r="H25" s="98" t="str">
        <x:f>IF(A25="","",SUMIFS(Trips!$R$6:$R$105,Trips!$D$6:$D$105,A25))</x:f>
      </x:c>
      <x:c r="I25" s="98" t="str">
        <x:f>IF(A25="","",SUMIFS(Trips!$S$6:$S$105,Trips!$D$6:$D$105,A25))</x:f>
      </x:c>
      <x:c r="J25" s="111"/>
      <x:c r="K25" s="111"/>
      <x:c r="L25" s="111"/>
      <x:c r="M25" s="111"/>
      <x:c r="N25" s="111"/>
      <x:c r="O25" s="111"/>
      <x:c r="P25" s="111"/>
      <x:c r="Q25" s="111"/>
      <x:c r="R25" s="111"/>
      <x:c r="S25" s="111"/>
      <x:c r="T25" s="111"/>
    </x:row>
    <x:row r="26" ht="28" customHeight="1">
      <x:c r="A26" s="107" t="str">
        <x:f>IF('Route List'!F26="","",'Route List'!F26)</x:f>
      </x:c>
      <x:c r="B26" s="90" t="str">
        <x:f>IF(A26="","",COUNTIFS(Trips!$D$6:$D$105,A26))</x:f>
      </x:c>
      <x:c r="C26" s="90" t="str">
        <x:f>IF(A26="","",SUMIFS(Trips!$M$6:$M$105,Trips!$D$6:$D$105,A26))</x:f>
      </x:c>
      <x:c r="D26" s="90" t="str">
        <x:f>IF(A26="","",SUMIFS(Trips!$N$6:$N$105,Trips!$D$6:$D$105,A26))</x:f>
      </x:c>
      <x:c r="E26" s="98" t="str">
        <x:f>IF(A26="","",SUMIFS(Trips!$O$6:$O$105,Trips!$D$6:$D$105,A26))</x:f>
      </x:c>
      <x:c r="F26" s="98" t="str">
        <x:f>IF(A26="","",SUMIFS(Trips!$P$6:$P$105,Trips!$D$6:$D$105,A26))</x:f>
      </x:c>
      <x:c r="G26" s="98" t="str">
        <x:f>IF(A26="","",SUMIFS(Trips!$Q$6:$Q$105,Trips!$D$6:$D$105,A26))</x:f>
      </x:c>
      <x:c r="H26" s="98" t="str">
        <x:f>IF(A26="","",SUMIFS(Trips!$R$6:$R$105,Trips!$D$6:$D$105,A26))</x:f>
      </x:c>
      <x:c r="I26" s="98" t="str">
        <x:f>IF(A26="","",SUMIFS(Trips!$S$6:$S$105,Trips!$D$6:$D$105,A26))</x:f>
      </x:c>
      <x:c r="J26" s="111"/>
      <x:c r="K26" s="111"/>
      <x:c r="L26" s="111"/>
      <x:c r="M26" s="111"/>
      <x:c r="N26" s="111"/>
      <x:c r="O26" s="111"/>
      <x:c r="P26" s="111"/>
      <x:c r="Q26" s="111"/>
      <x:c r="R26" s="111"/>
      <x:c r="S26" s="111"/>
      <x:c r="T26" s="111"/>
    </x:row>
    <x:row r="27" ht="28" customHeight="1">
      <x:c r="A27" s="107" t="str">
        <x:f>IF('Route List'!F27="","",'Route List'!F27)</x:f>
      </x:c>
      <x:c r="B27" s="90" t="str">
        <x:f>IF(A27="","",COUNTIFS(Trips!$D$6:$D$105,A27))</x:f>
      </x:c>
      <x:c r="C27" s="90" t="str">
        <x:f>IF(A27="","",SUMIFS(Trips!$M$6:$M$105,Trips!$D$6:$D$105,A27))</x:f>
      </x:c>
      <x:c r="D27" s="90" t="str">
        <x:f>IF(A27="","",SUMIFS(Trips!$N$6:$N$105,Trips!$D$6:$D$105,A27))</x:f>
      </x:c>
      <x:c r="E27" s="98" t="str">
        <x:f>IF(A27="","",SUMIFS(Trips!$O$6:$O$105,Trips!$D$6:$D$105,A27))</x:f>
      </x:c>
      <x:c r="F27" s="98" t="str">
        <x:f>IF(A27="","",SUMIFS(Trips!$P$6:$P$105,Trips!$D$6:$D$105,A27))</x:f>
      </x:c>
      <x:c r="G27" s="98" t="str">
        <x:f>IF(A27="","",SUMIFS(Trips!$Q$6:$Q$105,Trips!$D$6:$D$105,A27))</x:f>
      </x:c>
      <x:c r="H27" s="98" t="str">
        <x:f>IF(A27="","",SUMIFS(Trips!$R$6:$R$105,Trips!$D$6:$D$105,A27))</x:f>
      </x:c>
      <x:c r="I27" s="98" t="str">
        <x:f>IF(A27="","",SUMIFS(Trips!$S$6:$S$105,Trips!$D$6:$D$105,A27))</x:f>
      </x:c>
      <x:c r="J27" s="111"/>
      <x:c r="K27" s="111"/>
      <x:c r="L27" s="111"/>
      <x:c r="M27" s="111"/>
      <x:c r="N27" s="111"/>
      <x:c r="O27" s="111"/>
      <x:c r="P27" s="111"/>
      <x:c r="Q27" s="111"/>
      <x:c r="R27" s="111"/>
      <x:c r="S27" s="111"/>
      <x:c r="T27" s="111"/>
    </x:row>
    <x:row r="28" ht="28" customHeight="1">
      <x:c r="A28" s="107" t="str">
        <x:f>IF('Route List'!F28="","",'Route List'!F28)</x:f>
      </x:c>
      <x:c r="B28" s="90" t="str">
        <x:f>IF(A28="","",COUNTIFS(Trips!$D$6:$D$105,A28))</x:f>
      </x:c>
      <x:c r="C28" s="90" t="str">
        <x:f>IF(A28="","",SUMIFS(Trips!$M$6:$M$105,Trips!$D$6:$D$105,A28))</x:f>
      </x:c>
      <x:c r="D28" s="90" t="str">
        <x:f>IF(A28="","",SUMIFS(Trips!$N$6:$N$105,Trips!$D$6:$D$105,A28))</x:f>
      </x:c>
      <x:c r="E28" s="98" t="str">
        <x:f>IF(A28="","",SUMIFS(Trips!$O$6:$O$105,Trips!$D$6:$D$105,A28))</x:f>
      </x:c>
      <x:c r="F28" s="98" t="str">
        <x:f>IF(A28="","",SUMIFS(Trips!$P$6:$P$105,Trips!$D$6:$D$105,A28))</x:f>
      </x:c>
      <x:c r="G28" s="98" t="str">
        <x:f>IF(A28="","",SUMIFS(Trips!$Q$6:$Q$105,Trips!$D$6:$D$105,A28))</x:f>
      </x:c>
      <x:c r="H28" s="98" t="str">
        <x:f>IF(A28="","",SUMIFS(Trips!$R$6:$R$105,Trips!$D$6:$D$105,A28))</x:f>
      </x:c>
      <x:c r="I28" s="98" t="str">
        <x:f>IF(A28="","",SUMIFS(Trips!$S$6:$S$105,Trips!$D$6:$D$105,A28))</x:f>
      </x:c>
      <x:c r="J28" s="111"/>
      <x:c r="K28" s="111"/>
      <x:c r="L28" s="111"/>
      <x:c r="M28" s="111"/>
      <x:c r="N28" s="111"/>
      <x:c r="O28" s="111"/>
      <x:c r="P28" s="111"/>
      <x:c r="Q28" s="111"/>
      <x:c r="R28" s="111"/>
      <x:c r="S28" s="111"/>
      <x:c r="T28" s="111"/>
    </x:row>
    <x:row r="29" ht="28" customHeight="1">
      <x:c r="A29" s="107" t="str">
        <x:f>IF('Route List'!F29="","",'Route List'!F29)</x:f>
      </x:c>
      <x:c r="B29" s="90" t="str">
        <x:f>IF(A29="","",COUNTIFS(Trips!$D$6:$D$105,A29))</x:f>
      </x:c>
      <x:c r="C29" s="90" t="str">
        <x:f>IF(A29="","",SUMIFS(Trips!$M$6:$M$105,Trips!$D$6:$D$105,A29))</x:f>
      </x:c>
      <x:c r="D29" s="90" t="str">
        <x:f>IF(A29="","",SUMIFS(Trips!$N$6:$N$105,Trips!$D$6:$D$105,A29))</x:f>
      </x:c>
      <x:c r="E29" s="98" t="str">
        <x:f>IF(A29="","",SUMIFS(Trips!$O$6:$O$105,Trips!$D$6:$D$105,A29))</x:f>
      </x:c>
      <x:c r="F29" s="98" t="str">
        <x:f>IF(A29="","",SUMIFS(Trips!$P$6:$P$105,Trips!$D$6:$D$105,A29))</x:f>
      </x:c>
      <x:c r="G29" s="98" t="str">
        <x:f>IF(A29="","",SUMIFS(Trips!$Q$6:$Q$105,Trips!$D$6:$D$105,A29))</x:f>
      </x:c>
      <x:c r="H29" s="98" t="str">
        <x:f>IF(A29="","",SUMIFS(Trips!$R$6:$R$105,Trips!$D$6:$D$105,A29))</x:f>
      </x:c>
      <x:c r="I29" s="98" t="str">
        <x:f>IF(A29="","",SUMIFS(Trips!$S$6:$S$105,Trips!$D$6:$D$105,A29))</x:f>
      </x:c>
      <x:c r="J29" s="111"/>
      <x:c r="K29" s="111"/>
      <x:c r="L29" s="111"/>
      <x:c r="M29" s="111"/>
      <x:c r="N29" s="111"/>
      <x:c r="O29" s="111"/>
      <x:c r="P29" s="111"/>
      <x:c r="Q29" s="111"/>
      <x:c r="R29" s="111"/>
      <x:c r="S29" s="111"/>
      <x:c r="T29" s="111"/>
    </x:row>
    <x:row r="30" ht="28" customHeight="1">
      <x:c r="A30" s="107" t="str">
        <x:f>IF('Route List'!F30="","",'Route List'!F30)</x:f>
      </x:c>
      <x:c r="B30" s="90" t="str">
        <x:f>IF(A30="","",COUNTIFS(Trips!$D$6:$D$105,A30))</x:f>
      </x:c>
      <x:c r="C30" s="90" t="str">
        <x:f>IF(A30="","",SUMIFS(Trips!$M$6:$M$105,Trips!$D$6:$D$105,A30))</x:f>
      </x:c>
      <x:c r="D30" s="90" t="str">
        <x:f>IF(A30="","",SUMIFS(Trips!$N$6:$N$105,Trips!$D$6:$D$105,A30))</x:f>
      </x:c>
      <x:c r="E30" s="98" t="str">
        <x:f>IF(A30="","",SUMIFS(Trips!$O$6:$O$105,Trips!$D$6:$D$105,A30))</x:f>
      </x:c>
      <x:c r="F30" s="98" t="str">
        <x:f>IF(A30="","",SUMIFS(Trips!$P$6:$P$105,Trips!$D$6:$D$105,A30))</x:f>
      </x:c>
      <x:c r="G30" s="98" t="str">
        <x:f>IF(A30="","",SUMIFS(Trips!$Q$6:$Q$105,Trips!$D$6:$D$105,A30))</x:f>
      </x:c>
      <x:c r="H30" s="98" t="str">
        <x:f>IF(A30="","",SUMIFS(Trips!$R$6:$R$105,Trips!$D$6:$D$105,A30))</x:f>
      </x:c>
      <x:c r="I30" s="98" t="str">
        <x:f>IF(A30="","",SUMIFS(Trips!$S$6:$S$105,Trips!$D$6:$D$105,A30))</x:f>
      </x:c>
      <x:c r="J30" s="111"/>
      <x:c r="K30" s="111"/>
      <x:c r="L30" s="111"/>
      <x:c r="M30" s="111"/>
      <x:c r="N30" s="111"/>
      <x:c r="O30" s="111"/>
      <x:c r="P30" s="111"/>
      <x:c r="Q30" s="111"/>
      <x:c r="R30" s="111"/>
      <x:c r="S30" s="111"/>
      <x:c r="T30" s="111"/>
    </x:row>
    <x:row r="31" ht="28" customHeight="1">
      <x:c r="A31" s="107" t="str">
        <x:f>IF('Route List'!F31="","",'Route List'!F31)</x:f>
      </x:c>
      <x:c r="B31" s="90" t="str">
        <x:f>IF(A31="","",COUNTIFS(Trips!$D$6:$D$105,A31))</x:f>
      </x:c>
      <x:c r="C31" s="90" t="str">
        <x:f>IF(A31="","",SUMIFS(Trips!$M$6:$M$105,Trips!$D$6:$D$105,A31))</x:f>
      </x:c>
      <x:c r="D31" s="90" t="str">
        <x:f>IF(A31="","",SUMIFS(Trips!$N$6:$N$105,Trips!$D$6:$D$105,A31))</x:f>
      </x:c>
      <x:c r="E31" s="98" t="str">
        <x:f>IF(A31="","",SUMIFS(Trips!$O$6:$O$105,Trips!$D$6:$D$105,A31))</x:f>
      </x:c>
      <x:c r="F31" s="98" t="str">
        <x:f>IF(A31="","",SUMIFS(Trips!$P$6:$P$105,Trips!$D$6:$D$105,A31))</x:f>
      </x:c>
      <x:c r="G31" s="98" t="str">
        <x:f>IF(A31="","",SUMIFS(Trips!$Q$6:$Q$105,Trips!$D$6:$D$105,A31))</x:f>
      </x:c>
      <x:c r="H31" s="98" t="str">
        <x:f>IF(A31="","",SUMIFS(Trips!$R$6:$R$105,Trips!$D$6:$D$105,A31))</x:f>
      </x:c>
      <x:c r="I31" s="98" t="str">
        <x:f>IF(A31="","",SUMIFS(Trips!$S$6:$S$105,Trips!$D$6:$D$105,A31))</x:f>
      </x:c>
      <x:c r="J31" s="111"/>
      <x:c r="K31" s="111"/>
      <x:c r="L31" s="111"/>
      <x:c r="M31" s="111"/>
      <x:c r="N31" s="111"/>
      <x:c r="O31" s="111"/>
      <x:c r="P31" s="111"/>
      <x:c r="Q31" s="111"/>
      <x:c r="R31" s="111"/>
      <x:c r="S31" s="111"/>
      <x:c r="T31" s="111"/>
    </x:row>
    <x:row r="32" ht="28" customHeight="1">
      <x:c r="A32" s="107" t="str">
        <x:f>IF('Route List'!F32="","",'Route List'!F32)</x:f>
      </x:c>
      <x:c r="B32" s="90" t="str">
        <x:f>IF(A32="","",COUNTIFS(Trips!$D$6:$D$105,A32))</x:f>
      </x:c>
      <x:c r="C32" s="90" t="str">
        <x:f>IF(A32="","",SUMIFS(Trips!$M$6:$M$105,Trips!$D$6:$D$105,A32))</x:f>
      </x:c>
      <x:c r="D32" s="90" t="str">
        <x:f>IF(A32="","",SUMIFS(Trips!$N$6:$N$105,Trips!$D$6:$D$105,A32))</x:f>
      </x:c>
      <x:c r="E32" s="98" t="str">
        <x:f>IF(A32="","",SUMIFS(Trips!$O$6:$O$105,Trips!$D$6:$D$105,A32))</x:f>
      </x:c>
      <x:c r="F32" s="98" t="str">
        <x:f>IF(A32="","",SUMIFS(Trips!$P$6:$P$105,Trips!$D$6:$D$105,A32))</x:f>
      </x:c>
      <x:c r="G32" s="98" t="str">
        <x:f>IF(A32="","",SUMIFS(Trips!$Q$6:$Q$105,Trips!$D$6:$D$105,A32))</x:f>
      </x:c>
      <x:c r="H32" s="98" t="str">
        <x:f>IF(A32="","",SUMIFS(Trips!$R$6:$R$105,Trips!$D$6:$D$105,A32))</x:f>
      </x:c>
      <x:c r="I32" s="98" t="str">
        <x:f>IF(A32="","",SUMIFS(Trips!$S$6:$S$105,Trips!$D$6:$D$105,A32))</x:f>
      </x:c>
      <x:c r="J32" s="111"/>
      <x:c r="K32" s="111"/>
      <x:c r="L32" s="111"/>
      <x:c r="M32" s="111"/>
      <x:c r="N32" s="111"/>
      <x:c r="O32" s="111"/>
      <x:c r="P32" s="111"/>
      <x:c r="Q32" s="111"/>
      <x:c r="R32" s="111"/>
      <x:c r="S32" s="111"/>
      <x:c r="T32" s="111"/>
    </x:row>
    <x:row r="33" ht="28" customHeight="1">
      <x:c r="A33" s="107" t="str">
        <x:f>IF('Route List'!F33="","",'Route List'!F33)</x:f>
      </x:c>
      <x:c r="B33" s="90" t="str">
        <x:f>IF(A33="","",COUNTIFS(Trips!$D$6:$D$105,A33))</x:f>
      </x:c>
      <x:c r="C33" s="90" t="str">
        <x:f>IF(A33="","",SUMIFS(Trips!$M$6:$M$105,Trips!$D$6:$D$105,A33))</x:f>
      </x:c>
      <x:c r="D33" s="90" t="str">
        <x:f>IF(A33="","",SUMIFS(Trips!$N$6:$N$105,Trips!$D$6:$D$105,A33))</x:f>
      </x:c>
      <x:c r="E33" s="98" t="str">
        <x:f>IF(A33="","",SUMIFS(Trips!$O$6:$O$105,Trips!$D$6:$D$105,A33))</x:f>
      </x:c>
      <x:c r="F33" s="98" t="str">
        <x:f>IF(A33="","",SUMIFS(Trips!$P$6:$P$105,Trips!$D$6:$D$105,A33))</x:f>
      </x:c>
      <x:c r="G33" s="98" t="str">
        <x:f>IF(A33="","",SUMIFS(Trips!$Q$6:$Q$105,Trips!$D$6:$D$105,A33))</x:f>
      </x:c>
      <x:c r="H33" s="98" t="str">
        <x:f>IF(A33="","",SUMIFS(Trips!$R$6:$R$105,Trips!$D$6:$D$105,A33))</x:f>
      </x:c>
      <x:c r="I33" s="98" t="str">
        <x:f>IF(A33="","",SUMIFS(Trips!$S$6:$S$105,Trips!$D$6:$D$105,A33))</x:f>
      </x:c>
      <x:c r="J33" s="111"/>
      <x:c r="K33" s="111"/>
      <x:c r="L33" s="111"/>
      <x:c r="M33" s="111"/>
      <x:c r="N33" s="111"/>
      <x:c r="O33" s="111"/>
      <x:c r="P33" s="111"/>
      <x:c r="Q33" s="111"/>
      <x:c r="R33" s="111"/>
      <x:c r="S33" s="111"/>
      <x:c r="T33" s="111"/>
    </x:row>
    <x:row r="34" ht="28" customHeight="1">
      <x:c r="A34" s="107" t="str">
        <x:f>IF('Route List'!F34="","",'Route List'!F34)</x:f>
      </x:c>
      <x:c r="B34" s="90" t="str">
        <x:f>IF(A34="","",COUNTIFS(Trips!$D$6:$D$105,A34))</x:f>
      </x:c>
      <x:c r="C34" s="90" t="str">
        <x:f>IF(A34="","",SUMIFS(Trips!$M$6:$M$105,Trips!$D$6:$D$105,A34))</x:f>
      </x:c>
      <x:c r="D34" s="90" t="str">
        <x:f>IF(A34="","",SUMIFS(Trips!$N$6:$N$105,Trips!$D$6:$D$105,A34))</x:f>
      </x:c>
      <x:c r="E34" s="98" t="str">
        <x:f>IF(A34="","",SUMIFS(Trips!$O$6:$O$105,Trips!$D$6:$D$105,A34))</x:f>
      </x:c>
      <x:c r="F34" s="98" t="str">
        <x:f>IF(A34="","",SUMIFS(Trips!$P$6:$P$105,Trips!$D$6:$D$105,A34))</x:f>
      </x:c>
      <x:c r="G34" s="98" t="str">
        <x:f>IF(A34="","",SUMIFS(Trips!$Q$6:$Q$105,Trips!$D$6:$D$105,A34))</x:f>
      </x:c>
      <x:c r="H34" s="98" t="str">
        <x:f>IF(A34="","",SUMIFS(Trips!$R$6:$R$105,Trips!$D$6:$D$105,A34))</x:f>
      </x:c>
      <x:c r="I34" s="98" t="str">
        <x:f>IF(A34="","",SUMIFS(Trips!$S$6:$S$105,Trips!$D$6:$D$105,A34))</x:f>
      </x:c>
      <x:c r="J34" s="111"/>
      <x:c r="K34" s="111"/>
      <x:c r="L34" s="111"/>
      <x:c r="M34" s="111"/>
      <x:c r="N34" s="111"/>
      <x:c r="O34" s="111"/>
      <x:c r="P34" s="111"/>
      <x:c r="Q34" s="111"/>
      <x:c r="R34" s="111"/>
      <x:c r="S34" s="111"/>
      <x:c r="T34" s="111"/>
    </x:row>
    <x:row r="35" ht="28" customHeight="1">
      <x:c r="A35" s="107" t="str">
        <x:f>IF('Route List'!F35="","",'Route List'!F35)</x:f>
      </x:c>
      <x:c r="B35" s="90" t="str">
        <x:f>IF(A35="","",COUNTIFS(Trips!$D$6:$D$105,A35))</x:f>
      </x:c>
      <x:c r="C35" s="90" t="str">
        <x:f>IF(A35="","",SUMIFS(Trips!$M$6:$M$105,Trips!$D$6:$D$105,A35))</x:f>
      </x:c>
      <x:c r="D35" s="90" t="str">
        <x:f>IF(A35="","",SUMIFS(Trips!$N$6:$N$105,Trips!$D$6:$D$105,A35))</x:f>
      </x:c>
      <x:c r="E35" s="98" t="str">
        <x:f>IF(A35="","",SUMIFS(Trips!$O$6:$O$105,Trips!$D$6:$D$105,A35))</x:f>
      </x:c>
      <x:c r="F35" s="98" t="str">
        <x:f>IF(A35="","",SUMIFS(Trips!$P$6:$P$105,Trips!$D$6:$D$105,A35))</x:f>
      </x:c>
      <x:c r="G35" s="98" t="str">
        <x:f>IF(A35="","",SUMIFS(Trips!$Q$6:$Q$105,Trips!$D$6:$D$105,A35))</x:f>
      </x:c>
      <x:c r="H35" s="98" t="str">
        <x:f>IF(A35="","",SUMIFS(Trips!$R$6:$R$105,Trips!$D$6:$D$105,A35))</x:f>
      </x:c>
      <x:c r="I35" s="98" t="str">
        <x:f>IF(A35="","",SUMIFS(Trips!$S$6:$S$105,Trips!$D$6:$D$105,A35))</x:f>
      </x:c>
      <x:c r="J35" s="111"/>
      <x:c r="K35" s="111"/>
      <x:c r="L35" s="111"/>
      <x:c r="M35" s="111"/>
      <x:c r="N35" s="111"/>
      <x:c r="O35" s="111"/>
      <x:c r="P35" s="111"/>
      <x:c r="Q35" s="111"/>
      <x:c r="R35" s="111"/>
      <x:c r="S35" s="111"/>
      <x:c r="T35" s="111"/>
    </x:row>
    <x:row r="36" ht="28" customHeight="1">
      <x:c r="A36" s="107" t="str">
        <x:f>IF('Route List'!F36="","",'Route List'!F36)</x:f>
      </x:c>
      <x:c r="B36" s="90" t="str">
        <x:f>IF(A36="","",COUNTIFS(Trips!$D$6:$D$105,A36))</x:f>
      </x:c>
      <x:c r="C36" s="90" t="str">
        <x:f>IF(A36="","",SUMIFS(Trips!$M$6:$M$105,Trips!$D$6:$D$105,A36))</x:f>
      </x:c>
      <x:c r="D36" s="90" t="str">
        <x:f>IF(A36="","",SUMIFS(Trips!$N$6:$N$105,Trips!$D$6:$D$105,A36))</x:f>
      </x:c>
      <x:c r="E36" s="98" t="str">
        <x:f>IF(A36="","",SUMIFS(Trips!$O$6:$O$105,Trips!$D$6:$D$105,A36))</x:f>
      </x:c>
      <x:c r="F36" s="98" t="str">
        <x:f>IF(A36="","",SUMIFS(Trips!$P$6:$P$105,Trips!$D$6:$D$105,A36))</x:f>
      </x:c>
      <x:c r="G36" s="98" t="str">
        <x:f>IF(A36="","",SUMIFS(Trips!$Q$6:$Q$105,Trips!$D$6:$D$105,A36))</x:f>
      </x:c>
      <x:c r="H36" s="98" t="str">
        <x:f>IF(A36="","",SUMIFS(Trips!$R$6:$R$105,Trips!$D$6:$D$105,A36))</x:f>
      </x:c>
      <x:c r="I36" s="98" t="str">
        <x:f>IF(A36="","",SUMIFS(Trips!$S$6:$S$105,Trips!$D$6:$D$105,A36))</x:f>
      </x:c>
      <x:c r="J36" s="111"/>
      <x:c r="K36" s="111"/>
      <x:c r="L36" s="111"/>
      <x:c r="M36" s="111"/>
      <x:c r="N36" s="111"/>
      <x:c r="O36" s="111"/>
      <x:c r="P36" s="111"/>
      <x:c r="Q36" s="111"/>
      <x:c r="R36" s="111"/>
      <x:c r="S36" s="111"/>
      <x:c r="T36" s="111"/>
    </x:row>
    <x:row r="37" ht="28" customHeight="1">
      <x:c r="A37" s="107" t="str">
        <x:f>IF('Route List'!F37="","",'Route List'!F37)</x:f>
      </x:c>
      <x:c r="B37" s="90" t="str">
        <x:f>IF(A37="","",COUNTIFS(Trips!$D$6:$D$105,A37))</x:f>
      </x:c>
      <x:c r="C37" s="90" t="str">
        <x:f>IF(A37="","",SUMIFS(Trips!$M$6:$M$105,Trips!$D$6:$D$105,A37))</x:f>
      </x:c>
      <x:c r="D37" s="90" t="str">
        <x:f>IF(A37="","",SUMIFS(Trips!$N$6:$N$105,Trips!$D$6:$D$105,A37))</x:f>
      </x:c>
      <x:c r="E37" s="98" t="str">
        <x:f>IF(A37="","",SUMIFS(Trips!$O$6:$O$105,Trips!$D$6:$D$105,A37))</x:f>
      </x:c>
      <x:c r="F37" s="98" t="str">
        <x:f>IF(A37="","",SUMIFS(Trips!$P$6:$P$105,Trips!$D$6:$D$105,A37))</x:f>
      </x:c>
      <x:c r="G37" s="98" t="str">
        <x:f>IF(A37="","",SUMIFS(Trips!$Q$6:$Q$105,Trips!$D$6:$D$105,A37))</x:f>
      </x:c>
      <x:c r="H37" s="98" t="str">
        <x:f>IF(A37="","",SUMIFS(Trips!$R$6:$R$105,Trips!$D$6:$D$105,A37))</x:f>
      </x:c>
      <x:c r="I37" s="98" t="str">
        <x:f>IF(A37="","",SUMIFS(Trips!$S$6:$S$105,Trips!$D$6:$D$105,A37))</x:f>
      </x:c>
      <x:c r="J37" s="111"/>
      <x:c r="K37" s="111"/>
      <x:c r="L37" s="111"/>
      <x:c r="M37" s="111"/>
      <x:c r="N37" s="111"/>
      <x:c r="O37" s="111"/>
      <x:c r="P37" s="111"/>
      <x:c r="Q37" s="111"/>
      <x:c r="R37" s="111"/>
      <x:c r="S37" s="111"/>
      <x:c r="T37" s="111"/>
    </x:row>
    <x:row r="38" ht="28" customHeight="1">
      <x:c r="A38" s="107" t="str">
        <x:f>IF('Route List'!F38="","",'Route List'!F38)</x:f>
      </x:c>
      <x:c r="B38" s="90" t="str">
        <x:f>IF(A38="","",COUNTIFS(Trips!$D$6:$D$105,A38))</x:f>
      </x:c>
      <x:c r="C38" s="90" t="str">
        <x:f>IF(A38="","",SUMIFS(Trips!$M$6:$M$105,Trips!$D$6:$D$105,A38))</x:f>
      </x:c>
      <x:c r="D38" s="90" t="str">
        <x:f>IF(A38="","",SUMIFS(Trips!$N$6:$N$105,Trips!$D$6:$D$105,A38))</x:f>
      </x:c>
      <x:c r="E38" s="98" t="str">
        <x:f>IF(A38="","",SUMIFS(Trips!$O$6:$O$105,Trips!$D$6:$D$105,A38))</x:f>
      </x:c>
      <x:c r="F38" s="98" t="str">
        <x:f>IF(A38="","",SUMIFS(Trips!$P$6:$P$105,Trips!$D$6:$D$105,A38))</x:f>
      </x:c>
      <x:c r="G38" s="98" t="str">
        <x:f>IF(A38="","",SUMIFS(Trips!$Q$6:$Q$105,Trips!$D$6:$D$105,A38))</x:f>
      </x:c>
      <x:c r="H38" s="98" t="str">
        <x:f>IF(A38="","",SUMIFS(Trips!$R$6:$R$105,Trips!$D$6:$D$105,A38))</x:f>
      </x:c>
      <x:c r="I38" s="98" t="str">
        <x:f>IF(A38="","",SUMIFS(Trips!$S$6:$S$105,Trips!$D$6:$D$105,A38))</x:f>
      </x:c>
      <x:c r="J38" s="111"/>
      <x:c r="K38" s="111"/>
      <x:c r="L38" s="111"/>
      <x:c r="M38" s="111"/>
      <x:c r="N38" s="111"/>
      <x:c r="O38" s="111"/>
      <x:c r="P38" s="111"/>
      <x:c r="Q38" s="111"/>
      <x:c r="R38" s="111"/>
      <x:c r="S38" s="111"/>
      <x:c r="T38" s="111"/>
    </x:row>
    <x:row r="39" ht="28" customHeight="1">
      <x:c r="A39" s="107" t="str">
        <x:f>IF('Route List'!F39="","",'Route List'!F39)</x:f>
      </x:c>
      <x:c r="B39" s="90" t="str">
        <x:f>IF(A39="","",COUNTIFS(Trips!$D$6:$D$105,A39))</x:f>
      </x:c>
      <x:c r="C39" s="90" t="str">
        <x:f>IF(A39="","",SUMIFS(Trips!$M$6:$M$105,Trips!$D$6:$D$105,A39))</x:f>
      </x:c>
      <x:c r="D39" s="90" t="str">
        <x:f>IF(A39="","",SUMIFS(Trips!$N$6:$N$105,Trips!$D$6:$D$105,A39))</x:f>
      </x:c>
      <x:c r="E39" s="98" t="str">
        <x:f>IF(A39="","",SUMIFS(Trips!$O$6:$O$105,Trips!$D$6:$D$105,A39))</x:f>
      </x:c>
      <x:c r="F39" s="98" t="str">
        <x:f>IF(A39="","",SUMIFS(Trips!$P$6:$P$105,Trips!$D$6:$D$105,A39))</x:f>
      </x:c>
      <x:c r="G39" s="98" t="str">
        <x:f>IF(A39="","",SUMIFS(Trips!$Q$6:$Q$105,Trips!$D$6:$D$105,A39))</x:f>
      </x:c>
      <x:c r="H39" s="98" t="str">
        <x:f>IF(A39="","",SUMIFS(Trips!$R$6:$R$105,Trips!$D$6:$D$105,A39))</x:f>
      </x:c>
      <x:c r="I39" s="98" t="str">
        <x:f>IF(A39="","",SUMIFS(Trips!$S$6:$S$105,Trips!$D$6:$D$105,A39))</x:f>
      </x:c>
      <x:c r="J39" s="111"/>
      <x:c r="K39" s="111"/>
      <x:c r="L39" s="111"/>
      <x:c r="M39" s="111"/>
      <x:c r="N39" s="111"/>
      <x:c r="O39" s="111"/>
      <x:c r="P39" s="111"/>
      <x:c r="Q39" s="111"/>
      <x:c r="R39" s="111"/>
      <x:c r="S39" s="111"/>
      <x:c r="T39" s="111"/>
    </x:row>
    <x:row r="40" ht="28" customHeight="1">
      <x:c r="A40" s="107" t="str">
        <x:f>IF('Route List'!F40="","",'Route List'!F40)</x:f>
      </x:c>
      <x:c r="B40" s="90" t="str">
        <x:f>IF(A40="","",COUNTIFS(Trips!$D$6:$D$105,A40))</x:f>
      </x:c>
      <x:c r="C40" s="90" t="str">
        <x:f>IF(A40="","",SUMIFS(Trips!$M$6:$M$105,Trips!$D$6:$D$105,A40))</x:f>
      </x:c>
      <x:c r="D40" s="90" t="str">
        <x:f>IF(A40="","",SUMIFS(Trips!$N$6:$N$105,Trips!$D$6:$D$105,A40))</x:f>
      </x:c>
      <x:c r="E40" s="98" t="str">
        <x:f>IF(A40="","",SUMIFS(Trips!$O$6:$O$105,Trips!$D$6:$D$105,A40))</x:f>
      </x:c>
      <x:c r="F40" s="98" t="str">
        <x:f>IF(A40="","",SUMIFS(Trips!$P$6:$P$105,Trips!$D$6:$D$105,A40))</x:f>
      </x:c>
      <x:c r="G40" s="98" t="str">
        <x:f>IF(A40="","",SUMIFS(Trips!$Q$6:$Q$105,Trips!$D$6:$D$105,A40))</x:f>
      </x:c>
      <x:c r="H40" s="98" t="str">
        <x:f>IF(A40="","",SUMIFS(Trips!$R$6:$R$105,Trips!$D$6:$D$105,A40))</x:f>
      </x:c>
      <x:c r="I40" s="98" t="str">
        <x:f>IF(A40="","",SUMIFS(Trips!$S$6:$S$105,Trips!$D$6:$D$105,A40))</x:f>
      </x:c>
      <x:c r="J40" s="111"/>
      <x:c r="K40" s="111"/>
      <x:c r="L40" s="111"/>
      <x:c r="M40" s="111"/>
      <x:c r="N40" s="111"/>
      <x:c r="O40" s="111"/>
      <x:c r="P40" s="111"/>
      <x:c r="Q40" s="111"/>
      <x:c r="R40" s="111"/>
      <x:c r="S40" s="111"/>
      <x:c r="T40" s="111"/>
    </x:row>
    <x:row r="41" ht="28" customHeight="1">
      <x:c r="A41" s="107" t="str">
        <x:f>IF('Route List'!F41="","",'Route List'!F41)</x:f>
      </x:c>
      <x:c r="B41" s="90" t="str">
        <x:f>IF(A41="","",COUNTIFS(Trips!$D$6:$D$105,A41))</x:f>
      </x:c>
      <x:c r="C41" s="90" t="str">
        <x:f>IF(A41="","",SUMIFS(Trips!$M$6:$M$105,Trips!$D$6:$D$105,A41))</x:f>
      </x:c>
      <x:c r="D41" s="90" t="str">
        <x:f>IF(A41="","",SUMIFS(Trips!$N$6:$N$105,Trips!$D$6:$D$105,A41))</x:f>
      </x:c>
      <x:c r="E41" s="98" t="str">
        <x:f>IF(A41="","",SUMIFS(Trips!$O$6:$O$105,Trips!$D$6:$D$105,A41))</x:f>
      </x:c>
      <x:c r="F41" s="98" t="str">
        <x:f>IF(A41="","",SUMIFS(Trips!$P$6:$P$105,Trips!$D$6:$D$105,A41))</x:f>
      </x:c>
      <x:c r="G41" s="98" t="str">
        <x:f>IF(A41="","",SUMIFS(Trips!$Q$6:$Q$105,Trips!$D$6:$D$105,A41))</x:f>
      </x:c>
      <x:c r="H41" s="98" t="str">
        <x:f>IF(A41="","",SUMIFS(Trips!$R$6:$R$105,Trips!$D$6:$D$105,A41))</x:f>
      </x:c>
      <x:c r="I41" s="98" t="str">
        <x:f>IF(A41="","",SUMIFS(Trips!$S$6:$S$105,Trips!$D$6:$D$105,A41))</x:f>
      </x:c>
      <x:c r="J41" s="111"/>
      <x:c r="K41" s="111"/>
      <x:c r="L41" s="111"/>
      <x:c r="M41" s="111"/>
      <x:c r="N41" s="111"/>
      <x:c r="O41" s="111"/>
      <x:c r="P41" s="111"/>
      <x:c r="Q41" s="111"/>
      <x:c r="R41" s="111"/>
      <x:c r="S41" s="111"/>
      <x:c r="T41" s="111"/>
    </x:row>
    <x:row r="42" ht="28" customHeight="1">
      <x:c r="A42" s="107" t="str">
        <x:f>IF('Route List'!F42="","",'Route List'!F42)</x:f>
      </x:c>
      <x:c r="B42" s="90" t="str">
        <x:f>IF(A42="","",COUNTIFS(Trips!$D$6:$D$105,A42))</x:f>
      </x:c>
      <x:c r="C42" s="90" t="str">
        <x:f>IF(A42="","",SUMIFS(Trips!$M$6:$M$105,Trips!$D$6:$D$105,A42))</x:f>
      </x:c>
      <x:c r="D42" s="90" t="str">
        <x:f>IF(A42="","",SUMIFS(Trips!$N$6:$N$105,Trips!$D$6:$D$105,A42))</x:f>
      </x:c>
      <x:c r="E42" s="98" t="str">
        <x:f>IF(A42="","",SUMIFS(Trips!$O$6:$O$105,Trips!$D$6:$D$105,A42))</x:f>
      </x:c>
      <x:c r="F42" s="98" t="str">
        <x:f>IF(A42="","",SUMIFS(Trips!$P$6:$P$105,Trips!$D$6:$D$105,A42))</x:f>
      </x:c>
      <x:c r="G42" s="98" t="str">
        <x:f>IF(A42="","",SUMIFS(Trips!$Q$6:$Q$105,Trips!$D$6:$D$105,A42))</x:f>
      </x:c>
      <x:c r="H42" s="98" t="str">
        <x:f>IF(A42="","",SUMIFS(Trips!$R$6:$R$105,Trips!$D$6:$D$105,A42))</x:f>
      </x:c>
      <x:c r="I42" s="98" t="str">
        <x:f>IF(A42="","",SUMIFS(Trips!$S$6:$S$105,Trips!$D$6:$D$105,A42))</x:f>
      </x:c>
      <x:c r="J42" s="111"/>
      <x:c r="K42" s="111"/>
      <x:c r="L42" s="111"/>
      <x:c r="M42" s="111"/>
      <x:c r="N42" s="111"/>
      <x:c r="O42" s="111"/>
      <x:c r="P42" s="111"/>
      <x:c r="Q42" s="111"/>
      <x:c r="R42" s="111"/>
      <x:c r="S42" s="111"/>
      <x:c r="T42" s="111"/>
    </x:row>
    <x:row r="43" ht="28" customHeight="1">
      <x:c r="A43" s="107" t="str">
        <x:f>IF('Route List'!F43="","",'Route List'!F43)</x:f>
      </x:c>
      <x:c r="B43" s="90" t="str">
        <x:f>IF(A43="","",COUNTIFS(Trips!$D$6:$D$105,A43))</x:f>
      </x:c>
      <x:c r="C43" s="90" t="str">
        <x:f>IF(A43="","",SUMIFS(Trips!$M$6:$M$105,Trips!$D$6:$D$105,A43))</x:f>
      </x:c>
      <x:c r="D43" s="90" t="str">
        <x:f>IF(A43="","",SUMIFS(Trips!$N$6:$N$105,Trips!$D$6:$D$105,A43))</x:f>
      </x:c>
      <x:c r="E43" s="98" t="str">
        <x:f>IF(A43="","",SUMIFS(Trips!$O$6:$O$105,Trips!$D$6:$D$105,A43))</x:f>
      </x:c>
      <x:c r="F43" s="98" t="str">
        <x:f>IF(A43="","",SUMIFS(Trips!$P$6:$P$105,Trips!$D$6:$D$105,A43))</x:f>
      </x:c>
      <x:c r="G43" s="98" t="str">
        <x:f>IF(A43="","",SUMIFS(Trips!$Q$6:$Q$105,Trips!$D$6:$D$105,A43))</x:f>
      </x:c>
      <x:c r="H43" s="98" t="str">
        <x:f>IF(A43="","",SUMIFS(Trips!$R$6:$R$105,Trips!$D$6:$D$105,A43))</x:f>
      </x:c>
      <x:c r="I43" s="98" t="str">
        <x:f>IF(A43="","",SUMIFS(Trips!$S$6:$S$105,Trips!$D$6:$D$105,A43))</x:f>
      </x:c>
      <x:c r="J43" s="111"/>
      <x:c r="K43" s="111"/>
      <x:c r="L43" s="111"/>
      <x:c r="M43" s="111"/>
      <x:c r="N43" s="111"/>
      <x:c r="O43" s="111"/>
      <x:c r="P43" s="111"/>
      <x:c r="Q43" s="111"/>
      <x:c r="R43" s="111"/>
      <x:c r="S43" s="111"/>
      <x:c r="T43" s="111"/>
    </x:row>
    <x:row r="44" ht="28" customHeight="1">
      <x:c r="A44" s="107" t="str">
        <x:f>IF('Route List'!F44="","",'Route List'!F44)</x:f>
      </x:c>
      <x:c r="B44" s="90" t="str">
        <x:f>IF(A44="","",COUNTIFS(Trips!$D$6:$D$105,A44))</x:f>
      </x:c>
      <x:c r="C44" s="90" t="str">
        <x:f>IF(A44="","",SUMIFS(Trips!$M$6:$M$105,Trips!$D$6:$D$105,A44))</x:f>
      </x:c>
      <x:c r="D44" s="90" t="str">
        <x:f>IF(A44="","",SUMIFS(Trips!$N$6:$N$105,Trips!$D$6:$D$105,A44))</x:f>
      </x:c>
      <x:c r="E44" s="98" t="str">
        <x:f>IF(A44="","",SUMIFS(Trips!$O$6:$O$105,Trips!$D$6:$D$105,A44))</x:f>
      </x:c>
      <x:c r="F44" s="98" t="str">
        <x:f>IF(A44="","",SUMIFS(Trips!$P$6:$P$105,Trips!$D$6:$D$105,A44))</x:f>
      </x:c>
      <x:c r="G44" s="98" t="str">
        <x:f>IF(A44="","",SUMIFS(Trips!$Q$6:$Q$105,Trips!$D$6:$D$105,A44))</x:f>
      </x:c>
      <x:c r="H44" s="98" t="str">
        <x:f>IF(A44="","",SUMIFS(Trips!$R$6:$R$105,Trips!$D$6:$D$105,A44))</x:f>
      </x:c>
      <x:c r="I44" s="98" t="str">
        <x:f>IF(A44="","",SUMIFS(Trips!$S$6:$S$105,Trips!$D$6:$D$105,A44))</x:f>
      </x:c>
      <x:c r="J44" s="111"/>
      <x:c r="K44" s="111"/>
      <x:c r="L44" s="111"/>
      <x:c r="M44" s="111"/>
      <x:c r="N44" s="111"/>
      <x:c r="O44" s="111"/>
      <x:c r="P44" s="111"/>
      <x:c r="Q44" s="111"/>
      <x:c r="R44" s="111"/>
      <x:c r="S44" s="111"/>
      <x:c r="T44" s="111"/>
    </x:row>
    <x:row r="45" ht="28" customHeight="1">
      <x:c r="A45" s="107" t="str">
        <x:f>IF('Route List'!F45="","",'Route List'!F45)</x:f>
      </x:c>
      <x:c r="B45" s="90" t="str">
        <x:f>IF(A45="","",COUNTIFS(Trips!$D$6:$D$105,A45))</x:f>
      </x:c>
      <x:c r="C45" s="90" t="str">
        <x:f>IF(A45="","",SUMIFS(Trips!$M$6:$M$105,Trips!$D$6:$D$105,A45))</x:f>
      </x:c>
      <x:c r="D45" s="90" t="str">
        <x:f>IF(A45="","",SUMIFS(Trips!$N$6:$N$105,Trips!$D$6:$D$105,A45))</x:f>
      </x:c>
      <x:c r="E45" s="98" t="str">
        <x:f>IF(A45="","",SUMIFS(Trips!$O$6:$O$105,Trips!$D$6:$D$105,A45))</x:f>
      </x:c>
      <x:c r="F45" s="98" t="str">
        <x:f>IF(A45="","",SUMIFS(Trips!$P$6:$P$105,Trips!$D$6:$D$105,A45))</x:f>
      </x:c>
      <x:c r="G45" s="98" t="str">
        <x:f>IF(A45="","",SUMIFS(Trips!$Q$6:$Q$105,Trips!$D$6:$D$105,A45))</x:f>
      </x:c>
      <x:c r="H45" s="98" t="str">
        <x:f>IF(A45="","",SUMIFS(Trips!$R$6:$R$105,Trips!$D$6:$D$105,A45))</x:f>
      </x:c>
      <x:c r="I45" s="98" t="str">
        <x:f>IF(A45="","",SUMIFS(Trips!$S$6:$S$105,Trips!$D$6:$D$105,A45))</x:f>
      </x:c>
      <x:c r="J45" s="111"/>
      <x:c r="K45" s="111"/>
      <x:c r="L45" s="111"/>
      <x:c r="M45" s="111"/>
      <x:c r="N45" s="111"/>
      <x:c r="O45" s="111"/>
      <x:c r="P45" s="111"/>
      <x:c r="Q45" s="111"/>
      <x:c r="R45" s="111"/>
      <x:c r="S45" s="111"/>
      <x:c r="T45" s="111"/>
    </x:row>
    <x:row r="46" ht="28" customHeight="1">
      <x:c r="A46" s="107" t="str">
        <x:f>IF('Route List'!F46="","",'Route List'!F46)</x:f>
      </x:c>
      <x:c r="B46" s="90" t="str">
        <x:f>IF(A46="","",COUNTIFS(Trips!$D$6:$D$105,A46))</x:f>
      </x:c>
      <x:c r="C46" s="90" t="str">
        <x:f>IF(A46="","",SUMIFS(Trips!$M$6:$M$105,Trips!$D$6:$D$105,A46))</x:f>
      </x:c>
      <x:c r="D46" s="90" t="str">
        <x:f>IF(A46="","",SUMIFS(Trips!$N$6:$N$105,Trips!$D$6:$D$105,A46))</x:f>
      </x:c>
      <x:c r="E46" s="98" t="str">
        <x:f>IF(A46="","",SUMIFS(Trips!$O$6:$O$105,Trips!$D$6:$D$105,A46))</x:f>
      </x:c>
      <x:c r="F46" s="98" t="str">
        <x:f>IF(A46="","",SUMIFS(Trips!$P$6:$P$105,Trips!$D$6:$D$105,A46))</x:f>
      </x:c>
      <x:c r="G46" s="98" t="str">
        <x:f>IF(A46="","",SUMIFS(Trips!$Q$6:$Q$105,Trips!$D$6:$D$105,A46))</x:f>
      </x:c>
      <x:c r="H46" s="98" t="str">
        <x:f>IF(A46="","",SUMIFS(Trips!$R$6:$R$105,Trips!$D$6:$D$105,A46))</x:f>
      </x:c>
      <x:c r="I46" s="98" t="str">
        <x:f>IF(A46="","",SUMIFS(Trips!$S$6:$S$105,Trips!$D$6:$D$105,A46))</x:f>
      </x:c>
      <x:c r="J46" s="111"/>
      <x:c r="K46" s="111"/>
      <x:c r="L46" s="111"/>
      <x:c r="M46" s="111"/>
      <x:c r="N46" s="111"/>
      <x:c r="O46" s="111"/>
      <x:c r="P46" s="111"/>
      <x:c r="Q46" s="111"/>
      <x:c r="R46" s="111"/>
      <x:c r="S46" s="111"/>
      <x:c r="T46" s="111"/>
    </x:row>
    <x:row r="47" ht="28" customHeight="1">
      <x:c r="A47" s="107" t="str">
        <x:f>IF('Route List'!F47="","",'Route List'!F47)</x:f>
      </x:c>
      <x:c r="B47" s="90" t="str">
        <x:f>IF(A47="","",COUNTIFS(Trips!$D$6:$D$105,A47))</x:f>
      </x:c>
      <x:c r="C47" s="90" t="str">
        <x:f>IF(A47="","",SUMIFS(Trips!$M$6:$M$105,Trips!$D$6:$D$105,A47))</x:f>
      </x:c>
      <x:c r="D47" s="90" t="str">
        <x:f>IF(A47="","",SUMIFS(Trips!$N$6:$N$105,Trips!$D$6:$D$105,A47))</x:f>
      </x:c>
      <x:c r="E47" s="98" t="str">
        <x:f>IF(A47="","",SUMIFS(Trips!$O$6:$O$105,Trips!$D$6:$D$105,A47))</x:f>
      </x:c>
      <x:c r="F47" s="98" t="str">
        <x:f>IF(A47="","",SUMIFS(Trips!$P$6:$P$105,Trips!$D$6:$D$105,A47))</x:f>
      </x:c>
      <x:c r="G47" s="98" t="str">
        <x:f>IF(A47="","",SUMIFS(Trips!$Q$6:$Q$105,Trips!$D$6:$D$105,A47))</x:f>
      </x:c>
      <x:c r="H47" s="98" t="str">
        <x:f>IF(A47="","",SUMIFS(Trips!$R$6:$R$105,Trips!$D$6:$D$105,A47))</x:f>
      </x:c>
      <x:c r="I47" s="98" t="str">
        <x:f>IF(A47="","",SUMIFS(Trips!$S$6:$S$105,Trips!$D$6:$D$105,A47))</x:f>
      </x:c>
      <x:c r="J47" s="111"/>
      <x:c r="K47" s="111"/>
      <x:c r="L47" s="111"/>
      <x:c r="M47" s="111"/>
      <x:c r="N47" s="111"/>
      <x:c r="O47" s="111"/>
      <x:c r="P47" s="111"/>
      <x:c r="Q47" s="111"/>
      <x:c r="R47" s="111"/>
      <x:c r="S47" s="111"/>
      <x:c r="T47" s="111"/>
    </x:row>
    <x:row r="48" ht="28" customHeight="1">
      <x:c r="A48" s="107" t="str">
        <x:f>IF('Route List'!F48="","",'Route List'!F48)</x:f>
      </x:c>
      <x:c r="B48" s="90" t="str">
        <x:f>IF(A48="","",COUNTIFS(Trips!$D$6:$D$105,A48))</x:f>
      </x:c>
      <x:c r="C48" s="90" t="str">
        <x:f>IF(A48="","",SUMIFS(Trips!$M$6:$M$105,Trips!$D$6:$D$105,A48))</x:f>
      </x:c>
      <x:c r="D48" s="90" t="str">
        <x:f>IF(A48="","",SUMIFS(Trips!$N$6:$N$105,Trips!$D$6:$D$105,A48))</x:f>
      </x:c>
      <x:c r="E48" s="98" t="str">
        <x:f>IF(A48="","",SUMIFS(Trips!$O$6:$O$105,Trips!$D$6:$D$105,A48))</x:f>
      </x:c>
      <x:c r="F48" s="98" t="str">
        <x:f>IF(A48="","",SUMIFS(Trips!$P$6:$P$105,Trips!$D$6:$D$105,A48))</x:f>
      </x:c>
      <x:c r="G48" s="98" t="str">
        <x:f>IF(A48="","",SUMIFS(Trips!$Q$6:$Q$105,Trips!$D$6:$D$105,A48))</x:f>
      </x:c>
      <x:c r="H48" s="98" t="str">
        <x:f>IF(A48="","",SUMIFS(Trips!$R$6:$R$105,Trips!$D$6:$D$105,A48))</x:f>
      </x:c>
      <x:c r="I48" s="98" t="str">
        <x:f>IF(A48="","",SUMIFS(Trips!$S$6:$S$105,Trips!$D$6:$D$105,A48))</x:f>
      </x:c>
      <x:c r="J48" s="111"/>
      <x:c r="K48" s="111"/>
      <x:c r="L48" s="111"/>
      <x:c r="M48" s="111"/>
      <x:c r="N48" s="111"/>
      <x:c r="O48" s="111"/>
      <x:c r="P48" s="111"/>
      <x:c r="Q48" s="111"/>
      <x:c r="R48" s="111"/>
      <x:c r="S48" s="111"/>
      <x:c r="T48" s="111"/>
    </x:row>
    <x:row r="49" ht="28" customHeight="1">
      <x:c r="A49" s="107" t="str">
        <x:f>IF('Route List'!F49="","",'Route List'!F49)</x:f>
      </x:c>
      <x:c r="B49" s="90" t="str">
        <x:f>IF(A49="","",COUNTIFS(Trips!$D$6:$D$105,A49))</x:f>
      </x:c>
      <x:c r="C49" s="90" t="str">
        <x:f>IF(A49="","",SUMIFS(Trips!$M$6:$M$105,Trips!$D$6:$D$105,A49))</x:f>
      </x:c>
      <x:c r="D49" s="90" t="str">
        <x:f>IF(A49="","",SUMIFS(Trips!$N$6:$N$105,Trips!$D$6:$D$105,A49))</x:f>
      </x:c>
      <x:c r="E49" s="98" t="str">
        <x:f>IF(A49="","",SUMIFS(Trips!$O$6:$O$105,Trips!$D$6:$D$105,A49))</x:f>
      </x:c>
      <x:c r="F49" s="98" t="str">
        <x:f>IF(A49="","",SUMIFS(Trips!$P$6:$P$105,Trips!$D$6:$D$105,A49))</x:f>
      </x:c>
      <x:c r="G49" s="98" t="str">
        <x:f>IF(A49="","",SUMIFS(Trips!$Q$6:$Q$105,Trips!$D$6:$D$105,A49))</x:f>
      </x:c>
      <x:c r="H49" s="98" t="str">
        <x:f>IF(A49="","",SUMIFS(Trips!$R$6:$R$105,Trips!$D$6:$D$105,A49))</x:f>
      </x:c>
      <x:c r="I49" s="98" t="str">
        <x:f>IF(A49="","",SUMIFS(Trips!$S$6:$S$105,Trips!$D$6:$D$105,A49))</x:f>
      </x:c>
      <x:c r="J49" s="111"/>
      <x:c r="K49" s="111"/>
      <x:c r="L49" s="111"/>
      <x:c r="M49" s="111"/>
      <x:c r="N49" s="111"/>
      <x:c r="O49" s="111"/>
      <x:c r="P49" s="111"/>
      <x:c r="Q49" s="111"/>
      <x:c r="R49" s="111"/>
      <x:c r="S49" s="111"/>
      <x:c r="T49" s="111"/>
    </x:row>
    <x:row r="50" ht="28" customHeight="1">
      <x:c r="A50" s="107" t="str">
        <x:f>IF('Route List'!F50="","",'Route List'!F50)</x:f>
      </x:c>
      <x:c r="B50" s="90" t="str">
        <x:f>IF(A50="","",COUNTIFS(Trips!$D$6:$D$105,A50))</x:f>
      </x:c>
      <x:c r="C50" s="90" t="str">
        <x:f>IF(A50="","",SUMIFS(Trips!$M$6:$M$105,Trips!$D$6:$D$105,A50))</x:f>
      </x:c>
      <x:c r="D50" s="90" t="str">
        <x:f>IF(A50="","",SUMIFS(Trips!$N$6:$N$105,Trips!$D$6:$D$105,A50))</x:f>
      </x:c>
      <x:c r="E50" s="98" t="str">
        <x:f>IF(A50="","",SUMIFS(Trips!$O$6:$O$105,Trips!$D$6:$D$105,A50))</x:f>
      </x:c>
      <x:c r="F50" s="98" t="str">
        <x:f>IF(A50="","",SUMIFS(Trips!$P$6:$P$105,Trips!$D$6:$D$105,A50))</x:f>
      </x:c>
      <x:c r="G50" s="98" t="str">
        <x:f>IF(A50="","",SUMIFS(Trips!$Q$6:$Q$105,Trips!$D$6:$D$105,A50))</x:f>
      </x:c>
      <x:c r="H50" s="98" t="str">
        <x:f>IF(A50="","",SUMIFS(Trips!$R$6:$R$105,Trips!$D$6:$D$105,A50))</x:f>
      </x:c>
      <x:c r="I50" s="98" t="str">
        <x:f>IF(A50="","",SUMIFS(Trips!$S$6:$S$105,Trips!$D$6:$D$105,A50))</x:f>
      </x:c>
      <x:c r="J50" s="111"/>
      <x:c r="K50" s="111"/>
      <x:c r="L50" s="111"/>
      <x:c r="M50" s="111"/>
      <x:c r="N50" s="111"/>
      <x:c r="O50" s="111"/>
      <x:c r="P50" s="111"/>
      <x:c r="Q50" s="111"/>
      <x:c r="R50" s="111"/>
      <x:c r="S50" s="111"/>
      <x:c r="T50" s="111"/>
    </x:row>
    <x:row r="51" ht="28" customHeight="1">
      <x:c r="A51" s="107" t="str">
        <x:f>IF('Route List'!F51="","",'Route List'!F51)</x:f>
      </x:c>
      <x:c r="B51" s="90" t="str">
        <x:f>IF(A51="","",COUNTIFS(Trips!$D$6:$D$105,A51))</x:f>
      </x:c>
      <x:c r="C51" s="90" t="str">
        <x:f>IF(A51="","",SUMIFS(Trips!$M$6:$M$105,Trips!$D$6:$D$105,A51))</x:f>
      </x:c>
      <x:c r="D51" s="90" t="str">
        <x:f>IF(A51="","",SUMIFS(Trips!$N$6:$N$105,Trips!$D$6:$D$105,A51))</x:f>
      </x:c>
      <x:c r="E51" s="98" t="str">
        <x:f>IF(A51="","",SUMIFS(Trips!$O$6:$O$105,Trips!$D$6:$D$105,A51))</x:f>
      </x:c>
      <x:c r="F51" s="98" t="str">
        <x:f>IF(A51="","",SUMIFS(Trips!$P$6:$P$105,Trips!$D$6:$D$105,A51))</x:f>
      </x:c>
      <x:c r="G51" s="98" t="str">
        <x:f>IF(A51="","",SUMIFS(Trips!$Q$6:$Q$105,Trips!$D$6:$D$105,A51))</x:f>
      </x:c>
      <x:c r="H51" s="98" t="str">
        <x:f>IF(A51="","",SUMIFS(Trips!$R$6:$R$105,Trips!$D$6:$D$105,A51))</x:f>
      </x:c>
      <x:c r="I51" s="98" t="str">
        <x:f>IF(A51="","",SUMIFS(Trips!$S$6:$S$105,Trips!$D$6:$D$105,A51))</x:f>
      </x:c>
      <x:c r="J51" s="111"/>
      <x:c r="K51" s="111"/>
      <x:c r="L51" s="111"/>
      <x:c r="M51" s="111"/>
      <x:c r="N51" s="111"/>
      <x:c r="O51" s="111"/>
      <x:c r="P51" s="111"/>
      <x:c r="Q51" s="111"/>
      <x:c r="R51" s="111"/>
      <x:c r="S51" s="111"/>
      <x:c r="T51" s="111"/>
    </x:row>
    <x:row r="52" ht="28" customHeight="1">
      <x:c r="A52" s="107" t="str">
        <x:f>IF('Route List'!F52="","",'Route List'!F52)</x:f>
      </x:c>
      <x:c r="B52" s="90" t="str">
        <x:f>IF(A52="","",COUNTIFS(Trips!$D$6:$D$105,A52))</x:f>
      </x:c>
      <x:c r="C52" s="90" t="str">
        <x:f>IF(A52="","",SUMIFS(Trips!$M$6:$M$105,Trips!$D$6:$D$105,A52))</x:f>
      </x:c>
      <x:c r="D52" s="90" t="str">
        <x:f>IF(A52="","",SUMIFS(Trips!$N$6:$N$105,Trips!$D$6:$D$105,A52))</x:f>
      </x:c>
      <x:c r="E52" s="98" t="str">
        <x:f>IF(A52="","",SUMIFS(Trips!$O$6:$O$105,Trips!$D$6:$D$105,A52))</x:f>
      </x:c>
      <x:c r="F52" s="98" t="str">
        <x:f>IF(A52="","",SUMIFS(Trips!$P$6:$P$105,Trips!$D$6:$D$105,A52))</x:f>
      </x:c>
      <x:c r="G52" s="98" t="str">
        <x:f>IF(A52="","",SUMIFS(Trips!$Q$6:$Q$105,Trips!$D$6:$D$105,A52))</x:f>
      </x:c>
      <x:c r="H52" s="98" t="str">
        <x:f>IF(A52="","",SUMIFS(Trips!$R$6:$R$105,Trips!$D$6:$D$105,A52))</x:f>
      </x:c>
      <x:c r="I52" s="98" t="str">
        <x:f>IF(A52="","",SUMIFS(Trips!$S$6:$S$105,Trips!$D$6:$D$105,A52))</x:f>
      </x:c>
      <x:c r="J52" s="111"/>
      <x:c r="K52" s="111"/>
      <x:c r="L52" s="111"/>
      <x:c r="M52" s="111"/>
      <x:c r="N52" s="111"/>
      <x:c r="O52" s="111"/>
      <x:c r="P52" s="111"/>
      <x:c r="Q52" s="111"/>
      <x:c r="R52" s="111"/>
      <x:c r="S52" s="111"/>
      <x:c r="T52" s="111"/>
    </x:row>
    <x:row r="53" ht="28" customHeight="1">
      <x:c r="A53" s="107" t="str">
        <x:f>IF('Route List'!F53="","",'Route List'!F53)</x:f>
      </x:c>
      <x:c r="B53" s="90" t="str">
        <x:f>IF(A53="","",COUNTIFS(Trips!$D$6:$D$105,A53))</x:f>
      </x:c>
      <x:c r="C53" s="90" t="str">
        <x:f>IF(A53="","",SUMIFS(Trips!$M$6:$M$105,Trips!$D$6:$D$105,A53))</x:f>
      </x:c>
      <x:c r="D53" s="90" t="str">
        <x:f>IF(A53="","",SUMIFS(Trips!$N$6:$N$105,Trips!$D$6:$D$105,A53))</x:f>
      </x:c>
      <x:c r="E53" s="98" t="str">
        <x:f>IF(A53="","",SUMIFS(Trips!$O$6:$O$105,Trips!$D$6:$D$105,A53))</x:f>
      </x:c>
      <x:c r="F53" s="98" t="str">
        <x:f>IF(A53="","",SUMIFS(Trips!$P$6:$P$105,Trips!$D$6:$D$105,A53))</x:f>
      </x:c>
      <x:c r="G53" s="98" t="str">
        <x:f>IF(A53="","",SUMIFS(Trips!$Q$6:$Q$105,Trips!$D$6:$D$105,A53))</x:f>
      </x:c>
      <x:c r="H53" s="98" t="str">
        <x:f>IF(A53="","",SUMIFS(Trips!$R$6:$R$105,Trips!$D$6:$D$105,A53))</x:f>
      </x:c>
      <x:c r="I53" s="98" t="str">
        <x:f>IF(A53="","",SUMIFS(Trips!$S$6:$S$105,Trips!$D$6:$D$105,A53))</x:f>
      </x:c>
      <x:c r="J53" s="111"/>
      <x:c r="K53" s="111"/>
      <x:c r="L53" s="111"/>
      <x:c r="M53" s="111"/>
      <x:c r="N53" s="111"/>
      <x:c r="O53" s="111"/>
      <x:c r="P53" s="111"/>
      <x:c r="Q53" s="111"/>
      <x:c r="R53" s="111"/>
      <x:c r="S53" s="111"/>
      <x:c r="T53" s="111"/>
    </x:row>
    <x:row r="54" ht="28" customHeight="1">
      <x:c r="A54" s="107" t="str">
        <x:f>IF('Route List'!F54="","",'Route List'!F54)</x:f>
      </x:c>
      <x:c r="B54" s="90" t="str">
        <x:f>IF(A54="","",COUNTIFS(Trips!$D$6:$D$105,A54))</x:f>
      </x:c>
      <x:c r="C54" s="90" t="str">
        <x:f>IF(A54="","",SUMIFS(Trips!$M$6:$M$105,Trips!$D$6:$D$105,A54))</x:f>
      </x:c>
      <x:c r="D54" s="90" t="str">
        <x:f>IF(A54="","",SUMIFS(Trips!$N$6:$N$105,Trips!$D$6:$D$105,A54))</x:f>
      </x:c>
      <x:c r="E54" s="98" t="str">
        <x:f>IF(A54="","",SUMIFS(Trips!$O$6:$O$105,Trips!$D$6:$D$105,A54))</x:f>
      </x:c>
      <x:c r="F54" s="98" t="str">
        <x:f>IF(A54="","",SUMIFS(Trips!$P$6:$P$105,Trips!$D$6:$D$105,A54))</x:f>
      </x:c>
      <x:c r="G54" s="98" t="str">
        <x:f>IF(A54="","",SUMIFS(Trips!$Q$6:$Q$105,Trips!$D$6:$D$105,A54))</x:f>
      </x:c>
      <x:c r="H54" s="98" t="str">
        <x:f>IF(A54="","",SUMIFS(Trips!$R$6:$R$105,Trips!$D$6:$D$105,A54))</x:f>
      </x:c>
      <x:c r="I54" s="98" t="str">
        <x:f>IF(A54="","",SUMIFS(Trips!$S$6:$S$105,Trips!$D$6:$D$105,A54))</x:f>
      </x:c>
      <x:c r="J54" s="111"/>
      <x:c r="K54" s="111"/>
      <x:c r="L54" s="111"/>
      <x:c r="M54" s="111"/>
      <x:c r="N54" s="111"/>
      <x:c r="O54" s="111"/>
      <x:c r="P54" s="111"/>
      <x:c r="Q54" s="111"/>
      <x:c r="R54" s="111"/>
      <x:c r="S54" s="111"/>
      <x:c r="T54" s="111"/>
    </x:row>
    <x:row r="55" ht="28" customHeight="1">
      <x:c r="A55" s="107" t="str">
        <x:f>IF('Route List'!F55="","",'Route List'!F55)</x:f>
      </x:c>
      <x:c r="B55" s="90" t="str">
        <x:f>IF(A55="","",COUNTIFS(Trips!$D$6:$D$105,A55))</x:f>
      </x:c>
      <x:c r="C55" s="90" t="str">
        <x:f>IF(A55="","",SUMIFS(Trips!$M$6:$M$105,Trips!$D$6:$D$105,A55))</x:f>
      </x:c>
      <x:c r="D55" s="90" t="str">
        <x:f>IF(A55="","",SUMIFS(Trips!$N$6:$N$105,Trips!$D$6:$D$105,A55))</x:f>
      </x:c>
      <x:c r="E55" s="98" t="str">
        <x:f>IF(A55="","",SUMIFS(Trips!$O$6:$O$105,Trips!$D$6:$D$105,A55))</x:f>
      </x:c>
      <x:c r="F55" s="98" t="str">
        <x:f>IF(A55="","",SUMIFS(Trips!$P$6:$P$105,Trips!$D$6:$D$105,A55))</x:f>
      </x:c>
      <x:c r="G55" s="98" t="str">
        <x:f>IF(A55="","",SUMIFS(Trips!$Q$6:$Q$105,Trips!$D$6:$D$105,A55))</x:f>
      </x:c>
      <x:c r="H55" s="98" t="str">
        <x:f>IF(A55="","",SUMIFS(Trips!$R$6:$R$105,Trips!$D$6:$D$105,A55))</x:f>
      </x:c>
      <x:c r="I55" s="98" t="str">
        <x:f>IF(A55="","",SUMIFS(Trips!$S$6:$S$105,Trips!$D$6:$D$105,A55))</x:f>
      </x:c>
      <x:c r="J55" s="111"/>
      <x:c r="K55" s="111"/>
      <x:c r="L55" s="111"/>
      <x:c r="M55" s="111"/>
      <x:c r="N55" s="111"/>
      <x:c r="O55" s="111"/>
      <x:c r="P55" s="111"/>
      <x:c r="Q55" s="111"/>
      <x:c r="R55" s="111"/>
      <x:c r="S55" s="111"/>
      <x:c r="T55" s="111"/>
    </x:row>
    <x:row r="56" ht="28" customHeight="1">
      <x:c r="A56" s="107" t="str">
        <x:f>IF('Route List'!F56="","",'Route List'!F56)</x:f>
      </x:c>
      <x:c r="B56" s="90" t="str">
        <x:f>IF(A56="","",COUNTIFS(Trips!$D$6:$D$105,A56))</x:f>
      </x:c>
      <x:c r="C56" s="90" t="str">
        <x:f>IF(A56="","",SUMIFS(Trips!$M$6:$M$105,Trips!$D$6:$D$105,A56))</x:f>
      </x:c>
      <x:c r="D56" s="90" t="str">
        <x:f>IF(A56="","",SUMIFS(Trips!$N$6:$N$105,Trips!$D$6:$D$105,A56))</x:f>
      </x:c>
      <x:c r="E56" s="98" t="str">
        <x:f>IF(A56="","",SUMIFS(Trips!$O$6:$O$105,Trips!$D$6:$D$105,A56))</x:f>
      </x:c>
      <x:c r="F56" s="98" t="str">
        <x:f>IF(A56="","",SUMIFS(Trips!$P$6:$P$105,Trips!$D$6:$D$105,A56))</x:f>
      </x:c>
      <x:c r="G56" s="98" t="str">
        <x:f>IF(A56="","",SUMIFS(Trips!$Q$6:$Q$105,Trips!$D$6:$D$105,A56))</x:f>
      </x:c>
      <x:c r="H56" s="98" t="str">
        <x:f>IF(A56="","",SUMIFS(Trips!$R$6:$R$105,Trips!$D$6:$D$105,A56))</x:f>
      </x:c>
      <x:c r="I56" s="98" t="str">
        <x:f>IF(A56="","",SUMIFS(Trips!$S$6:$S$105,Trips!$D$6:$D$105,A56))</x:f>
      </x:c>
      <x:c r="J56" s="111"/>
      <x:c r="K56" s="111"/>
      <x:c r="L56" s="111"/>
      <x:c r="M56" s="111"/>
      <x:c r="N56" s="111"/>
      <x:c r="O56" s="111"/>
      <x:c r="P56" s="111"/>
      <x:c r="Q56" s="111"/>
      <x:c r="R56" s="111"/>
      <x:c r="S56" s="111"/>
      <x:c r="T56" s="111"/>
    </x:row>
    <x:row r="57" ht="28" customHeight="1">
      <x:c r="A57" s="107" t="str">
        <x:f>IF('Route List'!F57="","",'Route List'!F57)</x:f>
      </x:c>
      <x:c r="B57" s="90" t="str">
        <x:f>IF(A57="","",COUNTIFS(Trips!$D$6:$D$105,A57))</x:f>
      </x:c>
      <x:c r="C57" s="90" t="str">
        <x:f>IF(A57="","",SUMIFS(Trips!$M$6:$M$105,Trips!$D$6:$D$105,A57))</x:f>
      </x:c>
      <x:c r="D57" s="90" t="str">
        <x:f>IF(A57="","",SUMIFS(Trips!$N$6:$N$105,Trips!$D$6:$D$105,A57))</x:f>
      </x:c>
      <x:c r="E57" s="98" t="str">
        <x:f>IF(A57="","",SUMIFS(Trips!$O$6:$O$105,Trips!$D$6:$D$105,A57))</x:f>
      </x:c>
      <x:c r="F57" s="98" t="str">
        <x:f>IF(A57="","",SUMIFS(Trips!$P$6:$P$105,Trips!$D$6:$D$105,A57))</x:f>
      </x:c>
      <x:c r="G57" s="98" t="str">
        <x:f>IF(A57="","",SUMIFS(Trips!$Q$6:$Q$105,Trips!$D$6:$D$105,A57))</x:f>
      </x:c>
      <x:c r="H57" s="98" t="str">
        <x:f>IF(A57="","",SUMIFS(Trips!$R$6:$R$105,Trips!$D$6:$D$105,A57))</x:f>
      </x:c>
      <x:c r="I57" s="98" t="str">
        <x:f>IF(A57="","",SUMIFS(Trips!$S$6:$S$105,Trips!$D$6:$D$105,A57))</x:f>
      </x:c>
      <x:c r="J57" s="111"/>
      <x:c r="K57" s="111"/>
      <x:c r="L57" s="111"/>
      <x:c r="M57" s="111"/>
      <x:c r="N57" s="111"/>
      <x:c r="O57" s="111"/>
      <x:c r="P57" s="111"/>
      <x:c r="Q57" s="111"/>
      <x:c r="R57" s="111"/>
      <x:c r="S57" s="111"/>
      <x:c r="T57" s="111"/>
    </x:row>
    <x:row r="58" ht="28" customHeight="1">
      <x:c r="A58" s="107" t="str">
        <x:f>IF('Route List'!F58="","",'Route List'!F58)</x:f>
      </x:c>
      <x:c r="B58" s="90" t="str">
        <x:f>IF(A58="","",COUNTIFS(Trips!$D$6:$D$105,A58))</x:f>
      </x:c>
      <x:c r="C58" s="90" t="str">
        <x:f>IF(A58="","",SUMIFS(Trips!$M$6:$M$105,Trips!$D$6:$D$105,A58))</x:f>
      </x:c>
      <x:c r="D58" s="90" t="str">
        <x:f>IF(A58="","",SUMIFS(Trips!$N$6:$N$105,Trips!$D$6:$D$105,A58))</x:f>
      </x:c>
      <x:c r="E58" s="98" t="str">
        <x:f>IF(A58="","",SUMIFS(Trips!$O$6:$O$105,Trips!$D$6:$D$105,A58))</x:f>
      </x:c>
      <x:c r="F58" s="98" t="str">
        <x:f>IF(A58="","",SUMIFS(Trips!$P$6:$P$105,Trips!$D$6:$D$105,A58))</x:f>
      </x:c>
      <x:c r="G58" s="98" t="str">
        <x:f>IF(A58="","",SUMIFS(Trips!$Q$6:$Q$105,Trips!$D$6:$D$105,A58))</x:f>
      </x:c>
      <x:c r="H58" s="98" t="str">
        <x:f>IF(A58="","",SUMIFS(Trips!$R$6:$R$105,Trips!$D$6:$D$105,A58))</x:f>
      </x:c>
      <x:c r="I58" s="98" t="str">
        <x:f>IF(A58="","",SUMIFS(Trips!$S$6:$S$105,Trips!$D$6:$D$105,A58))</x:f>
      </x:c>
      <x:c r="J58" s="111"/>
      <x:c r="K58" s="111"/>
      <x:c r="L58" s="111"/>
      <x:c r="M58" s="111"/>
      <x:c r="N58" s="111"/>
      <x:c r="O58" s="111"/>
      <x:c r="P58" s="111"/>
      <x:c r="Q58" s="111"/>
      <x:c r="R58" s="111"/>
      <x:c r="S58" s="111"/>
      <x:c r="T58" s="111"/>
    </x:row>
    <x:row r="59" ht="28" customHeight="1">
      <x:c r="A59" s="107" t="str">
        <x:f>IF('Route List'!F59="","",'Route List'!F59)</x:f>
      </x:c>
      <x:c r="B59" s="90" t="str">
        <x:f>IF(A59="","",COUNTIFS(Trips!$D$6:$D$105,A59))</x:f>
      </x:c>
      <x:c r="C59" s="90" t="str">
        <x:f>IF(A59="","",SUMIFS(Trips!$M$6:$M$105,Trips!$D$6:$D$105,A59))</x:f>
      </x:c>
      <x:c r="D59" s="90" t="str">
        <x:f>IF(A59="","",SUMIFS(Trips!$N$6:$N$105,Trips!$D$6:$D$105,A59))</x:f>
      </x:c>
      <x:c r="E59" s="98" t="str">
        <x:f>IF(A59="","",SUMIFS(Trips!$O$6:$O$105,Trips!$D$6:$D$105,A59))</x:f>
      </x:c>
      <x:c r="F59" s="98" t="str">
        <x:f>IF(A59="","",SUMIFS(Trips!$P$6:$P$105,Trips!$D$6:$D$105,A59))</x:f>
      </x:c>
      <x:c r="G59" s="98" t="str">
        <x:f>IF(A59="","",SUMIFS(Trips!$Q$6:$Q$105,Trips!$D$6:$D$105,A59))</x:f>
      </x:c>
      <x:c r="H59" s="98" t="str">
        <x:f>IF(A59="","",SUMIFS(Trips!$R$6:$R$105,Trips!$D$6:$D$105,A59))</x:f>
      </x:c>
      <x:c r="I59" s="98" t="str">
        <x:f>IF(A59="","",SUMIFS(Trips!$S$6:$S$105,Trips!$D$6:$D$105,A59))</x:f>
      </x:c>
      <x:c r="J59" s="111"/>
      <x:c r="K59" s="111"/>
      <x:c r="L59" s="111"/>
      <x:c r="M59" s="111"/>
      <x:c r="N59" s="111"/>
      <x:c r="O59" s="111"/>
      <x:c r="P59" s="111"/>
      <x:c r="Q59" s="111"/>
      <x:c r="R59" s="111"/>
      <x:c r="S59" s="111"/>
      <x:c r="T59" s="111"/>
    </x:row>
    <x:row r="60" ht="28" customHeight="1">
      <x:c r="A60" s="107" t="str">
        <x:f>IF('Route List'!F60="","",'Route List'!F60)</x:f>
      </x:c>
      <x:c r="B60" s="90" t="str">
        <x:f>IF(A60="","",COUNTIFS(Trips!$D$6:$D$105,A60))</x:f>
      </x:c>
      <x:c r="C60" s="90" t="str">
        <x:f>IF(A60="","",SUMIFS(Trips!$M$6:$M$105,Trips!$D$6:$D$105,A60))</x:f>
      </x:c>
      <x:c r="D60" s="90" t="str">
        <x:f>IF(A60="","",SUMIFS(Trips!$N$6:$N$105,Trips!$D$6:$D$105,A60))</x:f>
      </x:c>
      <x:c r="E60" s="98" t="str">
        <x:f>IF(A60="","",SUMIFS(Trips!$O$6:$O$105,Trips!$D$6:$D$105,A60))</x:f>
      </x:c>
      <x:c r="F60" s="98" t="str">
        <x:f>IF(A60="","",SUMIFS(Trips!$P$6:$P$105,Trips!$D$6:$D$105,A60))</x:f>
      </x:c>
      <x:c r="G60" s="98" t="str">
        <x:f>IF(A60="","",SUMIFS(Trips!$Q$6:$Q$105,Trips!$D$6:$D$105,A60))</x:f>
      </x:c>
      <x:c r="H60" s="98" t="str">
        <x:f>IF(A60="","",SUMIFS(Trips!$R$6:$R$105,Trips!$D$6:$D$105,A60))</x:f>
      </x:c>
      <x:c r="I60" s="98" t="str">
        <x:f>IF(A60="","",SUMIFS(Trips!$S$6:$S$105,Trips!$D$6:$D$105,A60))</x:f>
      </x:c>
      <x:c r="J60" s="111"/>
      <x:c r="K60" s="111"/>
      <x:c r="L60" s="111"/>
      <x:c r="M60" s="111"/>
      <x:c r="N60" s="111"/>
      <x:c r="O60" s="111"/>
      <x:c r="P60" s="111"/>
      <x:c r="Q60" s="111"/>
      <x:c r="R60" s="111"/>
      <x:c r="S60" s="111"/>
      <x:c r="T60" s="111"/>
    </x:row>
    <x:row r="61" ht="28" customHeight="1">
      <x:c r="A61" s="107" t="str">
        <x:f>IF('Route List'!F61="","",'Route List'!F61)</x:f>
      </x:c>
      <x:c r="B61" s="90" t="str">
        <x:f>IF(A61="","",COUNTIFS(Trips!$D$6:$D$105,A61))</x:f>
      </x:c>
      <x:c r="C61" s="90" t="str">
        <x:f>IF(A61="","",SUMIFS(Trips!$M$6:$M$105,Trips!$D$6:$D$105,A61))</x:f>
      </x:c>
      <x:c r="D61" s="90" t="str">
        <x:f>IF(A61="","",SUMIFS(Trips!$N$6:$N$105,Trips!$D$6:$D$105,A61))</x:f>
      </x:c>
      <x:c r="E61" s="98" t="str">
        <x:f>IF(A61="","",SUMIFS(Trips!$O$6:$O$105,Trips!$D$6:$D$105,A61))</x:f>
      </x:c>
      <x:c r="F61" s="98" t="str">
        <x:f>IF(A61="","",SUMIFS(Trips!$P$6:$P$105,Trips!$D$6:$D$105,A61))</x:f>
      </x:c>
      <x:c r="G61" s="98" t="str">
        <x:f>IF(A61="","",SUMIFS(Trips!$Q$6:$Q$105,Trips!$D$6:$D$105,A61))</x:f>
      </x:c>
      <x:c r="H61" s="98" t="str">
        <x:f>IF(A61="","",SUMIFS(Trips!$R$6:$R$105,Trips!$D$6:$D$105,A61))</x:f>
      </x:c>
      <x:c r="I61" s="98" t="str">
        <x:f>IF(A61="","",SUMIFS(Trips!$S$6:$S$105,Trips!$D$6:$D$105,A61))</x:f>
      </x:c>
      <x:c r="J61" s="111"/>
      <x:c r="K61" s="111"/>
      <x:c r="L61" s="111"/>
      <x:c r="M61" s="111"/>
      <x:c r="N61" s="111"/>
      <x:c r="O61" s="111"/>
      <x:c r="P61" s="111"/>
      <x:c r="Q61" s="111"/>
      <x:c r="R61" s="111"/>
      <x:c r="S61" s="111"/>
      <x:c r="T61" s="111"/>
    </x:row>
    <x:row r="62" ht="28" customHeight="1">
      <x:c r="A62" s="107" t="str">
        <x:f>IF('Route List'!F62="","",'Route List'!F62)</x:f>
      </x:c>
      <x:c r="B62" s="90" t="str">
        <x:f>IF(A62="","",COUNTIFS(Trips!$D$6:$D$105,A62))</x:f>
      </x:c>
      <x:c r="C62" s="90" t="str">
        <x:f>IF(A62="","",SUMIFS(Trips!$M$6:$M$105,Trips!$D$6:$D$105,A62))</x:f>
      </x:c>
      <x:c r="D62" s="90" t="str">
        <x:f>IF(A62="","",SUMIFS(Trips!$N$6:$N$105,Trips!$D$6:$D$105,A62))</x:f>
      </x:c>
      <x:c r="E62" s="98" t="str">
        <x:f>IF(A62="","",SUMIFS(Trips!$O$6:$O$105,Trips!$D$6:$D$105,A62))</x:f>
      </x:c>
      <x:c r="F62" s="98" t="str">
        <x:f>IF(A62="","",SUMIFS(Trips!$P$6:$P$105,Trips!$D$6:$D$105,A62))</x:f>
      </x:c>
      <x:c r="G62" s="98" t="str">
        <x:f>IF(A62="","",SUMIFS(Trips!$Q$6:$Q$105,Trips!$D$6:$D$105,A62))</x:f>
      </x:c>
      <x:c r="H62" s="98" t="str">
        <x:f>IF(A62="","",SUMIFS(Trips!$R$6:$R$105,Trips!$D$6:$D$105,A62))</x:f>
      </x:c>
      <x:c r="I62" s="98" t="str">
        <x:f>IF(A62="","",SUMIFS(Trips!$S$6:$S$105,Trips!$D$6:$D$105,A62))</x:f>
      </x:c>
      <x:c r="J62" s="111"/>
      <x:c r="K62" s="111"/>
      <x:c r="L62" s="111"/>
      <x:c r="M62" s="111"/>
      <x:c r="N62" s="111"/>
      <x:c r="O62" s="111"/>
      <x:c r="P62" s="111"/>
      <x:c r="Q62" s="111"/>
      <x:c r="R62" s="111"/>
      <x:c r="S62" s="111"/>
      <x:c r="T62" s="111"/>
    </x:row>
    <x:row r="63" ht="28" customHeight="1">
      <x:c r="A63" s="107" t="str">
        <x:f>IF('Route List'!F63="","",'Route List'!F63)</x:f>
      </x:c>
      <x:c r="B63" s="90" t="str">
        <x:f>IF(A63="","",COUNTIFS(Trips!$D$6:$D$105,A63))</x:f>
      </x:c>
      <x:c r="C63" s="90" t="str">
        <x:f>IF(A63="","",SUMIFS(Trips!$M$6:$M$105,Trips!$D$6:$D$105,A63))</x:f>
      </x:c>
      <x:c r="D63" s="90" t="str">
        <x:f>IF(A63="","",SUMIFS(Trips!$N$6:$N$105,Trips!$D$6:$D$105,A63))</x:f>
      </x:c>
      <x:c r="E63" s="98" t="str">
        <x:f>IF(A63="","",SUMIFS(Trips!$O$6:$O$105,Trips!$D$6:$D$105,A63))</x:f>
      </x:c>
      <x:c r="F63" s="98" t="str">
        <x:f>IF(A63="","",SUMIFS(Trips!$P$6:$P$105,Trips!$D$6:$D$105,A63))</x:f>
      </x:c>
      <x:c r="G63" s="98" t="str">
        <x:f>IF(A63="","",SUMIFS(Trips!$Q$6:$Q$105,Trips!$D$6:$D$105,A63))</x:f>
      </x:c>
      <x:c r="H63" s="98" t="str">
        <x:f>IF(A63="","",SUMIFS(Trips!$R$6:$R$105,Trips!$D$6:$D$105,A63))</x:f>
      </x:c>
      <x:c r="I63" s="98" t="str">
        <x:f>IF(A63="","",SUMIFS(Trips!$S$6:$S$105,Trips!$D$6:$D$105,A63))</x:f>
      </x:c>
      <x:c r="J63" s="111"/>
      <x:c r="K63" s="111"/>
      <x:c r="L63" s="111"/>
      <x:c r="M63" s="111"/>
      <x:c r="N63" s="111"/>
      <x:c r="O63" s="111"/>
      <x:c r="P63" s="111"/>
      <x:c r="Q63" s="111"/>
      <x:c r="R63" s="111"/>
      <x:c r="S63" s="111"/>
      <x:c r="T63" s="111"/>
    </x:row>
    <x:row r="64" ht="28" customHeight="1">
      <x:c r="A64" s="107" t="str">
        <x:f>IF('Route List'!F64="","",'Route List'!F64)</x:f>
      </x:c>
      <x:c r="B64" s="90" t="str">
        <x:f>IF(A64="","",COUNTIFS(Trips!$D$6:$D$105,A64))</x:f>
      </x:c>
      <x:c r="C64" s="90" t="str">
        <x:f>IF(A64="","",SUMIFS(Trips!$M$6:$M$105,Trips!$D$6:$D$105,A64))</x:f>
      </x:c>
      <x:c r="D64" s="90" t="str">
        <x:f>IF(A64="","",SUMIFS(Trips!$N$6:$N$105,Trips!$D$6:$D$105,A64))</x:f>
      </x:c>
      <x:c r="E64" s="98" t="str">
        <x:f>IF(A64="","",SUMIFS(Trips!$O$6:$O$105,Trips!$D$6:$D$105,A64))</x:f>
      </x:c>
      <x:c r="F64" s="98" t="str">
        <x:f>IF(A64="","",SUMIFS(Trips!$P$6:$P$105,Trips!$D$6:$D$105,A64))</x:f>
      </x:c>
      <x:c r="G64" s="98" t="str">
        <x:f>IF(A64="","",SUMIFS(Trips!$Q$6:$Q$105,Trips!$D$6:$D$105,A64))</x:f>
      </x:c>
      <x:c r="H64" s="98" t="str">
        <x:f>IF(A64="","",SUMIFS(Trips!$R$6:$R$105,Trips!$D$6:$D$105,A64))</x:f>
      </x:c>
      <x:c r="I64" s="98" t="str">
        <x:f>IF(A64="","",SUMIFS(Trips!$S$6:$S$105,Trips!$D$6:$D$105,A64))</x:f>
      </x:c>
      <x:c r="J64" s="111"/>
      <x:c r="K64" s="111"/>
      <x:c r="L64" s="111"/>
      <x:c r="M64" s="111"/>
      <x:c r="N64" s="111"/>
      <x:c r="O64" s="111"/>
      <x:c r="P64" s="111"/>
      <x:c r="Q64" s="111"/>
      <x:c r="R64" s="111"/>
      <x:c r="S64" s="111"/>
      <x:c r="T64" s="111"/>
    </x:row>
    <x:row r="65" ht="28" customHeight="1">
      <x:c r="A65" s="107" t="str">
        <x:f>IF('Route List'!F65="","",'Route List'!F65)</x:f>
      </x:c>
      <x:c r="B65" s="90" t="str">
        <x:f>IF(A65="","",COUNTIFS(Trips!$D$6:$D$105,A65))</x:f>
      </x:c>
      <x:c r="C65" s="90" t="str">
        <x:f>IF(A65="","",SUMIFS(Trips!$M$6:$M$105,Trips!$D$6:$D$105,A65))</x:f>
      </x:c>
      <x:c r="D65" s="90" t="str">
        <x:f>IF(A65="","",SUMIFS(Trips!$N$6:$N$105,Trips!$D$6:$D$105,A65))</x:f>
      </x:c>
      <x:c r="E65" s="98" t="str">
        <x:f>IF(A65="","",SUMIFS(Trips!$O$6:$O$105,Trips!$D$6:$D$105,A65))</x:f>
      </x:c>
      <x:c r="F65" s="98" t="str">
        <x:f>IF(A65="","",SUMIFS(Trips!$P$6:$P$105,Trips!$D$6:$D$105,A65))</x:f>
      </x:c>
      <x:c r="G65" s="98" t="str">
        <x:f>IF(A65="","",SUMIFS(Trips!$Q$6:$Q$105,Trips!$D$6:$D$105,A65))</x:f>
      </x:c>
      <x:c r="H65" s="98" t="str">
        <x:f>IF(A65="","",SUMIFS(Trips!$R$6:$R$105,Trips!$D$6:$D$105,A65))</x:f>
      </x:c>
      <x:c r="I65" s="98" t="str">
        <x:f>IF(A65="","",SUMIFS(Trips!$S$6:$S$105,Trips!$D$6:$D$105,A65))</x:f>
      </x:c>
      <x:c r="J65" s="111"/>
      <x:c r="K65" s="111"/>
      <x:c r="L65" s="111"/>
      <x:c r="M65" s="111"/>
      <x:c r="N65" s="111"/>
      <x:c r="O65" s="111"/>
      <x:c r="P65" s="111"/>
      <x:c r="Q65" s="111"/>
      <x:c r="R65" s="111"/>
      <x:c r="S65" s="111"/>
      <x:c r="T65" s="111"/>
    </x:row>
    <x:row r="66" ht="28" customHeight="1">
      <x:c r="A66" s="107" t="str">
        <x:f>IF('Route List'!F66="","",'Route List'!F66)</x:f>
      </x:c>
      <x:c r="B66" s="90" t="str">
        <x:f>IF(A66="","",COUNTIFS(Trips!$D$6:$D$105,A66))</x:f>
      </x:c>
      <x:c r="C66" s="90" t="str">
        <x:f>IF(A66="","",SUMIFS(Trips!$M$6:$M$105,Trips!$D$6:$D$105,A66))</x:f>
      </x:c>
      <x:c r="D66" s="90" t="str">
        <x:f>IF(A66="","",SUMIFS(Trips!$N$6:$N$105,Trips!$D$6:$D$105,A66))</x:f>
      </x:c>
      <x:c r="E66" s="98" t="str">
        <x:f>IF(A66="","",SUMIFS(Trips!$O$6:$O$105,Trips!$D$6:$D$105,A66))</x:f>
      </x:c>
      <x:c r="F66" s="98" t="str">
        <x:f>IF(A66="","",SUMIFS(Trips!$P$6:$P$105,Trips!$D$6:$D$105,A66))</x:f>
      </x:c>
      <x:c r="G66" s="98" t="str">
        <x:f>IF(A66="","",SUMIFS(Trips!$Q$6:$Q$105,Trips!$D$6:$D$105,A66))</x:f>
      </x:c>
      <x:c r="H66" s="98" t="str">
        <x:f>IF(A66="","",SUMIFS(Trips!$R$6:$R$105,Trips!$D$6:$D$105,A66))</x:f>
      </x:c>
      <x:c r="I66" s="98" t="str">
        <x:f>IF(A66="","",SUMIFS(Trips!$S$6:$S$105,Trips!$D$6:$D$105,A66))</x:f>
      </x:c>
      <x:c r="J66" s="111"/>
      <x:c r="K66" s="111"/>
      <x:c r="L66" s="111"/>
      <x:c r="M66" s="111"/>
      <x:c r="N66" s="111"/>
      <x:c r="O66" s="111"/>
      <x:c r="P66" s="111"/>
      <x:c r="Q66" s="111"/>
      <x:c r="R66" s="111"/>
      <x:c r="S66" s="111"/>
      <x:c r="T66" s="111"/>
    </x:row>
    <x:row r="67" ht="28" customHeight="1">
      <x:c r="A67" s="107" t="str">
        <x:f>IF('Route List'!F67="","",'Route List'!F67)</x:f>
      </x:c>
      <x:c r="B67" s="90" t="str">
        <x:f>IF(A67="","",COUNTIFS(Trips!$D$6:$D$105,A67))</x:f>
      </x:c>
      <x:c r="C67" s="90" t="str">
        <x:f>IF(A67="","",SUMIFS(Trips!$M$6:$M$105,Trips!$D$6:$D$105,A67))</x:f>
      </x:c>
      <x:c r="D67" s="90" t="str">
        <x:f>IF(A67="","",SUMIFS(Trips!$N$6:$N$105,Trips!$D$6:$D$105,A67))</x:f>
      </x:c>
      <x:c r="E67" s="98" t="str">
        <x:f>IF(A67="","",SUMIFS(Trips!$O$6:$O$105,Trips!$D$6:$D$105,A67))</x:f>
      </x:c>
      <x:c r="F67" s="98" t="str">
        <x:f>IF(A67="","",SUMIFS(Trips!$P$6:$P$105,Trips!$D$6:$D$105,A67))</x:f>
      </x:c>
      <x:c r="G67" s="98" t="str">
        <x:f>IF(A67="","",SUMIFS(Trips!$Q$6:$Q$105,Trips!$D$6:$D$105,A67))</x:f>
      </x:c>
      <x:c r="H67" s="98" t="str">
        <x:f>IF(A67="","",SUMIFS(Trips!$R$6:$R$105,Trips!$D$6:$D$105,A67))</x:f>
      </x:c>
      <x:c r="I67" s="98" t="str">
        <x:f>IF(A67="","",SUMIFS(Trips!$S$6:$S$105,Trips!$D$6:$D$105,A67))</x:f>
      </x:c>
      <x:c r="J67" s="111"/>
      <x:c r="K67" s="111"/>
      <x:c r="L67" s="111"/>
      <x:c r="M67" s="111"/>
      <x:c r="N67" s="111"/>
      <x:c r="O67" s="111"/>
      <x:c r="P67" s="111"/>
      <x:c r="Q67" s="111"/>
      <x:c r="R67" s="111"/>
      <x:c r="S67" s="111"/>
      <x:c r="T67" s="111"/>
    </x:row>
    <x:row r="68" ht="28" customHeight="1">
      <x:c r="A68" s="107" t="str">
        <x:f>IF('Route List'!F68="","",'Route List'!F68)</x:f>
      </x:c>
      <x:c r="B68" s="90" t="str">
        <x:f>IF(A68="","",COUNTIFS(Trips!$D$6:$D$105,A68))</x:f>
      </x:c>
      <x:c r="C68" s="90" t="str">
        <x:f>IF(A68="","",SUMIFS(Trips!$M$6:$M$105,Trips!$D$6:$D$105,A68))</x:f>
      </x:c>
      <x:c r="D68" s="90" t="str">
        <x:f>IF(A68="","",SUMIFS(Trips!$N$6:$N$105,Trips!$D$6:$D$105,A68))</x:f>
      </x:c>
      <x:c r="E68" s="98" t="str">
        <x:f>IF(A68="","",SUMIFS(Trips!$O$6:$O$105,Trips!$D$6:$D$105,A68))</x:f>
      </x:c>
      <x:c r="F68" s="98" t="str">
        <x:f>IF(A68="","",SUMIFS(Trips!$P$6:$P$105,Trips!$D$6:$D$105,A68))</x:f>
      </x:c>
      <x:c r="G68" s="98" t="str">
        <x:f>IF(A68="","",SUMIFS(Trips!$Q$6:$Q$105,Trips!$D$6:$D$105,A68))</x:f>
      </x:c>
      <x:c r="H68" s="98" t="str">
        <x:f>IF(A68="","",SUMIFS(Trips!$R$6:$R$105,Trips!$D$6:$D$105,A68))</x:f>
      </x:c>
      <x:c r="I68" s="98" t="str">
        <x:f>IF(A68="","",SUMIFS(Trips!$S$6:$S$105,Trips!$D$6:$D$105,A68))</x:f>
      </x:c>
      <x:c r="J68" s="111"/>
      <x:c r="K68" s="111"/>
      <x:c r="L68" s="111"/>
      <x:c r="M68" s="111"/>
      <x:c r="N68" s="111"/>
      <x:c r="O68" s="111"/>
      <x:c r="P68" s="111"/>
      <x:c r="Q68" s="111"/>
      <x:c r="R68" s="111"/>
      <x:c r="S68" s="111"/>
      <x:c r="T68" s="111"/>
    </x:row>
    <x:row r="69" ht="28" customHeight="1">
      <x:c r="A69" s="107" t="str">
        <x:f>IF('Route List'!F69="","",'Route List'!F69)</x:f>
      </x:c>
      <x:c r="B69" s="90" t="str">
        <x:f>IF(A69="","",COUNTIFS(Trips!$D$6:$D$105,A69))</x:f>
      </x:c>
      <x:c r="C69" s="90" t="str">
        <x:f>IF(A69="","",SUMIFS(Trips!$M$6:$M$105,Trips!$D$6:$D$105,A69))</x:f>
      </x:c>
      <x:c r="D69" s="90" t="str">
        <x:f>IF(A69="","",SUMIFS(Trips!$N$6:$N$105,Trips!$D$6:$D$105,A69))</x:f>
      </x:c>
      <x:c r="E69" s="98" t="str">
        <x:f>IF(A69="","",SUMIFS(Trips!$O$6:$O$105,Trips!$D$6:$D$105,A69))</x:f>
      </x:c>
      <x:c r="F69" s="98" t="str">
        <x:f>IF(A69="","",SUMIFS(Trips!$P$6:$P$105,Trips!$D$6:$D$105,A69))</x:f>
      </x:c>
      <x:c r="G69" s="98" t="str">
        <x:f>IF(A69="","",SUMIFS(Trips!$Q$6:$Q$105,Trips!$D$6:$D$105,A69))</x:f>
      </x:c>
      <x:c r="H69" s="98" t="str">
        <x:f>IF(A69="","",SUMIFS(Trips!$R$6:$R$105,Trips!$D$6:$D$105,A69))</x:f>
      </x:c>
      <x:c r="I69" s="98" t="str">
        <x:f>IF(A69="","",SUMIFS(Trips!$S$6:$S$105,Trips!$D$6:$D$105,A69))</x:f>
      </x:c>
      <x:c r="J69" s="111"/>
      <x:c r="K69" s="111"/>
      <x:c r="L69" s="111"/>
      <x:c r="M69" s="111"/>
      <x:c r="N69" s="111"/>
      <x:c r="O69" s="111"/>
      <x:c r="P69" s="111"/>
      <x:c r="Q69" s="111"/>
      <x:c r="R69" s="111"/>
      <x:c r="S69" s="111"/>
      <x:c r="T69" s="111"/>
    </x:row>
    <x:row r="70" ht="28" customHeight="1">
      <x:c r="A70" s="107" t="str">
        <x:f>IF('Route List'!F70="","",'Route List'!F70)</x:f>
      </x:c>
      <x:c r="B70" s="90" t="str">
        <x:f>IF(A70="","",COUNTIFS(Trips!$D$6:$D$105,A70))</x:f>
      </x:c>
      <x:c r="C70" s="90" t="str">
        <x:f>IF(A70="","",SUMIFS(Trips!$M$6:$M$105,Trips!$D$6:$D$105,A70))</x:f>
      </x:c>
      <x:c r="D70" s="90" t="str">
        <x:f>IF(A70="","",SUMIFS(Trips!$N$6:$N$105,Trips!$D$6:$D$105,A70))</x:f>
      </x:c>
      <x:c r="E70" s="98" t="str">
        <x:f>IF(A70="","",SUMIFS(Trips!$O$6:$O$105,Trips!$D$6:$D$105,A70))</x:f>
      </x:c>
      <x:c r="F70" s="98" t="str">
        <x:f>IF(A70="","",SUMIFS(Trips!$P$6:$P$105,Trips!$D$6:$D$105,A70))</x:f>
      </x:c>
      <x:c r="G70" s="98" t="str">
        <x:f>IF(A70="","",SUMIFS(Trips!$Q$6:$Q$105,Trips!$D$6:$D$105,A70))</x:f>
      </x:c>
      <x:c r="H70" s="98" t="str">
        <x:f>IF(A70="","",SUMIFS(Trips!$R$6:$R$105,Trips!$D$6:$D$105,A70))</x:f>
      </x:c>
      <x:c r="I70" s="98" t="str">
        <x:f>IF(A70="","",SUMIFS(Trips!$S$6:$S$105,Trips!$D$6:$D$105,A70))</x:f>
      </x:c>
      <x:c r="J70" s="111"/>
      <x:c r="K70" s="111"/>
      <x:c r="L70" s="111"/>
      <x:c r="M70" s="111"/>
      <x:c r="N70" s="111"/>
      <x:c r="O70" s="111"/>
      <x:c r="P70" s="111"/>
      <x:c r="Q70" s="111"/>
      <x:c r="R70" s="111"/>
      <x:c r="S70" s="111"/>
      <x:c r="T70" s="111"/>
    </x:row>
    <x:row r="71" ht="28" customHeight="1">
      <x:c r="A71" s="107" t="str">
        <x:f>IF('Route List'!F71="","",'Route List'!F71)</x:f>
      </x:c>
      <x:c r="B71" s="90" t="str">
        <x:f>IF(A71="","",COUNTIFS(Trips!$D$6:$D$105,A71))</x:f>
      </x:c>
      <x:c r="C71" s="90" t="str">
        <x:f>IF(A71="","",SUMIFS(Trips!$M$6:$M$105,Trips!$D$6:$D$105,A71))</x:f>
      </x:c>
      <x:c r="D71" s="90" t="str">
        <x:f>IF(A71="","",SUMIFS(Trips!$N$6:$N$105,Trips!$D$6:$D$105,A71))</x:f>
      </x:c>
      <x:c r="E71" s="98" t="str">
        <x:f>IF(A71="","",SUMIFS(Trips!$O$6:$O$105,Trips!$D$6:$D$105,A71))</x:f>
      </x:c>
      <x:c r="F71" s="98" t="str">
        <x:f>IF(A71="","",SUMIFS(Trips!$P$6:$P$105,Trips!$D$6:$D$105,A71))</x:f>
      </x:c>
      <x:c r="G71" s="98" t="str">
        <x:f>IF(A71="","",SUMIFS(Trips!$Q$6:$Q$105,Trips!$D$6:$D$105,A71))</x:f>
      </x:c>
      <x:c r="H71" s="98" t="str">
        <x:f>IF(A71="","",SUMIFS(Trips!$R$6:$R$105,Trips!$D$6:$D$105,A71))</x:f>
      </x:c>
      <x:c r="I71" s="98" t="str">
        <x:f>IF(A71="","",SUMIFS(Trips!$S$6:$S$105,Trips!$D$6:$D$105,A71))</x:f>
      </x:c>
      <x:c r="J71" s="111"/>
      <x:c r="K71" s="111"/>
      <x:c r="L71" s="111"/>
      <x:c r="M71" s="111"/>
      <x:c r="N71" s="111"/>
      <x:c r="O71" s="111"/>
      <x:c r="P71" s="111"/>
      <x:c r="Q71" s="111"/>
      <x:c r="R71" s="111"/>
      <x:c r="S71" s="111"/>
      <x:c r="T71" s="111"/>
    </x:row>
    <x:row r="72" ht="28" customHeight="1">
      <x:c r="A72" s="107" t="str">
        <x:f>IF('Route List'!F72="","",'Route List'!F72)</x:f>
      </x:c>
      <x:c r="B72" s="90" t="str">
        <x:f>IF(A72="","",COUNTIFS(Trips!$D$6:$D$105,A72))</x:f>
      </x:c>
      <x:c r="C72" s="90" t="str">
        <x:f>IF(A72="","",SUMIFS(Trips!$M$6:$M$105,Trips!$D$6:$D$105,A72))</x:f>
      </x:c>
      <x:c r="D72" s="90" t="str">
        <x:f>IF(A72="","",SUMIFS(Trips!$N$6:$N$105,Trips!$D$6:$D$105,A72))</x:f>
      </x:c>
      <x:c r="E72" s="98" t="str">
        <x:f>IF(A72="","",SUMIFS(Trips!$O$6:$O$105,Trips!$D$6:$D$105,A72))</x:f>
      </x:c>
      <x:c r="F72" s="98" t="str">
        <x:f>IF(A72="","",SUMIFS(Trips!$P$6:$P$105,Trips!$D$6:$D$105,A72))</x:f>
      </x:c>
      <x:c r="G72" s="98" t="str">
        <x:f>IF(A72="","",SUMIFS(Trips!$Q$6:$Q$105,Trips!$D$6:$D$105,A72))</x:f>
      </x:c>
      <x:c r="H72" s="98" t="str">
        <x:f>IF(A72="","",SUMIFS(Trips!$R$6:$R$105,Trips!$D$6:$D$105,A72))</x:f>
      </x:c>
      <x:c r="I72" s="98" t="str">
        <x:f>IF(A72="","",SUMIFS(Trips!$S$6:$S$105,Trips!$D$6:$D$105,A72))</x:f>
      </x:c>
      <x:c r="J72" s="111"/>
      <x:c r="K72" s="111"/>
      <x:c r="L72" s="111"/>
      <x:c r="M72" s="111"/>
      <x:c r="N72" s="111"/>
      <x:c r="O72" s="111"/>
      <x:c r="P72" s="111"/>
      <x:c r="Q72" s="111"/>
      <x:c r="R72" s="111"/>
      <x:c r="S72" s="111"/>
      <x:c r="T72" s="111"/>
    </x:row>
    <x:row r="73" ht="28" customHeight="1">
      <x:c r="A73" s="107" t="str">
        <x:f>IF('Route List'!F73="","",'Route List'!F73)</x:f>
      </x:c>
      <x:c r="B73" s="90" t="str">
        <x:f>IF(A73="","",COUNTIFS(Trips!$D$6:$D$105,A73))</x:f>
      </x:c>
      <x:c r="C73" s="90" t="str">
        <x:f>IF(A73="","",SUMIFS(Trips!$M$6:$M$105,Trips!$D$6:$D$105,A73))</x:f>
      </x:c>
      <x:c r="D73" s="90" t="str">
        <x:f>IF(A73="","",SUMIFS(Trips!$N$6:$N$105,Trips!$D$6:$D$105,A73))</x:f>
      </x:c>
      <x:c r="E73" s="98" t="str">
        <x:f>IF(A73="","",SUMIFS(Trips!$O$6:$O$105,Trips!$D$6:$D$105,A73))</x:f>
      </x:c>
      <x:c r="F73" s="98" t="str">
        <x:f>IF(A73="","",SUMIFS(Trips!$P$6:$P$105,Trips!$D$6:$D$105,A73))</x:f>
      </x:c>
      <x:c r="G73" s="98" t="str">
        <x:f>IF(A73="","",SUMIFS(Trips!$Q$6:$Q$105,Trips!$D$6:$D$105,A73))</x:f>
      </x:c>
      <x:c r="H73" s="98" t="str">
        <x:f>IF(A73="","",SUMIFS(Trips!$R$6:$R$105,Trips!$D$6:$D$105,A73))</x:f>
      </x:c>
      <x:c r="I73" s="98" t="str">
        <x:f>IF(A73="","",SUMIFS(Trips!$S$6:$S$105,Trips!$D$6:$D$105,A73))</x:f>
      </x:c>
      <x:c r="J73" s="111"/>
      <x:c r="K73" s="111"/>
      <x:c r="L73" s="111"/>
      <x:c r="M73" s="111"/>
      <x:c r="N73" s="111"/>
      <x:c r="O73" s="111"/>
      <x:c r="P73" s="111"/>
      <x:c r="Q73" s="111"/>
      <x:c r="R73" s="111"/>
      <x:c r="S73" s="111"/>
      <x:c r="T73" s="111"/>
    </x:row>
    <x:row r="74" ht="28" customHeight="1">
      <x:c r="A74" s="107" t="str">
        <x:f>IF('Route List'!F74="","",'Route List'!F74)</x:f>
      </x:c>
      <x:c r="B74" s="90" t="str">
        <x:f>IF(A74="","",COUNTIFS(Trips!$D$6:$D$105,A74))</x:f>
      </x:c>
      <x:c r="C74" s="90" t="str">
        <x:f>IF(A74="","",SUMIFS(Trips!$M$6:$M$105,Trips!$D$6:$D$105,A74))</x:f>
      </x:c>
      <x:c r="D74" s="90" t="str">
        <x:f>IF(A74="","",SUMIFS(Trips!$N$6:$N$105,Trips!$D$6:$D$105,A74))</x:f>
      </x:c>
      <x:c r="E74" s="98" t="str">
        <x:f>IF(A74="","",SUMIFS(Trips!$O$6:$O$105,Trips!$D$6:$D$105,A74))</x:f>
      </x:c>
      <x:c r="F74" s="98" t="str">
        <x:f>IF(A74="","",SUMIFS(Trips!$P$6:$P$105,Trips!$D$6:$D$105,A74))</x:f>
      </x:c>
      <x:c r="G74" s="98" t="str">
        <x:f>IF(A74="","",SUMIFS(Trips!$Q$6:$Q$105,Trips!$D$6:$D$105,A74))</x:f>
      </x:c>
      <x:c r="H74" s="98" t="str">
        <x:f>IF(A74="","",SUMIFS(Trips!$R$6:$R$105,Trips!$D$6:$D$105,A74))</x:f>
      </x:c>
      <x:c r="I74" s="98" t="str">
        <x:f>IF(A74="","",SUMIFS(Trips!$S$6:$S$105,Trips!$D$6:$D$105,A74))</x:f>
      </x:c>
      <x:c r="J74" s="111"/>
      <x:c r="K74" s="111"/>
      <x:c r="L74" s="111"/>
      <x:c r="M74" s="111"/>
      <x:c r="N74" s="111"/>
      <x:c r="O74" s="111"/>
      <x:c r="P74" s="111"/>
      <x:c r="Q74" s="111"/>
      <x:c r="R74" s="111"/>
      <x:c r="S74" s="111"/>
      <x:c r="T74" s="111"/>
    </x:row>
    <x:row r="75" ht="28" customHeight="1">
      <x:c r="A75" s="107" t="str">
        <x:f>IF('Route List'!F75="","",'Route List'!F75)</x:f>
      </x:c>
      <x:c r="B75" s="90" t="str">
        <x:f>IF(A75="","",COUNTIFS(Trips!$D$6:$D$105,A75))</x:f>
      </x:c>
      <x:c r="C75" s="90" t="str">
        <x:f>IF(A75="","",SUMIFS(Trips!$M$6:$M$105,Trips!$D$6:$D$105,A75))</x:f>
      </x:c>
      <x:c r="D75" s="90" t="str">
        <x:f>IF(A75="","",SUMIFS(Trips!$N$6:$N$105,Trips!$D$6:$D$105,A75))</x:f>
      </x:c>
      <x:c r="E75" s="98" t="str">
        <x:f>IF(A75="","",SUMIFS(Trips!$O$6:$O$105,Trips!$D$6:$D$105,A75))</x:f>
      </x:c>
      <x:c r="F75" s="98" t="str">
        <x:f>IF(A75="","",SUMIFS(Trips!$P$6:$P$105,Trips!$D$6:$D$105,A75))</x:f>
      </x:c>
      <x:c r="G75" s="98" t="str">
        <x:f>IF(A75="","",SUMIFS(Trips!$Q$6:$Q$105,Trips!$D$6:$D$105,A75))</x:f>
      </x:c>
      <x:c r="H75" s="98" t="str">
        <x:f>IF(A75="","",SUMIFS(Trips!$R$6:$R$105,Trips!$D$6:$D$105,A75))</x:f>
      </x:c>
      <x:c r="I75" s="98" t="str">
        <x:f>IF(A75="","",SUMIFS(Trips!$S$6:$S$105,Trips!$D$6:$D$105,A75))</x:f>
      </x:c>
      <x:c r="J75" s="111"/>
      <x:c r="K75" s="111"/>
      <x:c r="L75" s="111"/>
      <x:c r="M75" s="111"/>
      <x:c r="N75" s="111"/>
      <x:c r="O75" s="111"/>
      <x:c r="P75" s="111"/>
      <x:c r="Q75" s="111"/>
      <x:c r="R75" s="111"/>
      <x:c r="S75" s="111"/>
      <x:c r="T75" s="111"/>
    </x:row>
    <x:row r="76" ht="28" customHeight="1">
      <x:c r="A76" s="107" t="str">
        <x:f>IF('Route List'!F76="","",'Route List'!F76)</x:f>
      </x:c>
      <x:c r="B76" s="90" t="str">
        <x:f>IF(A76="","",COUNTIFS(Trips!$D$6:$D$105,A76))</x:f>
      </x:c>
      <x:c r="C76" s="90" t="str">
        <x:f>IF(A76="","",SUMIFS(Trips!$M$6:$M$105,Trips!$D$6:$D$105,A76))</x:f>
      </x:c>
      <x:c r="D76" s="90" t="str">
        <x:f>IF(A76="","",SUMIFS(Trips!$N$6:$N$105,Trips!$D$6:$D$105,A76))</x:f>
      </x:c>
      <x:c r="E76" s="98" t="str">
        <x:f>IF(A76="","",SUMIFS(Trips!$O$6:$O$105,Trips!$D$6:$D$105,A76))</x:f>
      </x:c>
      <x:c r="F76" s="98" t="str">
        <x:f>IF(A76="","",SUMIFS(Trips!$P$6:$P$105,Trips!$D$6:$D$105,A76))</x:f>
      </x:c>
      <x:c r="G76" s="98" t="str">
        <x:f>IF(A76="","",SUMIFS(Trips!$Q$6:$Q$105,Trips!$D$6:$D$105,A76))</x:f>
      </x:c>
      <x:c r="H76" s="98" t="str">
        <x:f>IF(A76="","",SUMIFS(Trips!$R$6:$R$105,Trips!$D$6:$D$105,A76))</x:f>
      </x:c>
      <x:c r="I76" s="98" t="str">
        <x:f>IF(A76="","",SUMIFS(Trips!$S$6:$S$105,Trips!$D$6:$D$105,A76))</x:f>
      </x:c>
      <x:c r="J76" s="111"/>
      <x:c r="K76" s="111"/>
      <x:c r="L76" s="111"/>
      <x:c r="M76" s="111"/>
      <x:c r="N76" s="111"/>
      <x:c r="O76" s="111"/>
      <x:c r="P76" s="111"/>
      <x:c r="Q76" s="111"/>
      <x:c r="R76" s="111"/>
      <x:c r="S76" s="111"/>
      <x:c r="T76" s="111"/>
    </x:row>
    <x:row r="77" ht="28" customHeight="1">
      <x:c r="A77" s="107" t="str">
        <x:f>IF('Route List'!F77="","",'Route List'!F77)</x:f>
      </x:c>
      <x:c r="B77" s="90" t="str">
        <x:f>IF(A77="","",COUNTIFS(Trips!$D$6:$D$105,A77))</x:f>
      </x:c>
      <x:c r="C77" s="90" t="str">
        <x:f>IF(A77="","",SUMIFS(Trips!$M$6:$M$105,Trips!$D$6:$D$105,A77))</x:f>
      </x:c>
      <x:c r="D77" s="90" t="str">
        <x:f>IF(A77="","",SUMIFS(Trips!$N$6:$N$105,Trips!$D$6:$D$105,A77))</x:f>
      </x:c>
      <x:c r="E77" s="98" t="str">
        <x:f>IF(A77="","",SUMIFS(Trips!$O$6:$O$105,Trips!$D$6:$D$105,A77))</x:f>
      </x:c>
      <x:c r="F77" s="98" t="str">
        <x:f>IF(A77="","",SUMIFS(Trips!$P$6:$P$105,Trips!$D$6:$D$105,A77))</x:f>
      </x:c>
      <x:c r="G77" s="98" t="str">
        <x:f>IF(A77="","",SUMIFS(Trips!$Q$6:$Q$105,Trips!$D$6:$D$105,A77))</x:f>
      </x:c>
      <x:c r="H77" s="98" t="str">
        <x:f>IF(A77="","",SUMIFS(Trips!$R$6:$R$105,Trips!$D$6:$D$105,A77))</x:f>
      </x:c>
      <x:c r="I77" s="98" t="str">
        <x:f>IF(A77="","",SUMIFS(Trips!$S$6:$S$105,Trips!$D$6:$D$105,A77))</x:f>
      </x:c>
      <x:c r="J77" s="111"/>
      <x:c r="K77" s="111"/>
      <x:c r="L77" s="111"/>
      <x:c r="M77" s="111"/>
      <x:c r="N77" s="111"/>
      <x:c r="O77" s="111"/>
      <x:c r="P77" s="111"/>
      <x:c r="Q77" s="111"/>
      <x:c r="R77" s="111"/>
      <x:c r="S77" s="111"/>
      <x:c r="T77" s="111"/>
    </x:row>
    <x:row r="78" ht="28" customHeight="1">
      <x:c r="A78" s="107" t="str">
        <x:f>IF('Route List'!F78="","",'Route List'!F78)</x:f>
      </x:c>
      <x:c r="B78" s="90" t="str">
        <x:f>IF(A78="","",COUNTIFS(Trips!$D$6:$D$105,A78))</x:f>
      </x:c>
      <x:c r="C78" s="90" t="str">
        <x:f>IF(A78="","",SUMIFS(Trips!$M$6:$M$105,Trips!$D$6:$D$105,A78))</x:f>
      </x:c>
      <x:c r="D78" s="90" t="str">
        <x:f>IF(A78="","",SUMIFS(Trips!$N$6:$N$105,Trips!$D$6:$D$105,A78))</x:f>
      </x:c>
      <x:c r="E78" s="98" t="str">
        <x:f>IF(A78="","",SUMIFS(Trips!$O$6:$O$105,Trips!$D$6:$D$105,A78))</x:f>
      </x:c>
      <x:c r="F78" s="98" t="str">
        <x:f>IF(A78="","",SUMIFS(Trips!$P$6:$P$105,Trips!$D$6:$D$105,A78))</x:f>
      </x:c>
      <x:c r="G78" s="98" t="str">
        <x:f>IF(A78="","",SUMIFS(Trips!$Q$6:$Q$105,Trips!$D$6:$D$105,A78))</x:f>
      </x:c>
      <x:c r="H78" s="98" t="str">
        <x:f>IF(A78="","",SUMIFS(Trips!$R$6:$R$105,Trips!$D$6:$D$105,A78))</x:f>
      </x:c>
      <x:c r="I78" s="98" t="str">
        <x:f>IF(A78="","",SUMIFS(Trips!$S$6:$S$105,Trips!$D$6:$D$105,A78))</x:f>
      </x:c>
      <x:c r="J78" s="111"/>
      <x:c r="K78" s="111"/>
      <x:c r="L78" s="111"/>
      <x:c r="M78" s="111"/>
      <x:c r="N78" s="111"/>
      <x:c r="O78" s="111"/>
      <x:c r="P78" s="111"/>
      <x:c r="Q78" s="111"/>
      <x:c r="R78" s="111"/>
      <x:c r="S78" s="111"/>
      <x:c r="T78" s="111"/>
    </x:row>
    <x:row r="79" ht="28" customHeight="1">
      <x:c r="A79" s="107" t="str">
        <x:f>IF('Route List'!F79="","",'Route List'!F79)</x:f>
      </x:c>
      <x:c r="B79" s="90" t="str">
        <x:f>IF(A79="","",COUNTIFS(Trips!$D$6:$D$105,A79))</x:f>
      </x:c>
      <x:c r="C79" s="90" t="str">
        <x:f>IF(A79="","",SUMIFS(Trips!$M$6:$M$105,Trips!$D$6:$D$105,A79))</x:f>
      </x:c>
      <x:c r="D79" s="90" t="str">
        <x:f>IF(A79="","",SUMIFS(Trips!$N$6:$N$105,Trips!$D$6:$D$105,A79))</x:f>
      </x:c>
      <x:c r="E79" s="98" t="str">
        <x:f>IF(A79="","",SUMIFS(Trips!$O$6:$O$105,Trips!$D$6:$D$105,A79))</x:f>
      </x:c>
      <x:c r="F79" s="98" t="str">
        <x:f>IF(A79="","",SUMIFS(Trips!$P$6:$P$105,Trips!$D$6:$D$105,A79))</x:f>
      </x:c>
      <x:c r="G79" s="98" t="str">
        <x:f>IF(A79="","",SUMIFS(Trips!$Q$6:$Q$105,Trips!$D$6:$D$105,A79))</x:f>
      </x:c>
      <x:c r="H79" s="98" t="str">
        <x:f>IF(A79="","",SUMIFS(Trips!$R$6:$R$105,Trips!$D$6:$D$105,A79))</x:f>
      </x:c>
      <x:c r="I79" s="98" t="str">
        <x:f>IF(A79="","",SUMIFS(Trips!$S$6:$S$105,Trips!$D$6:$D$105,A79))</x:f>
      </x:c>
      <x:c r="J79" s="111"/>
      <x:c r="K79" s="111"/>
      <x:c r="L79" s="111"/>
      <x:c r="M79" s="111"/>
      <x:c r="N79" s="111"/>
      <x:c r="O79" s="111"/>
      <x:c r="P79" s="111"/>
      <x:c r="Q79" s="111"/>
      <x:c r="R79" s="111"/>
      <x:c r="S79" s="111"/>
      <x:c r="T79" s="111"/>
    </x:row>
    <x:row r="80" ht="28" customHeight="1">
      <x:c r="A80" s="107" t="str">
        <x:f>IF('Route List'!F80="","",'Route List'!F80)</x:f>
      </x:c>
      <x:c r="B80" s="90" t="str">
        <x:f>IF(A80="","",COUNTIFS(Trips!$D$6:$D$105,A80))</x:f>
      </x:c>
      <x:c r="C80" s="90" t="str">
        <x:f>IF(A80="","",SUMIFS(Trips!$M$6:$M$105,Trips!$D$6:$D$105,A80))</x:f>
      </x:c>
      <x:c r="D80" s="90" t="str">
        <x:f>IF(A80="","",SUMIFS(Trips!$N$6:$N$105,Trips!$D$6:$D$105,A80))</x:f>
      </x:c>
      <x:c r="E80" s="98" t="str">
        <x:f>IF(A80="","",SUMIFS(Trips!$O$6:$O$105,Trips!$D$6:$D$105,A80))</x:f>
      </x:c>
      <x:c r="F80" s="98" t="str">
        <x:f>IF(A80="","",SUMIFS(Trips!$P$6:$P$105,Trips!$D$6:$D$105,A80))</x:f>
      </x:c>
      <x:c r="G80" s="98" t="str">
        <x:f>IF(A80="","",SUMIFS(Trips!$Q$6:$Q$105,Trips!$D$6:$D$105,A80))</x:f>
      </x:c>
      <x:c r="H80" s="98" t="str">
        <x:f>IF(A80="","",SUMIFS(Trips!$R$6:$R$105,Trips!$D$6:$D$105,A80))</x:f>
      </x:c>
      <x:c r="I80" s="98" t="str">
        <x:f>IF(A80="","",SUMIFS(Trips!$S$6:$S$105,Trips!$D$6:$D$105,A80))</x:f>
      </x:c>
      <x:c r="J80" s="111"/>
      <x:c r="K80" s="111"/>
      <x:c r="L80" s="111"/>
      <x:c r="M80" s="111"/>
      <x:c r="N80" s="111"/>
      <x:c r="O80" s="111"/>
      <x:c r="P80" s="111"/>
      <x:c r="Q80" s="111"/>
      <x:c r="R80" s="111"/>
      <x:c r="S80" s="111"/>
      <x:c r="T80" s="111"/>
    </x:row>
    <x:row r="81" ht="28" customHeight="1">
      <x:c r="A81" s="107" t="str">
        <x:f>IF('Route List'!F81="","",'Route List'!F81)</x:f>
      </x:c>
      <x:c r="B81" s="90" t="str">
        <x:f>IF(A81="","",COUNTIFS(Trips!$D$6:$D$105,A81))</x:f>
      </x:c>
      <x:c r="C81" s="90" t="str">
        <x:f>IF(A81="","",SUMIFS(Trips!$M$6:$M$105,Trips!$D$6:$D$105,A81))</x:f>
      </x:c>
      <x:c r="D81" s="90" t="str">
        <x:f>IF(A81="","",SUMIFS(Trips!$N$6:$N$105,Trips!$D$6:$D$105,A81))</x:f>
      </x:c>
      <x:c r="E81" s="98" t="str">
        <x:f>IF(A81="","",SUMIFS(Trips!$O$6:$O$105,Trips!$D$6:$D$105,A81))</x:f>
      </x:c>
      <x:c r="F81" s="98" t="str">
        <x:f>IF(A81="","",SUMIFS(Trips!$P$6:$P$105,Trips!$D$6:$D$105,A81))</x:f>
      </x:c>
      <x:c r="G81" s="98" t="str">
        <x:f>IF(A81="","",SUMIFS(Trips!$Q$6:$Q$105,Trips!$D$6:$D$105,A81))</x:f>
      </x:c>
      <x:c r="H81" s="98" t="str">
        <x:f>IF(A81="","",SUMIFS(Trips!$R$6:$R$105,Trips!$D$6:$D$105,A81))</x:f>
      </x:c>
      <x:c r="I81" s="98" t="str">
        <x:f>IF(A81="","",SUMIFS(Trips!$S$6:$S$105,Trips!$D$6:$D$105,A81))</x:f>
      </x:c>
      <x:c r="J81" s="111"/>
      <x:c r="K81" s="111"/>
      <x:c r="L81" s="111"/>
      <x:c r="M81" s="111"/>
      <x:c r="N81" s="111"/>
      <x:c r="O81" s="111"/>
      <x:c r="P81" s="111"/>
      <x:c r="Q81" s="111"/>
      <x:c r="R81" s="111"/>
      <x:c r="S81" s="111"/>
      <x:c r="T81" s="111"/>
    </x:row>
    <x:row r="82" ht="28" customHeight="1">
      <x:c r="A82" s="107" t="str">
        <x:f>IF('Route List'!F82="","",'Route List'!F82)</x:f>
      </x:c>
      <x:c r="B82" s="90" t="str">
        <x:f>IF(A82="","",COUNTIFS(Trips!$D$6:$D$105,A82))</x:f>
      </x:c>
      <x:c r="C82" s="90" t="str">
        <x:f>IF(A82="","",SUMIFS(Trips!$M$6:$M$105,Trips!$D$6:$D$105,A82))</x:f>
      </x:c>
      <x:c r="D82" s="90" t="str">
        <x:f>IF(A82="","",SUMIFS(Trips!$N$6:$N$105,Trips!$D$6:$D$105,A82))</x:f>
      </x:c>
      <x:c r="E82" s="98" t="str">
        <x:f>IF(A82="","",SUMIFS(Trips!$O$6:$O$105,Trips!$D$6:$D$105,A82))</x:f>
      </x:c>
      <x:c r="F82" s="98" t="str">
        <x:f>IF(A82="","",SUMIFS(Trips!$P$6:$P$105,Trips!$D$6:$D$105,A82))</x:f>
      </x:c>
      <x:c r="G82" s="98" t="str">
        <x:f>IF(A82="","",SUMIFS(Trips!$Q$6:$Q$105,Trips!$D$6:$D$105,A82))</x:f>
      </x:c>
      <x:c r="H82" s="98" t="str">
        <x:f>IF(A82="","",SUMIFS(Trips!$R$6:$R$105,Trips!$D$6:$D$105,A82))</x:f>
      </x:c>
      <x:c r="I82" s="98" t="str">
        <x:f>IF(A82="","",SUMIFS(Trips!$S$6:$S$105,Trips!$D$6:$D$105,A82))</x:f>
      </x:c>
      <x:c r="J82" s="111"/>
      <x:c r="K82" s="111"/>
      <x:c r="L82" s="111"/>
      <x:c r="M82" s="111"/>
      <x:c r="N82" s="111"/>
      <x:c r="O82" s="111"/>
      <x:c r="P82" s="111"/>
      <x:c r="Q82" s="111"/>
      <x:c r="R82" s="111"/>
      <x:c r="S82" s="111"/>
      <x:c r="T82" s="111"/>
    </x:row>
    <x:row r="83" ht="28" customHeight="1">
      <x:c r="A83" s="107" t="str">
        <x:f>IF('Route List'!F83="","",'Route List'!F83)</x:f>
      </x:c>
      <x:c r="B83" s="90" t="str">
        <x:f>IF(A83="","",COUNTIFS(Trips!$D$6:$D$105,A83))</x:f>
      </x:c>
      <x:c r="C83" s="90" t="str">
        <x:f>IF(A83="","",SUMIFS(Trips!$M$6:$M$105,Trips!$D$6:$D$105,A83))</x:f>
      </x:c>
      <x:c r="D83" s="90" t="str">
        <x:f>IF(A83="","",SUMIFS(Trips!$N$6:$N$105,Trips!$D$6:$D$105,A83))</x:f>
      </x:c>
      <x:c r="E83" s="98" t="str">
        <x:f>IF(A83="","",SUMIFS(Trips!$O$6:$O$105,Trips!$D$6:$D$105,A83))</x:f>
      </x:c>
      <x:c r="F83" s="98" t="str">
        <x:f>IF(A83="","",SUMIFS(Trips!$P$6:$P$105,Trips!$D$6:$D$105,A83))</x:f>
      </x:c>
      <x:c r="G83" s="98" t="str">
        <x:f>IF(A83="","",SUMIFS(Trips!$Q$6:$Q$105,Trips!$D$6:$D$105,A83))</x:f>
      </x:c>
      <x:c r="H83" s="98" t="str">
        <x:f>IF(A83="","",SUMIFS(Trips!$R$6:$R$105,Trips!$D$6:$D$105,A83))</x:f>
      </x:c>
      <x:c r="I83" s="98" t="str">
        <x:f>IF(A83="","",SUMIFS(Trips!$S$6:$S$105,Trips!$D$6:$D$105,A83))</x:f>
      </x:c>
      <x:c r="J83" s="111"/>
      <x:c r="K83" s="111"/>
      <x:c r="L83" s="111"/>
      <x:c r="M83" s="111"/>
      <x:c r="N83" s="111"/>
      <x:c r="O83" s="111"/>
      <x:c r="P83" s="111"/>
      <x:c r="Q83" s="111"/>
      <x:c r="R83" s="111"/>
      <x:c r="S83" s="111"/>
      <x:c r="T83" s="111"/>
    </x:row>
    <x:row r="84" ht="28" customHeight="1">
      <x:c r="A84" s="107" t="str">
        <x:f>IF('Route List'!F84="","",'Route List'!F84)</x:f>
      </x:c>
      <x:c r="B84" s="90" t="str">
        <x:f>IF(A84="","",COUNTIFS(Trips!$D$6:$D$105,A84))</x:f>
      </x:c>
      <x:c r="C84" s="90" t="str">
        <x:f>IF(A84="","",SUMIFS(Trips!$M$6:$M$105,Trips!$D$6:$D$105,A84))</x:f>
      </x:c>
      <x:c r="D84" s="90" t="str">
        <x:f>IF(A84="","",SUMIFS(Trips!$N$6:$N$105,Trips!$D$6:$D$105,A84))</x:f>
      </x:c>
      <x:c r="E84" s="98" t="str">
        <x:f>IF(A84="","",SUMIFS(Trips!$O$6:$O$105,Trips!$D$6:$D$105,A84))</x:f>
      </x:c>
      <x:c r="F84" s="98" t="str">
        <x:f>IF(A84="","",SUMIFS(Trips!$P$6:$P$105,Trips!$D$6:$D$105,A84))</x:f>
      </x:c>
      <x:c r="G84" s="98" t="str">
        <x:f>IF(A84="","",SUMIFS(Trips!$Q$6:$Q$105,Trips!$D$6:$D$105,A84))</x:f>
      </x:c>
      <x:c r="H84" s="98" t="str">
        <x:f>IF(A84="","",SUMIFS(Trips!$R$6:$R$105,Trips!$D$6:$D$105,A84))</x:f>
      </x:c>
      <x:c r="I84" s="98" t="str">
        <x:f>IF(A84="","",SUMIFS(Trips!$S$6:$S$105,Trips!$D$6:$D$105,A84))</x:f>
      </x:c>
      <x:c r="J84" s="111"/>
      <x:c r="K84" s="111"/>
      <x:c r="L84" s="111"/>
      <x:c r="M84" s="111"/>
      <x:c r="N84" s="111"/>
      <x:c r="O84" s="111"/>
      <x:c r="P84" s="111"/>
      <x:c r="Q84" s="111"/>
      <x:c r="R84" s="111"/>
      <x:c r="S84" s="111"/>
      <x:c r="T84" s="111"/>
    </x:row>
    <x:row r="85" ht="28" customHeight="1">
      <x:c r="A85" s="107" t="str">
        <x:f>IF('Route List'!F85="","",'Route List'!F85)</x:f>
      </x:c>
      <x:c r="B85" s="90" t="str">
        <x:f>IF(A85="","",COUNTIFS(Trips!$D$6:$D$105,A85))</x:f>
      </x:c>
      <x:c r="C85" s="90" t="str">
        <x:f>IF(A85="","",SUMIFS(Trips!$M$6:$M$105,Trips!$D$6:$D$105,A85))</x:f>
      </x:c>
      <x:c r="D85" s="90" t="str">
        <x:f>IF(A85="","",SUMIFS(Trips!$N$6:$N$105,Trips!$D$6:$D$105,A85))</x:f>
      </x:c>
      <x:c r="E85" s="98" t="str">
        <x:f>IF(A85="","",SUMIFS(Trips!$O$6:$O$105,Trips!$D$6:$D$105,A85))</x:f>
      </x:c>
      <x:c r="F85" s="98" t="str">
        <x:f>IF(A85="","",SUMIFS(Trips!$P$6:$P$105,Trips!$D$6:$D$105,A85))</x:f>
      </x:c>
      <x:c r="G85" s="98" t="str">
        <x:f>IF(A85="","",SUMIFS(Trips!$Q$6:$Q$105,Trips!$D$6:$D$105,A85))</x:f>
      </x:c>
      <x:c r="H85" s="98" t="str">
        <x:f>IF(A85="","",SUMIFS(Trips!$R$6:$R$105,Trips!$D$6:$D$105,A85))</x:f>
      </x:c>
      <x:c r="I85" s="98" t="str">
        <x:f>IF(A85="","",SUMIFS(Trips!$S$6:$S$105,Trips!$D$6:$D$105,A85))</x:f>
      </x:c>
      <x:c r="J85" s="111"/>
      <x:c r="K85" s="111"/>
      <x:c r="L85" s="111"/>
      <x:c r="M85" s="111"/>
      <x:c r="N85" s="111"/>
      <x:c r="O85" s="111"/>
      <x:c r="P85" s="111"/>
      <x:c r="Q85" s="111"/>
      <x:c r="R85" s="111"/>
      <x:c r="S85" s="111"/>
      <x:c r="T85" s="111"/>
    </x:row>
    <x:row r="86" ht="28" customHeight="1">
      <x:c r="A86" s="107" t="str">
        <x:f>IF('Route List'!F86="","",'Route List'!F86)</x:f>
      </x:c>
      <x:c r="B86" s="90" t="str">
        <x:f>IF(A86="","",COUNTIFS(Trips!$D$6:$D$105,A86))</x:f>
      </x:c>
      <x:c r="C86" s="90" t="str">
        <x:f>IF(A86="","",SUMIFS(Trips!$M$6:$M$105,Trips!$D$6:$D$105,A86))</x:f>
      </x:c>
      <x:c r="D86" s="90" t="str">
        <x:f>IF(A86="","",SUMIFS(Trips!$N$6:$N$105,Trips!$D$6:$D$105,A86))</x:f>
      </x:c>
      <x:c r="E86" s="98" t="str">
        <x:f>IF(A86="","",SUMIFS(Trips!$O$6:$O$105,Trips!$D$6:$D$105,A86))</x:f>
      </x:c>
      <x:c r="F86" s="98" t="str">
        <x:f>IF(A86="","",SUMIFS(Trips!$P$6:$P$105,Trips!$D$6:$D$105,A86))</x:f>
      </x:c>
      <x:c r="G86" s="98" t="str">
        <x:f>IF(A86="","",SUMIFS(Trips!$Q$6:$Q$105,Trips!$D$6:$D$105,A86))</x:f>
      </x:c>
      <x:c r="H86" s="98" t="str">
        <x:f>IF(A86="","",SUMIFS(Trips!$R$6:$R$105,Trips!$D$6:$D$105,A86))</x:f>
      </x:c>
      <x:c r="I86" s="98" t="str">
        <x:f>IF(A86="","",SUMIFS(Trips!$S$6:$S$105,Trips!$D$6:$D$105,A86))</x:f>
      </x:c>
      <x:c r="J86" s="111"/>
      <x:c r="K86" s="111"/>
      <x:c r="L86" s="111"/>
      <x:c r="M86" s="111"/>
      <x:c r="N86" s="111"/>
      <x:c r="O86" s="111"/>
      <x:c r="P86" s="111"/>
      <x:c r="Q86" s="111"/>
      <x:c r="R86" s="111"/>
      <x:c r="S86" s="111"/>
      <x:c r="T86" s="111"/>
    </x:row>
    <x:row r="87" ht="28" customHeight="1">
      <x:c r="A87" s="107" t="str">
        <x:f>IF('Route List'!F87="","",'Route List'!F87)</x:f>
      </x:c>
      <x:c r="B87" s="90" t="str">
        <x:f>IF(A87="","",COUNTIFS(Trips!$D$6:$D$105,A87))</x:f>
      </x:c>
      <x:c r="C87" s="90" t="str">
        <x:f>IF(A87="","",SUMIFS(Trips!$M$6:$M$105,Trips!$D$6:$D$105,A87))</x:f>
      </x:c>
      <x:c r="D87" s="90" t="str">
        <x:f>IF(A87="","",SUMIFS(Trips!$N$6:$N$105,Trips!$D$6:$D$105,A87))</x:f>
      </x:c>
      <x:c r="E87" s="98" t="str">
        <x:f>IF(A87="","",SUMIFS(Trips!$O$6:$O$105,Trips!$D$6:$D$105,A87))</x:f>
      </x:c>
      <x:c r="F87" s="98" t="str">
        <x:f>IF(A87="","",SUMIFS(Trips!$P$6:$P$105,Trips!$D$6:$D$105,A87))</x:f>
      </x:c>
      <x:c r="G87" s="98" t="str">
        <x:f>IF(A87="","",SUMIFS(Trips!$Q$6:$Q$105,Trips!$D$6:$D$105,A87))</x:f>
      </x:c>
      <x:c r="H87" s="98" t="str">
        <x:f>IF(A87="","",SUMIFS(Trips!$R$6:$R$105,Trips!$D$6:$D$105,A87))</x:f>
      </x:c>
      <x:c r="I87" s="98" t="str">
        <x:f>IF(A87="","",SUMIFS(Trips!$S$6:$S$105,Trips!$D$6:$D$105,A87))</x:f>
      </x:c>
      <x:c r="J87" s="111"/>
      <x:c r="K87" s="111"/>
      <x:c r="L87" s="111"/>
      <x:c r="M87" s="111"/>
      <x:c r="N87" s="111"/>
      <x:c r="O87" s="111"/>
      <x:c r="P87" s="111"/>
      <x:c r="Q87" s="111"/>
      <x:c r="R87" s="111"/>
      <x:c r="S87" s="111"/>
      <x:c r="T87" s="111"/>
    </x:row>
    <x:row r="88" ht="28" customHeight="1">
      <x:c r="A88" s="107" t="str">
        <x:f>IF('Route List'!F88="","",'Route List'!F88)</x:f>
      </x:c>
      <x:c r="B88" s="90" t="str">
        <x:f>IF(A88="","",COUNTIFS(Trips!$D$6:$D$105,A88))</x:f>
      </x:c>
      <x:c r="C88" s="90" t="str">
        <x:f>IF(A88="","",SUMIFS(Trips!$M$6:$M$105,Trips!$D$6:$D$105,A88))</x:f>
      </x:c>
      <x:c r="D88" s="90" t="str">
        <x:f>IF(A88="","",SUMIFS(Trips!$N$6:$N$105,Trips!$D$6:$D$105,A88))</x:f>
      </x:c>
      <x:c r="E88" s="98" t="str">
        <x:f>IF(A88="","",SUMIFS(Trips!$O$6:$O$105,Trips!$D$6:$D$105,A88))</x:f>
      </x:c>
      <x:c r="F88" s="98" t="str">
        <x:f>IF(A88="","",SUMIFS(Trips!$P$6:$P$105,Trips!$D$6:$D$105,A88))</x:f>
      </x:c>
      <x:c r="G88" s="98" t="str">
        <x:f>IF(A88="","",SUMIFS(Trips!$Q$6:$Q$105,Trips!$D$6:$D$105,A88))</x:f>
      </x:c>
      <x:c r="H88" s="98" t="str">
        <x:f>IF(A88="","",SUMIFS(Trips!$R$6:$R$105,Trips!$D$6:$D$105,A88))</x:f>
      </x:c>
      <x:c r="I88" s="98" t="str">
        <x:f>IF(A88="","",SUMIFS(Trips!$S$6:$S$105,Trips!$D$6:$D$105,A88))</x:f>
      </x:c>
      <x:c r="J88" s="111"/>
      <x:c r="K88" s="111"/>
      <x:c r="L88" s="111"/>
      <x:c r="M88" s="111"/>
      <x:c r="N88" s="111"/>
      <x:c r="O88" s="111"/>
      <x:c r="P88" s="111"/>
      <x:c r="Q88" s="111"/>
      <x:c r="R88" s="111"/>
      <x:c r="S88" s="111"/>
      <x:c r="T88" s="111"/>
    </x:row>
    <x:row r="89" ht="28" customHeight="1">
      <x:c r="A89" s="107" t="str">
        <x:f>IF('Route List'!F89="","",'Route List'!F89)</x:f>
      </x:c>
      <x:c r="B89" s="90" t="str">
        <x:f>IF(A89="","",COUNTIFS(Trips!$D$6:$D$105,A89))</x:f>
      </x:c>
      <x:c r="C89" s="90" t="str">
        <x:f>IF(A89="","",SUMIFS(Trips!$M$6:$M$105,Trips!$D$6:$D$105,A89))</x:f>
      </x:c>
      <x:c r="D89" s="90" t="str">
        <x:f>IF(A89="","",SUMIFS(Trips!$N$6:$N$105,Trips!$D$6:$D$105,A89))</x:f>
      </x:c>
      <x:c r="E89" s="98" t="str">
        <x:f>IF(A89="","",SUMIFS(Trips!$O$6:$O$105,Trips!$D$6:$D$105,A89))</x:f>
      </x:c>
      <x:c r="F89" s="98" t="str">
        <x:f>IF(A89="","",SUMIFS(Trips!$P$6:$P$105,Trips!$D$6:$D$105,A89))</x:f>
      </x:c>
      <x:c r="G89" s="98" t="str">
        <x:f>IF(A89="","",SUMIFS(Trips!$Q$6:$Q$105,Trips!$D$6:$D$105,A89))</x:f>
      </x:c>
      <x:c r="H89" s="98" t="str">
        <x:f>IF(A89="","",SUMIFS(Trips!$R$6:$R$105,Trips!$D$6:$D$105,A89))</x:f>
      </x:c>
      <x:c r="I89" s="98" t="str">
        <x:f>IF(A89="","",SUMIFS(Trips!$S$6:$S$105,Trips!$D$6:$D$105,A89))</x:f>
      </x:c>
      <x:c r="J89" s="111"/>
      <x:c r="K89" s="111"/>
      <x:c r="L89" s="111"/>
      <x:c r="M89" s="111"/>
      <x:c r="N89" s="111"/>
      <x:c r="O89" s="111"/>
      <x:c r="P89" s="111"/>
      <x:c r="Q89" s="111"/>
      <x:c r="R89" s="111"/>
      <x:c r="S89" s="111"/>
      <x:c r="T89" s="111"/>
    </x:row>
    <x:row r="90" ht="28" customHeight="1">
      <x:c r="A90" s="107" t="str">
        <x:f>IF('Route List'!F90="","",'Route List'!F90)</x:f>
      </x:c>
      <x:c r="B90" s="90" t="str">
        <x:f>IF(A90="","",COUNTIFS(Trips!$D$6:$D$105,A90))</x:f>
      </x:c>
      <x:c r="C90" s="90" t="str">
        <x:f>IF(A90="","",SUMIFS(Trips!$M$6:$M$105,Trips!$D$6:$D$105,A90))</x:f>
      </x:c>
      <x:c r="D90" s="90" t="str">
        <x:f>IF(A90="","",SUMIFS(Trips!$N$6:$N$105,Trips!$D$6:$D$105,A90))</x:f>
      </x:c>
      <x:c r="E90" s="98" t="str">
        <x:f>IF(A90="","",SUMIFS(Trips!$O$6:$O$105,Trips!$D$6:$D$105,A90))</x:f>
      </x:c>
      <x:c r="F90" s="98" t="str">
        <x:f>IF(A90="","",SUMIFS(Trips!$P$6:$P$105,Trips!$D$6:$D$105,A90))</x:f>
      </x:c>
      <x:c r="G90" s="98" t="str">
        <x:f>IF(A90="","",SUMIFS(Trips!$Q$6:$Q$105,Trips!$D$6:$D$105,A90))</x:f>
      </x:c>
      <x:c r="H90" s="98" t="str">
        <x:f>IF(A90="","",SUMIFS(Trips!$R$6:$R$105,Trips!$D$6:$D$105,A90))</x:f>
      </x:c>
      <x:c r="I90" s="98" t="str">
        <x:f>IF(A90="","",SUMIFS(Trips!$S$6:$S$105,Trips!$D$6:$D$105,A90))</x:f>
      </x:c>
      <x:c r="J90" s="111"/>
      <x:c r="K90" s="111"/>
      <x:c r="L90" s="111"/>
      <x:c r="M90" s="111"/>
      <x:c r="N90" s="111"/>
      <x:c r="O90" s="111"/>
      <x:c r="P90" s="111"/>
      <x:c r="Q90" s="111"/>
      <x:c r="R90" s="111"/>
      <x:c r="S90" s="111"/>
      <x:c r="T90" s="111"/>
    </x:row>
    <x:row r="91" ht="28" customHeight="1">
      <x:c r="A91" s="107" t="str">
        <x:f>IF('Route List'!F91="","",'Route List'!F91)</x:f>
      </x:c>
      <x:c r="B91" s="90" t="str">
        <x:f>IF(A91="","",COUNTIFS(Trips!$D$6:$D$105,A91))</x:f>
      </x:c>
      <x:c r="C91" s="90" t="str">
        <x:f>IF(A91="","",SUMIFS(Trips!$M$6:$M$105,Trips!$D$6:$D$105,A91))</x:f>
      </x:c>
      <x:c r="D91" s="90" t="str">
        <x:f>IF(A91="","",SUMIFS(Trips!$N$6:$N$105,Trips!$D$6:$D$105,A91))</x:f>
      </x:c>
      <x:c r="E91" s="98" t="str">
        <x:f>IF(A91="","",SUMIFS(Trips!$O$6:$O$105,Trips!$D$6:$D$105,A91))</x:f>
      </x:c>
      <x:c r="F91" s="98" t="str">
        <x:f>IF(A91="","",SUMIFS(Trips!$P$6:$P$105,Trips!$D$6:$D$105,A91))</x:f>
      </x:c>
      <x:c r="G91" s="98" t="str">
        <x:f>IF(A91="","",SUMIFS(Trips!$Q$6:$Q$105,Trips!$D$6:$D$105,A91))</x:f>
      </x:c>
      <x:c r="H91" s="98" t="str">
        <x:f>IF(A91="","",SUMIFS(Trips!$R$6:$R$105,Trips!$D$6:$D$105,A91))</x:f>
      </x:c>
      <x:c r="I91" s="98" t="str">
        <x:f>IF(A91="","",SUMIFS(Trips!$S$6:$S$105,Trips!$D$6:$D$105,A91))</x:f>
      </x:c>
      <x:c r="J91" s="111"/>
      <x:c r="K91" s="111"/>
      <x:c r="L91" s="111"/>
      <x:c r="M91" s="111"/>
      <x:c r="N91" s="111"/>
      <x:c r="O91" s="111"/>
      <x:c r="P91" s="111"/>
      <x:c r="Q91" s="111"/>
      <x:c r="R91" s="111"/>
      <x:c r="S91" s="111"/>
      <x:c r="T91" s="111"/>
    </x:row>
    <x:row r="92" ht="28" customHeight="1">
      <x:c r="A92" s="107" t="str">
        <x:f>IF('Route List'!F92="","",'Route List'!F92)</x:f>
      </x:c>
      <x:c r="B92" s="90" t="str">
        <x:f>IF(A92="","",COUNTIFS(Trips!$D$6:$D$105,A92))</x:f>
      </x:c>
      <x:c r="C92" s="90" t="str">
        <x:f>IF(A92="","",SUMIFS(Trips!$M$6:$M$105,Trips!$D$6:$D$105,A92))</x:f>
      </x:c>
      <x:c r="D92" s="90" t="str">
        <x:f>IF(A92="","",SUMIFS(Trips!$N$6:$N$105,Trips!$D$6:$D$105,A92))</x:f>
      </x:c>
      <x:c r="E92" s="98" t="str">
        <x:f>IF(A92="","",SUMIFS(Trips!$O$6:$O$105,Trips!$D$6:$D$105,A92))</x:f>
      </x:c>
      <x:c r="F92" s="98" t="str">
        <x:f>IF(A92="","",SUMIFS(Trips!$P$6:$P$105,Trips!$D$6:$D$105,A92))</x:f>
      </x:c>
      <x:c r="G92" s="98" t="str">
        <x:f>IF(A92="","",SUMIFS(Trips!$Q$6:$Q$105,Trips!$D$6:$D$105,A92))</x:f>
      </x:c>
      <x:c r="H92" s="98" t="str">
        <x:f>IF(A92="","",SUMIFS(Trips!$R$6:$R$105,Trips!$D$6:$D$105,A92))</x:f>
      </x:c>
      <x:c r="I92" s="98" t="str">
        <x:f>IF(A92="","",SUMIFS(Trips!$S$6:$S$105,Trips!$D$6:$D$105,A92))</x:f>
      </x:c>
      <x:c r="J92" s="111"/>
      <x:c r="K92" s="111"/>
      <x:c r="L92" s="111"/>
      <x:c r="M92" s="111"/>
      <x:c r="N92" s="111"/>
      <x:c r="O92" s="111"/>
      <x:c r="P92" s="111"/>
      <x:c r="Q92" s="111"/>
      <x:c r="R92" s="111"/>
      <x:c r="S92" s="111"/>
      <x:c r="T92" s="111"/>
    </x:row>
    <x:row r="93" ht="28" customHeight="1">
      <x:c r="A93" s="107" t="str">
        <x:f>IF('Route List'!F93="","",'Route List'!F93)</x:f>
      </x:c>
      <x:c r="B93" s="90" t="str">
        <x:f>IF(A93="","",COUNTIFS(Trips!$D$6:$D$105,A93))</x:f>
      </x:c>
      <x:c r="C93" s="90" t="str">
        <x:f>IF(A93="","",SUMIFS(Trips!$M$6:$M$105,Trips!$D$6:$D$105,A93))</x:f>
      </x:c>
      <x:c r="D93" s="90" t="str">
        <x:f>IF(A93="","",SUMIFS(Trips!$N$6:$N$105,Trips!$D$6:$D$105,A93))</x:f>
      </x:c>
      <x:c r="E93" s="98" t="str">
        <x:f>IF(A93="","",SUMIFS(Trips!$O$6:$O$105,Trips!$D$6:$D$105,A93))</x:f>
      </x:c>
      <x:c r="F93" s="98" t="str">
        <x:f>IF(A93="","",SUMIFS(Trips!$P$6:$P$105,Trips!$D$6:$D$105,A93))</x:f>
      </x:c>
      <x:c r="G93" s="98" t="str">
        <x:f>IF(A93="","",SUMIFS(Trips!$Q$6:$Q$105,Trips!$D$6:$D$105,A93))</x:f>
      </x:c>
      <x:c r="H93" s="98" t="str">
        <x:f>IF(A93="","",SUMIFS(Trips!$R$6:$R$105,Trips!$D$6:$D$105,A93))</x:f>
      </x:c>
      <x:c r="I93" s="98" t="str">
        <x:f>IF(A93="","",SUMIFS(Trips!$S$6:$S$105,Trips!$D$6:$D$105,A93))</x:f>
      </x:c>
      <x:c r="J93" s="111"/>
      <x:c r="K93" s="111"/>
      <x:c r="L93" s="111"/>
      <x:c r="M93" s="111"/>
      <x:c r="N93" s="111"/>
      <x:c r="O93" s="111"/>
      <x:c r="P93" s="111"/>
      <x:c r="Q93" s="111"/>
      <x:c r="R93" s="111"/>
      <x:c r="S93" s="111"/>
      <x:c r="T93" s="111"/>
    </x:row>
    <x:row r="94" ht="28" customHeight="1">
      <x:c r="A94" s="107" t="str">
        <x:f>IF('Route List'!F94="","",'Route List'!F94)</x:f>
      </x:c>
      <x:c r="B94" s="90" t="str">
        <x:f>IF(A94="","",COUNTIFS(Trips!$D$6:$D$105,A94))</x:f>
      </x:c>
      <x:c r="C94" s="90" t="str">
        <x:f>IF(A94="","",SUMIFS(Trips!$M$6:$M$105,Trips!$D$6:$D$105,A94))</x:f>
      </x:c>
      <x:c r="D94" s="90" t="str">
        <x:f>IF(A94="","",SUMIFS(Trips!$N$6:$N$105,Trips!$D$6:$D$105,A94))</x:f>
      </x:c>
      <x:c r="E94" s="98" t="str">
        <x:f>IF(A94="","",SUMIFS(Trips!$O$6:$O$105,Trips!$D$6:$D$105,A94))</x:f>
      </x:c>
      <x:c r="F94" s="98" t="str">
        <x:f>IF(A94="","",SUMIFS(Trips!$P$6:$P$105,Trips!$D$6:$D$105,A94))</x:f>
      </x:c>
      <x:c r="G94" s="98" t="str">
        <x:f>IF(A94="","",SUMIFS(Trips!$Q$6:$Q$105,Trips!$D$6:$D$105,A94))</x:f>
      </x:c>
      <x:c r="H94" s="98" t="str">
        <x:f>IF(A94="","",SUMIFS(Trips!$R$6:$R$105,Trips!$D$6:$D$105,A94))</x:f>
      </x:c>
      <x:c r="I94" s="98" t="str">
        <x:f>IF(A94="","",SUMIFS(Trips!$S$6:$S$105,Trips!$D$6:$D$105,A94))</x:f>
      </x:c>
      <x:c r="J94" s="111"/>
      <x:c r="K94" s="111"/>
      <x:c r="L94" s="111"/>
      <x:c r="M94" s="111"/>
      <x:c r="N94" s="111"/>
      <x:c r="O94" s="111"/>
      <x:c r="P94" s="111"/>
      <x:c r="Q94" s="111"/>
      <x:c r="R94" s="111"/>
      <x:c r="S94" s="111"/>
      <x:c r="T94" s="111"/>
    </x:row>
    <x:row r="95" ht="28" customHeight="1">
      <x:c r="A95" s="107" t="str">
        <x:f>IF('Route List'!F95="","",'Route List'!F95)</x:f>
      </x:c>
      <x:c r="B95" s="90" t="str">
        <x:f>IF(A95="","",COUNTIFS(Trips!$D$6:$D$105,A95))</x:f>
      </x:c>
      <x:c r="C95" s="90" t="str">
        <x:f>IF(A95="","",SUMIFS(Trips!$M$6:$M$105,Trips!$D$6:$D$105,A95))</x:f>
      </x:c>
      <x:c r="D95" s="90" t="str">
        <x:f>IF(A95="","",SUMIFS(Trips!$N$6:$N$105,Trips!$D$6:$D$105,A95))</x:f>
      </x:c>
      <x:c r="E95" s="98" t="str">
        <x:f>IF(A95="","",SUMIFS(Trips!$O$6:$O$105,Trips!$D$6:$D$105,A95))</x:f>
      </x:c>
      <x:c r="F95" s="98" t="str">
        <x:f>IF(A95="","",SUMIFS(Trips!$P$6:$P$105,Trips!$D$6:$D$105,A95))</x:f>
      </x:c>
      <x:c r="G95" s="98" t="str">
        <x:f>IF(A95="","",SUMIFS(Trips!$Q$6:$Q$105,Trips!$D$6:$D$105,A95))</x:f>
      </x:c>
      <x:c r="H95" s="98" t="str">
        <x:f>IF(A95="","",SUMIFS(Trips!$R$6:$R$105,Trips!$D$6:$D$105,A95))</x:f>
      </x:c>
      <x:c r="I95" s="98" t="str">
        <x:f>IF(A95="","",SUMIFS(Trips!$S$6:$S$105,Trips!$D$6:$D$105,A95))</x:f>
      </x:c>
      <x:c r="J95" s="111"/>
      <x:c r="K95" s="111"/>
      <x:c r="L95" s="111"/>
      <x:c r="M95" s="111"/>
      <x:c r="N95" s="111"/>
      <x:c r="O95" s="111"/>
      <x:c r="P95" s="111"/>
      <x:c r="Q95" s="111"/>
      <x:c r="R95" s="111"/>
      <x:c r="S95" s="111"/>
      <x:c r="T95" s="111"/>
    </x:row>
    <x:row r="96" ht="28" customHeight="1">
      <x:c r="A96" s="107" t="str">
        <x:f>IF('Route List'!F96="","",'Route List'!F96)</x:f>
      </x:c>
      <x:c r="B96" s="90" t="str">
        <x:f>IF(A96="","",COUNTIFS(Trips!$D$6:$D$105,A96))</x:f>
      </x:c>
      <x:c r="C96" s="90" t="str">
        <x:f>IF(A96="","",SUMIFS(Trips!$M$6:$M$105,Trips!$D$6:$D$105,A96))</x:f>
      </x:c>
      <x:c r="D96" s="90" t="str">
        <x:f>IF(A96="","",SUMIFS(Trips!$N$6:$N$105,Trips!$D$6:$D$105,A96))</x:f>
      </x:c>
      <x:c r="E96" s="98" t="str">
        <x:f>IF(A96="","",SUMIFS(Trips!$O$6:$O$105,Trips!$D$6:$D$105,A96))</x:f>
      </x:c>
      <x:c r="F96" s="98" t="str">
        <x:f>IF(A96="","",SUMIFS(Trips!$P$6:$P$105,Trips!$D$6:$D$105,A96))</x:f>
      </x:c>
      <x:c r="G96" s="98" t="str">
        <x:f>IF(A96="","",SUMIFS(Trips!$Q$6:$Q$105,Trips!$D$6:$D$105,A96))</x:f>
      </x:c>
      <x:c r="H96" s="98" t="str">
        <x:f>IF(A96="","",SUMIFS(Trips!$R$6:$R$105,Trips!$D$6:$D$105,A96))</x:f>
      </x:c>
      <x:c r="I96" s="98" t="str">
        <x:f>IF(A96="","",SUMIFS(Trips!$S$6:$S$105,Trips!$D$6:$D$105,A96))</x:f>
      </x:c>
      <x:c r="J96" s="111"/>
      <x:c r="K96" s="111"/>
      <x:c r="L96" s="111"/>
      <x:c r="M96" s="111"/>
      <x:c r="N96" s="111"/>
      <x:c r="O96" s="111"/>
      <x:c r="P96" s="111"/>
      <x:c r="Q96" s="111"/>
      <x:c r="R96" s="111"/>
      <x:c r="S96" s="111"/>
      <x:c r="T96" s="111"/>
    </x:row>
    <x:row r="97" ht="28" customHeight="1">
      <x:c r="A97" s="107" t="str">
        <x:f>IF('Route List'!F97="","",'Route List'!F97)</x:f>
      </x:c>
      <x:c r="B97" s="90" t="str">
        <x:f>IF(A97="","",COUNTIFS(Trips!$D$6:$D$105,A97))</x:f>
      </x:c>
      <x:c r="C97" s="90" t="str">
        <x:f>IF(A97="","",SUMIFS(Trips!$M$6:$M$105,Trips!$D$6:$D$105,A97))</x:f>
      </x:c>
      <x:c r="D97" s="90" t="str">
        <x:f>IF(A97="","",SUMIFS(Trips!$N$6:$N$105,Trips!$D$6:$D$105,A97))</x:f>
      </x:c>
      <x:c r="E97" s="98" t="str">
        <x:f>IF(A97="","",SUMIFS(Trips!$O$6:$O$105,Trips!$D$6:$D$105,A97))</x:f>
      </x:c>
      <x:c r="F97" s="98" t="str">
        <x:f>IF(A97="","",SUMIFS(Trips!$P$6:$P$105,Trips!$D$6:$D$105,A97))</x:f>
      </x:c>
      <x:c r="G97" s="98" t="str">
        <x:f>IF(A97="","",SUMIFS(Trips!$Q$6:$Q$105,Trips!$D$6:$D$105,A97))</x:f>
      </x:c>
      <x:c r="H97" s="98" t="str">
        <x:f>IF(A97="","",SUMIFS(Trips!$R$6:$R$105,Trips!$D$6:$D$105,A97))</x:f>
      </x:c>
      <x:c r="I97" s="98" t="str">
        <x:f>IF(A97="","",SUMIFS(Trips!$S$6:$S$105,Trips!$D$6:$D$105,A97))</x:f>
      </x:c>
      <x:c r="J97" s="111"/>
      <x:c r="K97" s="111"/>
      <x:c r="L97" s="111"/>
      <x:c r="M97" s="111"/>
      <x:c r="N97" s="111"/>
      <x:c r="O97" s="111"/>
      <x:c r="P97" s="111"/>
      <x:c r="Q97" s="111"/>
      <x:c r="R97" s="111"/>
      <x:c r="S97" s="111"/>
      <x:c r="T97" s="111"/>
    </x:row>
    <x:row r="98" ht="28" customHeight="1">
      <x:c r="A98" s="107" t="str">
        <x:f>IF('Route List'!F98="","",'Route List'!F98)</x:f>
      </x:c>
      <x:c r="B98" s="90" t="str">
        <x:f>IF(A98="","",COUNTIFS(Trips!$D$6:$D$105,A98))</x:f>
      </x:c>
      <x:c r="C98" s="90" t="str">
        <x:f>IF(A98="","",SUMIFS(Trips!$M$6:$M$105,Trips!$D$6:$D$105,A98))</x:f>
      </x:c>
      <x:c r="D98" s="90" t="str">
        <x:f>IF(A98="","",SUMIFS(Trips!$N$6:$N$105,Trips!$D$6:$D$105,A98))</x:f>
      </x:c>
      <x:c r="E98" s="98" t="str">
        <x:f>IF(A98="","",SUMIFS(Trips!$O$6:$O$105,Trips!$D$6:$D$105,A98))</x:f>
      </x:c>
      <x:c r="F98" s="98" t="str">
        <x:f>IF(A98="","",SUMIFS(Trips!$P$6:$P$105,Trips!$D$6:$D$105,A98))</x:f>
      </x:c>
      <x:c r="G98" s="98" t="str">
        <x:f>IF(A98="","",SUMIFS(Trips!$Q$6:$Q$105,Trips!$D$6:$D$105,A98))</x:f>
      </x:c>
      <x:c r="H98" s="98" t="str">
        <x:f>IF(A98="","",SUMIFS(Trips!$R$6:$R$105,Trips!$D$6:$D$105,A98))</x:f>
      </x:c>
      <x:c r="I98" s="98" t="str">
        <x:f>IF(A98="","",SUMIFS(Trips!$S$6:$S$105,Trips!$D$6:$D$105,A98))</x:f>
      </x:c>
      <x:c r="J98" s="111"/>
      <x:c r="K98" s="111"/>
      <x:c r="L98" s="111"/>
      <x:c r="M98" s="111"/>
      <x:c r="N98" s="111"/>
      <x:c r="O98" s="111"/>
      <x:c r="P98" s="111"/>
      <x:c r="Q98" s="111"/>
      <x:c r="R98" s="111"/>
      <x:c r="S98" s="111"/>
      <x:c r="T98" s="111"/>
    </x:row>
    <x:row r="99" ht="28" customHeight="1">
      <x:c r="A99" s="107" t="str">
        <x:f>IF('Route List'!F99="","",'Route List'!F99)</x:f>
      </x:c>
      <x:c r="B99" s="90" t="str">
        <x:f>IF(A99="","",COUNTIFS(Trips!$D$6:$D$105,A99))</x:f>
      </x:c>
      <x:c r="C99" s="90" t="str">
        <x:f>IF(A99="","",SUMIFS(Trips!$M$6:$M$105,Trips!$D$6:$D$105,A99))</x:f>
      </x:c>
      <x:c r="D99" s="90" t="str">
        <x:f>IF(A99="","",SUMIFS(Trips!$N$6:$N$105,Trips!$D$6:$D$105,A99))</x:f>
      </x:c>
      <x:c r="E99" s="98" t="str">
        <x:f>IF(A99="","",SUMIFS(Trips!$O$6:$O$105,Trips!$D$6:$D$105,A99))</x:f>
      </x:c>
      <x:c r="F99" s="98" t="str">
        <x:f>IF(A99="","",SUMIFS(Trips!$P$6:$P$105,Trips!$D$6:$D$105,A99))</x:f>
      </x:c>
      <x:c r="G99" s="98" t="str">
        <x:f>IF(A99="","",SUMIFS(Trips!$Q$6:$Q$105,Trips!$D$6:$D$105,A99))</x:f>
      </x:c>
      <x:c r="H99" s="98" t="str">
        <x:f>IF(A99="","",SUMIFS(Trips!$R$6:$R$105,Trips!$D$6:$D$105,A99))</x:f>
      </x:c>
      <x:c r="I99" s="98" t="str">
        <x:f>IF(A99="","",SUMIFS(Trips!$S$6:$S$105,Trips!$D$6:$D$105,A99))</x:f>
      </x:c>
      <x:c r="J99" s="111"/>
      <x:c r="K99" s="111"/>
      <x:c r="L99" s="111"/>
      <x:c r="M99" s="111"/>
      <x:c r="N99" s="111"/>
      <x:c r="O99" s="111"/>
      <x:c r="P99" s="111"/>
      <x:c r="Q99" s="111"/>
      <x:c r="R99" s="111"/>
      <x:c r="S99" s="111"/>
      <x:c r="T99" s="111"/>
    </x:row>
    <x:row r="100" ht="28" customHeight="1">
      <x:c r="A100" s="107" t="str">
        <x:f>IF('Route List'!F100="","",'Route List'!F100)</x:f>
      </x:c>
      <x:c r="B100" s="90" t="str">
        <x:f>IF(A100="","",COUNTIFS(Trips!$D$6:$D$105,A100))</x:f>
      </x:c>
      <x:c r="C100" s="90" t="str">
        <x:f>IF(A100="","",SUMIFS(Trips!$M$6:$M$105,Trips!$D$6:$D$105,A100))</x:f>
      </x:c>
      <x:c r="D100" s="90" t="str">
        <x:f>IF(A100="","",SUMIFS(Trips!$N$6:$N$105,Trips!$D$6:$D$105,A100))</x:f>
      </x:c>
      <x:c r="E100" s="98" t="str">
        <x:f>IF(A100="","",SUMIFS(Trips!$O$6:$O$105,Trips!$D$6:$D$105,A100))</x:f>
      </x:c>
      <x:c r="F100" s="98" t="str">
        <x:f>IF(A100="","",SUMIFS(Trips!$P$6:$P$105,Trips!$D$6:$D$105,A100))</x:f>
      </x:c>
      <x:c r="G100" s="98" t="str">
        <x:f>IF(A100="","",SUMIFS(Trips!$Q$6:$Q$105,Trips!$D$6:$D$105,A100))</x:f>
      </x:c>
      <x:c r="H100" s="98" t="str">
        <x:f>IF(A100="","",SUMIFS(Trips!$R$6:$R$105,Trips!$D$6:$D$105,A100))</x:f>
      </x:c>
      <x:c r="I100" s="98" t="str">
        <x:f>IF(A100="","",SUMIFS(Trips!$S$6:$S$105,Trips!$D$6:$D$105,A100))</x:f>
      </x:c>
      <x:c r="J100" s="111"/>
      <x:c r="K100" s="111"/>
      <x:c r="L100" s="111"/>
      <x:c r="M100" s="111"/>
      <x:c r="N100" s="111"/>
      <x:c r="O100" s="111"/>
      <x:c r="P100" s="111"/>
      <x:c r="Q100" s="111"/>
      <x:c r="R100" s="111"/>
      <x:c r="S100" s="111"/>
      <x:c r="T100" s="111"/>
    </x:row>
    <x:row r="101" ht="28" customHeight="1">
      <x:c r="A101" s="107" t="str">
        <x:f>IF('Route List'!F101="","",'Route List'!F101)</x:f>
      </x:c>
      <x:c r="B101" s="90" t="str">
        <x:f>IF(A101="","",COUNTIFS(Trips!$D$6:$D$105,A101))</x:f>
      </x:c>
      <x:c r="C101" s="90" t="str">
        <x:f>IF(A101="","",SUMIFS(Trips!$M$6:$M$105,Trips!$D$6:$D$105,A101))</x:f>
      </x:c>
      <x:c r="D101" s="90" t="str">
        <x:f>IF(A101="","",SUMIFS(Trips!$N$6:$N$105,Trips!$D$6:$D$105,A101))</x:f>
      </x:c>
      <x:c r="E101" s="98" t="str">
        <x:f>IF(A101="","",SUMIFS(Trips!$O$6:$O$105,Trips!$D$6:$D$105,A101))</x:f>
      </x:c>
      <x:c r="F101" s="98" t="str">
        <x:f>IF(A101="","",SUMIFS(Trips!$P$6:$P$105,Trips!$D$6:$D$105,A101))</x:f>
      </x:c>
      <x:c r="G101" s="98" t="str">
        <x:f>IF(A101="","",SUMIFS(Trips!$Q$6:$Q$105,Trips!$D$6:$D$105,A101))</x:f>
      </x:c>
      <x:c r="H101" s="98" t="str">
        <x:f>IF(A101="","",SUMIFS(Trips!$R$6:$R$105,Trips!$D$6:$D$105,A101))</x:f>
      </x:c>
      <x:c r="I101" s="98" t="str">
        <x:f>IF(A101="","",SUMIFS(Trips!$S$6:$S$105,Trips!$D$6:$D$105,A101))</x:f>
      </x:c>
      <x:c r="J101" s="111"/>
      <x:c r="K101" s="111"/>
      <x:c r="L101" s="111"/>
      <x:c r="M101" s="111"/>
      <x:c r="N101" s="111"/>
      <x:c r="O101" s="111"/>
      <x:c r="P101" s="111"/>
      <x:c r="Q101" s="111"/>
      <x:c r="R101" s="111"/>
      <x:c r="S101" s="111"/>
      <x:c r="T101" s="111"/>
    </x:row>
    <x:row r="102" ht="28" customHeight="1">
      <x:c r="A102" s="107" t="str">
        <x:f>IF('Route List'!F102="","",'Route List'!F102)</x:f>
      </x:c>
      <x:c r="B102" s="90" t="str">
        <x:f>IF(A102="","",COUNTIFS(Trips!$D$6:$D$105,A102))</x:f>
      </x:c>
      <x:c r="C102" s="90" t="str">
        <x:f>IF(A102="","",SUMIFS(Trips!$M$6:$M$105,Trips!$D$6:$D$105,A102))</x:f>
      </x:c>
      <x:c r="D102" s="90" t="str">
        <x:f>IF(A102="","",SUMIFS(Trips!$N$6:$N$105,Trips!$D$6:$D$105,A102))</x:f>
      </x:c>
      <x:c r="E102" s="98" t="str">
        <x:f>IF(A102="","",SUMIFS(Trips!$O$6:$O$105,Trips!$D$6:$D$105,A102))</x:f>
      </x:c>
      <x:c r="F102" s="98" t="str">
        <x:f>IF(A102="","",SUMIFS(Trips!$P$6:$P$105,Trips!$D$6:$D$105,A102))</x:f>
      </x:c>
      <x:c r="G102" s="98" t="str">
        <x:f>IF(A102="","",SUMIFS(Trips!$Q$6:$Q$105,Trips!$D$6:$D$105,A102))</x:f>
      </x:c>
      <x:c r="H102" s="98" t="str">
        <x:f>IF(A102="","",SUMIFS(Trips!$R$6:$R$105,Trips!$D$6:$D$105,A102))</x:f>
      </x:c>
      <x:c r="I102" s="98" t="str">
        <x:f>IF(A102="","",SUMIFS(Trips!$S$6:$S$105,Trips!$D$6:$D$105,A102))</x:f>
      </x:c>
      <x:c r="J102" s="111"/>
      <x:c r="K102" s="111"/>
      <x:c r="L102" s="111"/>
      <x:c r="M102" s="111"/>
      <x:c r="N102" s="111"/>
      <x:c r="O102" s="111"/>
      <x:c r="P102" s="111"/>
      <x:c r="Q102" s="111"/>
      <x:c r="R102" s="111"/>
      <x:c r="S102" s="111"/>
      <x:c r="T102" s="111"/>
    </x:row>
    <x:row r="103" ht="28" customHeight="1">
      <x:c r="A103" s="107" t="str">
        <x:f>IF('Route List'!F103="","",'Route List'!F103)</x:f>
      </x:c>
      <x:c r="B103" s="90" t="str">
        <x:f>IF(A103="","",COUNTIFS(Trips!$D$6:$D$105,A103))</x:f>
      </x:c>
      <x:c r="C103" s="90" t="str">
        <x:f>IF(A103="","",SUMIFS(Trips!$M$6:$M$105,Trips!$D$6:$D$105,A103))</x:f>
      </x:c>
      <x:c r="D103" s="90" t="str">
        <x:f>IF(A103="","",SUMIFS(Trips!$N$6:$N$105,Trips!$D$6:$D$105,A103))</x:f>
      </x:c>
      <x:c r="E103" s="98" t="str">
        <x:f>IF(A103="","",SUMIFS(Trips!$O$6:$O$105,Trips!$D$6:$D$105,A103))</x:f>
      </x:c>
      <x:c r="F103" s="98" t="str">
        <x:f>IF(A103="","",SUMIFS(Trips!$P$6:$P$105,Trips!$D$6:$D$105,A103))</x:f>
      </x:c>
      <x:c r="G103" s="98" t="str">
        <x:f>IF(A103="","",SUMIFS(Trips!$Q$6:$Q$105,Trips!$D$6:$D$105,A103))</x:f>
      </x:c>
      <x:c r="H103" s="98" t="str">
        <x:f>IF(A103="","",SUMIFS(Trips!$R$6:$R$105,Trips!$D$6:$D$105,A103))</x:f>
      </x:c>
      <x:c r="I103" s="98" t="str">
        <x:f>IF(A103="","",SUMIFS(Trips!$S$6:$S$105,Trips!$D$6:$D$105,A103))</x:f>
      </x:c>
      <x:c r="J103" s="111"/>
      <x:c r="K103" s="111"/>
      <x:c r="L103" s="111"/>
      <x:c r="M103" s="111"/>
      <x:c r="N103" s="111"/>
      <x:c r="O103" s="111"/>
      <x:c r="P103" s="111"/>
      <x:c r="Q103" s="111"/>
      <x:c r="R103" s="111"/>
      <x:c r="S103" s="111"/>
      <x:c r="T103" s="111"/>
    </x:row>
    <x:row r="104" ht="28" customHeight="1">
      <x:c r="A104" s="107" t="str">
        <x:f>IF('Route List'!F104="","",'Route List'!F104)</x:f>
      </x:c>
      <x:c r="B104" s="90" t="str">
        <x:f>IF(A104="","",COUNTIFS(Trips!$D$6:$D$105,A104))</x:f>
      </x:c>
      <x:c r="C104" s="90" t="str">
        <x:f>IF(A104="","",SUMIFS(Trips!$M$6:$M$105,Trips!$D$6:$D$105,A104))</x:f>
      </x:c>
      <x:c r="D104" s="90" t="str">
        <x:f>IF(A104="","",SUMIFS(Trips!$N$6:$N$105,Trips!$D$6:$D$105,A104))</x:f>
      </x:c>
      <x:c r="E104" s="98" t="str">
        <x:f>IF(A104="","",SUMIFS(Trips!$O$6:$O$105,Trips!$D$6:$D$105,A104))</x:f>
      </x:c>
      <x:c r="F104" s="98" t="str">
        <x:f>IF(A104="","",SUMIFS(Trips!$P$6:$P$105,Trips!$D$6:$D$105,A104))</x:f>
      </x:c>
      <x:c r="G104" s="98" t="str">
        <x:f>IF(A104="","",SUMIFS(Trips!$Q$6:$Q$105,Trips!$D$6:$D$105,A104))</x:f>
      </x:c>
      <x:c r="H104" s="98" t="str">
        <x:f>IF(A104="","",SUMIFS(Trips!$R$6:$R$105,Trips!$D$6:$D$105,A104))</x:f>
      </x:c>
      <x:c r="I104" s="98" t="str">
        <x:f>IF(A104="","",SUMIFS(Trips!$S$6:$S$105,Trips!$D$6:$D$105,A104))</x:f>
      </x:c>
      <x:c r="J104" s="111"/>
      <x:c r="K104" s="111"/>
      <x:c r="L104" s="111"/>
      <x:c r="M104" s="111"/>
      <x:c r="N104" s="111"/>
      <x:c r="O104" s="111"/>
      <x:c r="P104" s="111"/>
      <x:c r="Q104" s="111"/>
      <x:c r="R104" s="111"/>
      <x:c r="S104" s="111"/>
      <x:c r="T104" s="111"/>
    </x:row>
    <x:row r="105" ht="28" customHeight="1">
      <x:c r="A105" s="107" t="str">
        <x:f>IF('Route List'!F105="","",'Route List'!F105)</x:f>
      </x:c>
      <x:c r="B105" s="90" t="str">
        <x:f>IF(A105="","",COUNTIFS(Trips!$D$6:$D$105,A105))</x:f>
      </x:c>
      <x:c r="C105" s="90" t="str">
        <x:f>IF(A105="","",SUMIFS(Trips!$M$6:$M$105,Trips!$D$6:$D$105,A105))</x:f>
      </x:c>
      <x:c r="D105" s="90" t="str">
        <x:f>IF(A105="","",SUMIFS(Trips!$N$6:$N$105,Trips!$D$6:$D$105,A105))</x:f>
      </x:c>
      <x:c r="E105" s="98" t="str">
        <x:f>IF(A105="","",SUMIFS(Trips!$O$6:$O$105,Trips!$D$6:$D$105,A105))</x:f>
      </x:c>
      <x:c r="F105" s="98" t="str">
        <x:f>IF(A105="","",SUMIFS(Trips!$P$6:$P$105,Trips!$D$6:$D$105,A105))</x:f>
      </x:c>
      <x:c r="G105" s="98" t="str">
        <x:f>IF(A105="","",SUMIFS(Trips!$Q$6:$Q$105,Trips!$D$6:$D$105,A105))</x:f>
      </x:c>
      <x:c r="H105" s="98" t="str">
        <x:f>IF(A105="","",SUMIFS(Trips!$R$6:$R$105,Trips!$D$6:$D$105,A105))</x:f>
      </x:c>
      <x:c r="I105" s="98" t="str">
        <x:f>IF(A105="","",SUMIFS(Trips!$S$6:$S$105,Trips!$D$6:$D$105,A105))</x:f>
      </x:c>
      <x:c r="J105" s="111"/>
      <x:c r="K105" s="111"/>
      <x:c r="L105" s="111"/>
      <x:c r="M105" s="111"/>
      <x:c r="N105" s="111"/>
      <x:c r="O105" s="111"/>
      <x:c r="P105" s="111"/>
      <x:c r="Q105" s="111"/>
      <x:c r="R105" s="111"/>
      <x:c r="S105" s="111"/>
      <x:c r="T105" s="111"/>
    </x:row>
    <x:row r="106" ht="28" customHeight="1">
      <x:c r="A106" s="107" t="str">
        <x:f>IF('Route List'!F106="","",'Route List'!F106)</x:f>
      </x:c>
      <x:c r="B106" s="90" t="str">
        <x:f>IF(A106="","",COUNTIFS(Trips!$D$6:$D$105,A106))</x:f>
      </x:c>
      <x:c r="C106" s="90" t="str">
        <x:f>IF(A106="","",SUMIFS(Trips!$M$6:$M$105,Trips!$D$6:$D$105,A106))</x:f>
      </x:c>
      <x:c r="D106" s="90" t="str">
        <x:f>IF(A106="","",SUMIFS(Trips!$N$6:$N$105,Trips!$D$6:$D$105,A106))</x:f>
      </x:c>
      <x:c r="E106" s="98" t="str">
        <x:f>IF(A106="","",SUMIFS(Trips!$O$6:$O$105,Trips!$D$6:$D$105,A106))</x:f>
      </x:c>
      <x:c r="F106" s="98" t="str">
        <x:f>IF(A106="","",SUMIFS(Trips!$P$6:$P$105,Trips!$D$6:$D$105,A106))</x:f>
      </x:c>
      <x:c r="G106" s="98" t="str">
        <x:f>IF(A106="","",SUMIFS(Trips!$Q$6:$Q$105,Trips!$D$6:$D$105,A106))</x:f>
      </x:c>
      <x:c r="H106" s="98" t="str">
        <x:f>IF(A106="","",SUMIFS(Trips!$R$6:$R$105,Trips!$D$6:$D$105,A106))</x:f>
      </x:c>
      <x:c r="I106" s="98" t="str">
        <x:f>IF(A106="","",SUMIFS(Trips!$S$6:$S$105,Trips!$D$6:$D$105,A106))</x:f>
      </x:c>
      <x:c r="J106" s="111"/>
      <x:c r="K106" s="111"/>
      <x:c r="L106" s="111"/>
      <x:c r="M106" s="111"/>
      <x:c r="N106" s="111"/>
      <x:c r="O106" s="111"/>
      <x:c r="P106" s="111"/>
      <x:c r="Q106" s="111"/>
      <x:c r="R106" s="111"/>
      <x:c r="S106" s="111"/>
      <x:c r="T106" s="111"/>
    </x:row>
    <x:row r="107" ht="28" customHeight="1">
      <x:c r="A107" s="107" t="str">
        <x:f>IF('Route List'!F107="","",'Route List'!F107)</x:f>
      </x:c>
      <x:c r="B107" s="90" t="str">
        <x:f>IF(A107="","",COUNTIFS(Trips!$D$6:$D$105,A107))</x:f>
      </x:c>
      <x:c r="C107" s="90" t="str">
        <x:f>IF(A107="","",SUMIFS(Trips!$M$6:$M$105,Trips!$D$6:$D$105,A107))</x:f>
      </x:c>
      <x:c r="D107" s="90" t="str">
        <x:f>IF(A107="","",SUMIFS(Trips!$N$6:$N$105,Trips!$D$6:$D$105,A107))</x:f>
      </x:c>
      <x:c r="E107" s="98" t="str">
        <x:f>IF(A107="","",SUMIFS(Trips!$O$6:$O$105,Trips!$D$6:$D$105,A107))</x:f>
      </x:c>
      <x:c r="F107" s="98" t="str">
        <x:f>IF(A107="","",SUMIFS(Trips!$P$6:$P$105,Trips!$D$6:$D$105,A107))</x:f>
      </x:c>
      <x:c r="G107" s="98" t="str">
        <x:f>IF(A107="","",SUMIFS(Trips!$Q$6:$Q$105,Trips!$D$6:$D$105,A107))</x:f>
      </x:c>
      <x:c r="H107" s="98" t="str">
        <x:f>IF(A107="","",SUMIFS(Trips!$R$6:$R$105,Trips!$D$6:$D$105,A107))</x:f>
      </x:c>
      <x:c r="I107" s="98" t="str">
        <x:f>IF(A107="","",SUMIFS(Trips!$S$6:$S$105,Trips!$D$6:$D$105,A107))</x:f>
      </x:c>
      <x:c r="J107" s="111"/>
      <x:c r="K107" s="111"/>
      <x:c r="L107" s="111"/>
      <x:c r="M107" s="111"/>
      <x:c r="N107" s="111"/>
      <x:c r="O107" s="111"/>
      <x:c r="P107" s="111"/>
      <x:c r="Q107" s="111"/>
      <x:c r="R107" s="111"/>
      <x:c r="S107" s="111"/>
      <x:c r="T107" s="111"/>
    </x:row>
    <x:row r="108" ht="28" customHeight="1">
      <x:c r="A108" s="107" t="str">
        <x:f>IF('Route List'!F108="","",'Route List'!F108)</x:f>
      </x:c>
      <x:c r="B108" s="90" t="str">
        <x:f>IF(A108="","",COUNTIFS(Trips!$D$6:$D$105,A108))</x:f>
      </x:c>
      <x:c r="C108" s="90" t="str">
        <x:f>IF(A108="","",SUMIFS(Trips!$M$6:$M$105,Trips!$D$6:$D$105,A108))</x:f>
      </x:c>
      <x:c r="D108" s="90" t="str">
        <x:f>IF(A108="","",SUMIFS(Trips!$N$6:$N$105,Trips!$D$6:$D$105,A108))</x:f>
      </x:c>
      <x:c r="E108" s="98" t="str">
        <x:f>IF(A108="","",SUMIFS(Trips!$O$6:$O$105,Trips!$D$6:$D$105,A108))</x:f>
      </x:c>
      <x:c r="F108" s="98" t="str">
        <x:f>IF(A108="","",SUMIFS(Trips!$P$6:$P$105,Trips!$D$6:$D$105,A108))</x:f>
      </x:c>
      <x:c r="G108" s="98" t="str">
        <x:f>IF(A108="","",SUMIFS(Trips!$Q$6:$Q$105,Trips!$D$6:$D$105,A108))</x:f>
      </x:c>
      <x:c r="H108" s="98" t="str">
        <x:f>IF(A108="","",SUMIFS(Trips!$R$6:$R$105,Trips!$D$6:$D$105,A108))</x:f>
      </x:c>
      <x:c r="I108" s="98" t="str">
        <x:f>IF(A108="","",SUMIFS(Trips!$S$6:$S$105,Trips!$D$6:$D$105,A108))</x:f>
      </x:c>
      <x:c r="J108" s="111"/>
      <x:c r="K108" s="111"/>
      <x:c r="L108" s="111"/>
      <x:c r="M108" s="111"/>
      <x:c r="N108" s="111"/>
      <x:c r="O108" s="111"/>
      <x:c r="P108" s="111"/>
      <x:c r="Q108" s="111"/>
      <x:c r="R108" s="111"/>
      <x:c r="S108" s="111"/>
      <x:c r="T108" s="111"/>
    </x:row>
    <x:row r="109" ht="28" customHeight="1">
      <x:c r="A109" s="107" t="str">
        <x:f>IF('Route List'!F109="","",'Route List'!F109)</x:f>
      </x:c>
      <x:c r="B109" s="90" t="str">
        <x:f>IF(A109="","",COUNTIFS(Trips!$D$6:$D$105,A109))</x:f>
      </x:c>
      <x:c r="C109" s="90" t="str">
        <x:f>IF(A109="","",SUMIFS(Trips!$M$6:$M$105,Trips!$D$6:$D$105,A109))</x:f>
      </x:c>
      <x:c r="D109" s="90" t="str">
        <x:f>IF(A109="","",SUMIFS(Trips!$N$6:$N$105,Trips!$D$6:$D$105,A109))</x:f>
      </x:c>
      <x:c r="E109" s="98" t="str">
        <x:f>IF(A109="","",SUMIFS(Trips!$O$6:$O$105,Trips!$D$6:$D$105,A109))</x:f>
      </x:c>
      <x:c r="F109" s="98" t="str">
        <x:f>IF(A109="","",SUMIFS(Trips!$P$6:$P$105,Trips!$D$6:$D$105,A109))</x:f>
      </x:c>
      <x:c r="G109" s="98" t="str">
        <x:f>IF(A109="","",SUMIFS(Trips!$Q$6:$Q$105,Trips!$D$6:$D$105,A109))</x:f>
      </x:c>
      <x:c r="H109" s="98" t="str">
        <x:f>IF(A109="","",SUMIFS(Trips!$R$6:$R$105,Trips!$D$6:$D$105,A109))</x:f>
      </x:c>
      <x:c r="I109" s="98" t="str">
        <x:f>IF(A109="","",SUMIFS(Trips!$S$6:$S$105,Trips!$D$6:$D$105,A109))</x:f>
      </x:c>
      <x:c r="J109" s="111"/>
      <x:c r="K109" s="111"/>
      <x:c r="L109" s="111"/>
      <x:c r="M109" s="111"/>
      <x:c r="N109" s="111"/>
      <x:c r="O109" s="111"/>
      <x:c r="P109" s="111"/>
      <x:c r="Q109" s="111"/>
      <x:c r="R109" s="111"/>
      <x:c r="S109" s="111"/>
      <x:c r="T109" s="111"/>
    </x:row>
    <x:row r="110" ht="28" customHeight="1">
      <x:c r="A110" s="107" t="str">
        <x:f>IF('Route List'!F110="","",'Route List'!F110)</x:f>
      </x:c>
      <x:c r="B110" s="90" t="str">
        <x:f>IF(A110="","",COUNTIFS(Trips!$D$6:$D$105,A110))</x:f>
      </x:c>
      <x:c r="C110" s="90" t="str">
        <x:f>IF(A110="","",SUMIFS(Trips!$M$6:$M$105,Trips!$D$6:$D$105,A110))</x:f>
      </x:c>
      <x:c r="D110" s="90" t="str">
        <x:f>IF(A110="","",SUMIFS(Trips!$N$6:$N$105,Trips!$D$6:$D$105,A110))</x:f>
      </x:c>
      <x:c r="E110" s="98" t="str">
        <x:f>IF(A110="","",SUMIFS(Trips!$O$6:$O$105,Trips!$D$6:$D$105,A110))</x:f>
      </x:c>
      <x:c r="F110" s="98" t="str">
        <x:f>IF(A110="","",SUMIFS(Trips!$P$6:$P$105,Trips!$D$6:$D$105,A110))</x:f>
      </x:c>
      <x:c r="G110" s="98" t="str">
        <x:f>IF(A110="","",SUMIFS(Trips!$Q$6:$Q$105,Trips!$D$6:$D$105,A110))</x:f>
      </x:c>
      <x:c r="H110" s="98" t="str">
        <x:f>IF(A110="","",SUMIFS(Trips!$R$6:$R$105,Trips!$D$6:$D$105,A110))</x:f>
      </x:c>
      <x:c r="I110" s="98" t="str">
        <x:f>IF(A110="","",SUMIFS(Trips!$S$6:$S$105,Trips!$D$6:$D$105,A110))</x:f>
      </x:c>
      <x:c r="J110" s="111"/>
      <x:c r="K110" s="111"/>
      <x:c r="L110" s="111"/>
      <x:c r="M110" s="111"/>
      <x:c r="N110" s="111"/>
      <x:c r="O110" s="111"/>
      <x:c r="P110" s="111"/>
      <x:c r="Q110" s="111"/>
      <x:c r="R110" s="111"/>
      <x:c r="S110" s="111"/>
      <x:c r="T110" s="111"/>
    </x:row>
    <x:row r="111" ht="28" customHeight="1">
      <x:c r="A111" s="107" t="str">
        <x:f>IF('Route List'!F111="","",'Route List'!F111)</x:f>
      </x:c>
      <x:c r="B111" s="90" t="str">
        <x:f>IF(A111="","",COUNTIFS(Trips!$D$6:$D$105,A111))</x:f>
      </x:c>
      <x:c r="C111" s="90" t="str">
        <x:f>IF(A111="","",SUMIFS(Trips!$M$6:$M$105,Trips!$D$6:$D$105,A111))</x:f>
      </x:c>
      <x:c r="D111" s="90" t="str">
        <x:f>IF(A111="","",SUMIFS(Trips!$N$6:$N$105,Trips!$D$6:$D$105,A111))</x:f>
      </x:c>
      <x:c r="E111" s="98" t="str">
        <x:f>IF(A111="","",SUMIFS(Trips!$O$6:$O$105,Trips!$D$6:$D$105,A111))</x:f>
      </x:c>
      <x:c r="F111" s="98" t="str">
        <x:f>IF(A111="","",SUMIFS(Trips!$P$6:$P$105,Trips!$D$6:$D$105,A111))</x:f>
      </x:c>
      <x:c r="G111" s="98" t="str">
        <x:f>IF(A111="","",SUMIFS(Trips!$Q$6:$Q$105,Trips!$D$6:$D$105,A111))</x:f>
      </x:c>
      <x:c r="H111" s="98" t="str">
        <x:f>IF(A111="","",SUMIFS(Trips!$R$6:$R$105,Trips!$D$6:$D$105,A111))</x:f>
      </x:c>
      <x:c r="I111" s="98" t="str">
        <x:f>IF(A111="","",SUMIFS(Trips!$S$6:$S$105,Trips!$D$6:$D$105,A111))</x:f>
      </x:c>
      <x:c r="J111" s="111"/>
      <x:c r="K111" s="111"/>
      <x:c r="L111" s="111"/>
      <x:c r="M111" s="111"/>
      <x:c r="N111" s="111"/>
      <x:c r="O111" s="111"/>
      <x:c r="P111" s="111"/>
      <x:c r="Q111" s="111"/>
      <x:c r="R111" s="111"/>
      <x:c r="S111" s="111"/>
      <x:c r="T111" s="111"/>
    </x:row>
    <x:row r="112" ht="28" customHeight="1">
      <x:c r="A112" s="107" t="str">
        <x:f>IF('Route List'!F112="","",'Route List'!F112)</x:f>
      </x:c>
      <x:c r="B112" s="90" t="str">
        <x:f>IF(A112="","",COUNTIFS(Trips!$D$6:$D$105,A112))</x:f>
      </x:c>
      <x:c r="C112" s="90" t="str">
        <x:f>IF(A112="","",SUMIFS(Trips!$M$6:$M$105,Trips!$D$6:$D$105,A112))</x:f>
      </x:c>
      <x:c r="D112" s="90" t="str">
        <x:f>IF(A112="","",SUMIFS(Trips!$N$6:$N$105,Trips!$D$6:$D$105,A112))</x:f>
      </x:c>
      <x:c r="E112" s="98" t="str">
        <x:f>IF(A112="","",SUMIFS(Trips!$O$6:$O$105,Trips!$D$6:$D$105,A112))</x:f>
      </x:c>
      <x:c r="F112" s="98" t="str">
        <x:f>IF(A112="","",SUMIFS(Trips!$P$6:$P$105,Trips!$D$6:$D$105,A112))</x:f>
      </x:c>
      <x:c r="G112" s="98" t="str">
        <x:f>IF(A112="","",SUMIFS(Trips!$Q$6:$Q$105,Trips!$D$6:$D$105,A112))</x:f>
      </x:c>
      <x:c r="H112" s="98" t="str">
        <x:f>IF(A112="","",SUMIFS(Trips!$R$6:$R$105,Trips!$D$6:$D$105,A112))</x:f>
      </x:c>
      <x:c r="I112" s="98" t="str">
        <x:f>IF(A112="","",SUMIFS(Trips!$S$6:$S$105,Trips!$D$6:$D$105,A112))</x:f>
      </x:c>
      <x:c r="J112" s="111"/>
      <x:c r="K112" s="111"/>
      <x:c r="L112" s="111"/>
      <x:c r="M112" s="111"/>
      <x:c r="N112" s="111"/>
      <x:c r="O112" s="111"/>
      <x:c r="P112" s="111"/>
      <x:c r="Q112" s="111"/>
      <x:c r="R112" s="111"/>
      <x:c r="S112" s="111"/>
      <x:c r="T112" s="111"/>
    </x:row>
    <x:row r="113" ht="28" customHeight="1">
      <x:c r="A113" s="107" t="str">
        <x:f>IF('Route List'!F113="","",'Route List'!F113)</x:f>
      </x:c>
      <x:c r="B113" s="90" t="str">
        <x:f>IF(A113="","",COUNTIFS(Trips!$D$6:$D$105,A113))</x:f>
      </x:c>
      <x:c r="C113" s="90" t="str">
        <x:f>IF(A113="","",SUMIFS(Trips!$M$6:$M$105,Trips!$D$6:$D$105,A113))</x:f>
      </x:c>
      <x:c r="D113" s="90" t="str">
        <x:f>IF(A113="","",SUMIFS(Trips!$N$6:$N$105,Trips!$D$6:$D$105,A113))</x:f>
      </x:c>
      <x:c r="E113" s="98" t="str">
        <x:f>IF(A113="","",SUMIFS(Trips!$O$6:$O$105,Trips!$D$6:$D$105,A113))</x:f>
      </x:c>
      <x:c r="F113" s="98" t="str">
        <x:f>IF(A113="","",SUMIFS(Trips!$P$6:$P$105,Trips!$D$6:$D$105,A113))</x:f>
      </x:c>
      <x:c r="G113" s="98" t="str">
        <x:f>IF(A113="","",SUMIFS(Trips!$Q$6:$Q$105,Trips!$D$6:$D$105,A113))</x:f>
      </x:c>
      <x:c r="H113" s="98" t="str">
        <x:f>IF(A113="","",SUMIFS(Trips!$R$6:$R$105,Trips!$D$6:$D$105,A113))</x:f>
      </x:c>
      <x:c r="I113" s="98" t="str">
        <x:f>IF(A113="","",SUMIFS(Trips!$S$6:$S$105,Trips!$D$6:$D$105,A113))</x:f>
      </x:c>
      <x:c r="J113" s="111"/>
      <x:c r="K113" s="111"/>
      <x:c r="L113" s="111"/>
      <x:c r="M113" s="111"/>
      <x:c r="N113" s="111"/>
      <x:c r="O113" s="111"/>
      <x:c r="P113" s="111"/>
      <x:c r="Q113" s="111"/>
      <x:c r="R113" s="111"/>
      <x:c r="S113" s="111"/>
      <x:c r="T113" s="111"/>
    </x:row>
    <x:row r="114" ht="28" customHeight="1">
      <x:c r="A114" s="107" t="str">
        <x:f>IF('Route List'!F114="","",'Route List'!F114)</x:f>
      </x:c>
      <x:c r="B114" s="90" t="str">
        <x:f>IF(A114="","",COUNTIFS(Trips!$D$6:$D$105,A114))</x:f>
      </x:c>
      <x:c r="C114" s="90" t="str">
        <x:f>IF(A114="","",SUMIFS(Trips!$M$6:$M$105,Trips!$D$6:$D$105,A114))</x:f>
      </x:c>
      <x:c r="D114" s="90" t="str">
        <x:f>IF(A114="","",SUMIFS(Trips!$N$6:$N$105,Trips!$D$6:$D$105,A114))</x:f>
      </x:c>
      <x:c r="E114" s="98" t="str">
        <x:f>IF(A114="","",SUMIFS(Trips!$O$6:$O$105,Trips!$D$6:$D$105,A114))</x:f>
      </x:c>
      <x:c r="F114" s="98" t="str">
        <x:f>IF(A114="","",SUMIFS(Trips!$P$6:$P$105,Trips!$D$6:$D$105,A114))</x:f>
      </x:c>
      <x:c r="G114" s="98" t="str">
        <x:f>IF(A114="","",SUMIFS(Trips!$Q$6:$Q$105,Trips!$D$6:$D$105,A114))</x:f>
      </x:c>
      <x:c r="H114" s="98" t="str">
        <x:f>IF(A114="","",SUMIFS(Trips!$R$6:$R$105,Trips!$D$6:$D$105,A114))</x:f>
      </x:c>
      <x:c r="I114" s="98" t="str">
        <x:f>IF(A114="","",SUMIFS(Trips!$S$6:$S$105,Trips!$D$6:$D$105,A114))</x:f>
      </x:c>
      <x:c r="J114" s="111"/>
      <x:c r="K114" s="111"/>
      <x:c r="L114" s="111"/>
      <x:c r="M114" s="111"/>
      <x:c r="N114" s="111"/>
      <x:c r="O114" s="111"/>
      <x:c r="P114" s="111"/>
      <x:c r="Q114" s="111"/>
      <x:c r="R114" s="111"/>
      <x:c r="S114" s="111"/>
      <x:c r="T114" s="111"/>
    </x:row>
    <x:row r="115" ht="28" customHeight="1">
      <x:c r="A115" s="107" t="str">
        <x:f>IF('Route List'!F115="","",'Route List'!F115)</x:f>
      </x:c>
      <x:c r="B115" s="90" t="str">
        <x:f>IF(A115="","",COUNTIFS(Trips!$D$6:$D$105,A115))</x:f>
      </x:c>
      <x:c r="C115" s="90" t="str">
        <x:f>IF(A115="","",SUMIFS(Trips!$M$6:$M$105,Trips!$D$6:$D$105,A115))</x:f>
      </x:c>
      <x:c r="D115" s="90" t="str">
        <x:f>IF(A115="","",SUMIFS(Trips!$N$6:$N$105,Trips!$D$6:$D$105,A115))</x:f>
      </x:c>
      <x:c r="E115" s="98" t="str">
        <x:f>IF(A115="","",SUMIFS(Trips!$O$6:$O$105,Trips!$D$6:$D$105,A115))</x:f>
      </x:c>
      <x:c r="F115" s="98" t="str">
        <x:f>IF(A115="","",SUMIFS(Trips!$P$6:$P$105,Trips!$D$6:$D$105,A115))</x:f>
      </x:c>
      <x:c r="G115" s="98" t="str">
        <x:f>IF(A115="","",SUMIFS(Trips!$Q$6:$Q$105,Trips!$D$6:$D$105,A115))</x:f>
      </x:c>
      <x:c r="H115" s="98" t="str">
        <x:f>IF(A115="","",SUMIFS(Trips!$R$6:$R$105,Trips!$D$6:$D$105,A115))</x:f>
      </x:c>
      <x:c r="I115" s="98" t="str">
        <x:f>IF(A115="","",SUMIFS(Trips!$S$6:$S$105,Trips!$D$6:$D$105,A115))</x:f>
      </x:c>
      <x:c r="J115" s="111"/>
      <x:c r="K115" s="111"/>
      <x:c r="L115" s="111"/>
      <x:c r="M115" s="111"/>
      <x:c r="N115" s="111"/>
      <x:c r="O115" s="111"/>
      <x:c r="P115" s="111"/>
      <x:c r="Q115" s="111"/>
      <x:c r="R115" s="111"/>
      <x:c r="S115" s="111"/>
      <x:c r="T115" s="111"/>
    </x:row>
    <x:row r="116" ht="28" customHeight="1">
      <x:c r="A116" s="107" t="str">
        <x:f>IF('Route List'!F116="","",'Route List'!F116)</x:f>
      </x:c>
      <x:c r="B116" s="90" t="str">
        <x:f>IF(A116="","",COUNTIFS(Trips!$D$6:$D$105,A116))</x:f>
      </x:c>
      <x:c r="C116" s="90" t="str">
        <x:f>IF(A116="","",SUMIFS(Trips!$M$6:$M$105,Trips!$D$6:$D$105,A116))</x:f>
      </x:c>
      <x:c r="D116" s="90" t="str">
        <x:f>IF(A116="","",SUMIFS(Trips!$N$6:$N$105,Trips!$D$6:$D$105,A116))</x:f>
      </x:c>
      <x:c r="E116" s="98" t="str">
        <x:f>IF(A116="","",SUMIFS(Trips!$O$6:$O$105,Trips!$D$6:$D$105,A116))</x:f>
      </x:c>
      <x:c r="F116" s="98" t="str">
        <x:f>IF(A116="","",SUMIFS(Trips!$P$6:$P$105,Trips!$D$6:$D$105,A116))</x:f>
      </x:c>
      <x:c r="G116" s="98" t="str">
        <x:f>IF(A116="","",SUMIFS(Trips!$Q$6:$Q$105,Trips!$D$6:$D$105,A116))</x:f>
      </x:c>
      <x:c r="H116" s="98" t="str">
        <x:f>IF(A116="","",SUMIFS(Trips!$R$6:$R$105,Trips!$D$6:$D$105,A116))</x:f>
      </x:c>
      <x:c r="I116" s="98" t="str">
        <x:f>IF(A116="","",SUMIFS(Trips!$S$6:$S$105,Trips!$D$6:$D$105,A116))</x:f>
      </x:c>
      <x:c r="J116" s="111"/>
      <x:c r="K116" s="111"/>
      <x:c r="L116" s="111"/>
      <x:c r="M116" s="111"/>
      <x:c r="N116" s="111"/>
      <x:c r="O116" s="111"/>
      <x:c r="P116" s="111"/>
      <x:c r="Q116" s="111"/>
      <x:c r="R116" s="111"/>
      <x:c r="S116" s="111"/>
      <x:c r="T116" s="111"/>
    </x:row>
    <x:row r="117" ht="28" customHeight="1">
      <x:c r="A117" s="107" t="str">
        <x:f>IF('Route List'!F117="","",'Route List'!F117)</x:f>
      </x:c>
      <x:c r="B117" s="90" t="str">
        <x:f>IF(A117="","",COUNTIFS(Trips!$D$6:$D$105,A117))</x:f>
      </x:c>
      <x:c r="C117" s="90" t="str">
        <x:f>IF(A117="","",SUMIFS(Trips!$M$6:$M$105,Trips!$D$6:$D$105,A117))</x:f>
      </x:c>
      <x:c r="D117" s="90" t="str">
        <x:f>IF(A117="","",SUMIFS(Trips!$N$6:$N$105,Trips!$D$6:$D$105,A117))</x:f>
      </x:c>
      <x:c r="E117" s="98" t="str">
        <x:f>IF(A117="","",SUMIFS(Trips!$O$6:$O$105,Trips!$D$6:$D$105,A117))</x:f>
      </x:c>
      <x:c r="F117" s="98" t="str">
        <x:f>IF(A117="","",SUMIFS(Trips!$P$6:$P$105,Trips!$D$6:$D$105,A117))</x:f>
      </x:c>
      <x:c r="G117" s="98" t="str">
        <x:f>IF(A117="","",SUMIFS(Trips!$Q$6:$Q$105,Trips!$D$6:$D$105,A117))</x:f>
      </x:c>
      <x:c r="H117" s="98" t="str">
        <x:f>IF(A117="","",SUMIFS(Trips!$R$6:$R$105,Trips!$D$6:$D$105,A117))</x:f>
      </x:c>
      <x:c r="I117" s="98" t="str">
        <x:f>IF(A117="","",SUMIFS(Trips!$S$6:$S$105,Trips!$D$6:$D$105,A117))</x:f>
      </x:c>
      <x:c r="J117" s="111"/>
      <x:c r="K117" s="111"/>
      <x:c r="L117" s="111"/>
      <x:c r="M117" s="111"/>
      <x:c r="N117" s="111"/>
      <x:c r="O117" s="111"/>
      <x:c r="P117" s="111"/>
      <x:c r="Q117" s="111"/>
      <x:c r="R117" s="111"/>
      <x:c r="S117" s="111"/>
      <x:c r="T117" s="111"/>
    </x:row>
    <x:row r="118" ht="28" customHeight="1">
      <x:c r="A118" s="107" t="str">
        <x:f>IF('Route List'!F118="","",'Route List'!F118)</x:f>
      </x:c>
      <x:c r="B118" s="90" t="str">
        <x:f>IF(A118="","",COUNTIFS(Trips!$D$6:$D$105,A118))</x:f>
      </x:c>
      <x:c r="C118" s="90" t="str">
        <x:f>IF(A118="","",SUMIFS(Trips!$M$6:$M$105,Trips!$D$6:$D$105,A118))</x:f>
      </x:c>
      <x:c r="D118" s="90" t="str">
        <x:f>IF(A118="","",SUMIFS(Trips!$N$6:$N$105,Trips!$D$6:$D$105,A118))</x:f>
      </x:c>
      <x:c r="E118" s="98" t="str">
        <x:f>IF(A118="","",SUMIFS(Trips!$O$6:$O$105,Trips!$D$6:$D$105,A118))</x:f>
      </x:c>
      <x:c r="F118" s="98" t="str">
        <x:f>IF(A118="","",SUMIFS(Trips!$P$6:$P$105,Trips!$D$6:$D$105,A118))</x:f>
      </x:c>
      <x:c r="G118" s="98" t="str">
        <x:f>IF(A118="","",SUMIFS(Trips!$Q$6:$Q$105,Trips!$D$6:$D$105,A118))</x:f>
      </x:c>
      <x:c r="H118" s="98" t="str">
        <x:f>IF(A118="","",SUMIFS(Trips!$R$6:$R$105,Trips!$D$6:$D$105,A118))</x:f>
      </x:c>
      <x:c r="I118" s="98" t="str">
        <x:f>IF(A118="","",SUMIFS(Trips!$S$6:$S$105,Trips!$D$6:$D$105,A118))</x:f>
      </x:c>
      <x:c r="J118" s="111"/>
      <x:c r="K118" s="111"/>
      <x:c r="L118" s="111"/>
      <x:c r="M118" s="111"/>
      <x:c r="N118" s="111"/>
      <x:c r="O118" s="111"/>
      <x:c r="P118" s="111"/>
      <x:c r="Q118" s="111"/>
      <x:c r="R118" s="111"/>
      <x:c r="S118" s="111"/>
      <x:c r="T118" s="111"/>
    </x:row>
    <x:row r="119" ht="28" customHeight="1">
      <x:c r="A119" s="107" t="str">
        <x:f>IF('Route List'!F119="","",'Route List'!F119)</x:f>
      </x:c>
      <x:c r="B119" s="90" t="str">
        <x:f>IF(A119="","",COUNTIFS(Trips!$D$6:$D$105,A119))</x:f>
      </x:c>
      <x:c r="C119" s="90" t="str">
        <x:f>IF(A119="","",SUMIFS(Trips!$M$6:$M$105,Trips!$D$6:$D$105,A119))</x:f>
      </x:c>
      <x:c r="D119" s="90" t="str">
        <x:f>IF(A119="","",SUMIFS(Trips!$N$6:$N$105,Trips!$D$6:$D$105,A119))</x:f>
      </x:c>
      <x:c r="E119" s="98" t="str">
        <x:f>IF(A119="","",SUMIFS(Trips!$O$6:$O$105,Trips!$D$6:$D$105,A119))</x:f>
      </x:c>
      <x:c r="F119" s="98" t="str">
        <x:f>IF(A119="","",SUMIFS(Trips!$P$6:$P$105,Trips!$D$6:$D$105,A119))</x:f>
      </x:c>
      <x:c r="G119" s="98" t="str">
        <x:f>IF(A119="","",SUMIFS(Trips!$Q$6:$Q$105,Trips!$D$6:$D$105,A119))</x:f>
      </x:c>
      <x:c r="H119" s="98" t="str">
        <x:f>IF(A119="","",SUMIFS(Trips!$R$6:$R$105,Trips!$D$6:$D$105,A119))</x:f>
      </x:c>
      <x:c r="I119" s="98" t="str">
        <x:f>IF(A119="","",SUMIFS(Trips!$S$6:$S$105,Trips!$D$6:$D$105,A119))</x:f>
      </x:c>
      <x:c r="J119" s="111"/>
      <x:c r="K119" s="111"/>
      <x:c r="L119" s="111"/>
      <x:c r="M119" s="111"/>
      <x:c r="N119" s="111"/>
      <x:c r="O119" s="111"/>
      <x:c r="P119" s="111"/>
      <x:c r="Q119" s="111"/>
      <x:c r="R119" s="111"/>
      <x:c r="S119" s="111"/>
      <x:c r="T119" s="111"/>
    </x:row>
    <x:row r="120" ht="28" customHeight="1">
      <x:c r="A120" s="107" t="str">
        <x:f>IF('Route List'!F120="","",'Route List'!F120)</x:f>
      </x:c>
      <x:c r="B120" s="90" t="str">
        <x:f>IF(A120="","",COUNTIFS(Trips!$D$6:$D$105,A120))</x:f>
      </x:c>
      <x:c r="C120" s="90" t="str">
        <x:f>IF(A120="","",SUMIFS(Trips!$M$6:$M$105,Trips!$D$6:$D$105,A120))</x:f>
      </x:c>
      <x:c r="D120" s="90" t="str">
        <x:f>IF(A120="","",SUMIFS(Trips!$N$6:$N$105,Trips!$D$6:$D$105,A120))</x:f>
      </x:c>
      <x:c r="E120" s="98" t="str">
        <x:f>IF(A120="","",SUMIFS(Trips!$O$6:$O$105,Trips!$D$6:$D$105,A120))</x:f>
      </x:c>
      <x:c r="F120" s="98" t="str">
        <x:f>IF(A120="","",SUMIFS(Trips!$P$6:$P$105,Trips!$D$6:$D$105,A120))</x:f>
      </x:c>
      <x:c r="G120" s="98" t="str">
        <x:f>IF(A120="","",SUMIFS(Trips!$Q$6:$Q$105,Trips!$D$6:$D$105,A120))</x:f>
      </x:c>
      <x:c r="H120" s="98" t="str">
        <x:f>IF(A120="","",SUMIFS(Trips!$R$6:$R$105,Trips!$D$6:$D$105,A120))</x:f>
      </x:c>
      <x:c r="I120" s="98" t="str">
        <x:f>IF(A120="","",SUMIFS(Trips!$S$6:$S$105,Trips!$D$6:$D$105,A120))</x:f>
      </x:c>
      <x:c r="J120" s="111"/>
      <x:c r="K120" s="111"/>
      <x:c r="L120" s="111"/>
      <x:c r="M120" s="111"/>
      <x:c r="N120" s="111"/>
      <x:c r="O120" s="111"/>
      <x:c r="P120" s="111"/>
      <x:c r="Q120" s="111"/>
      <x:c r="R120" s="111"/>
      <x:c r="S120" s="111"/>
      <x:c r="T120" s="111"/>
    </x:row>
    <x:row r="121" ht="28" customHeight="1">
      <x:c r="A121" s="107" t="str">
        <x:f>IF('Route List'!F121="","",'Route List'!F121)</x:f>
      </x:c>
      <x:c r="B121" s="90" t="str">
        <x:f>IF(A121="","",COUNTIFS(Trips!$D$6:$D$105,A121))</x:f>
      </x:c>
      <x:c r="C121" s="90" t="str">
        <x:f>IF(A121="","",SUMIFS(Trips!$M$6:$M$105,Trips!$D$6:$D$105,A121))</x:f>
      </x:c>
      <x:c r="D121" s="90" t="str">
        <x:f>IF(A121="","",SUMIFS(Trips!$N$6:$N$105,Trips!$D$6:$D$105,A121))</x:f>
      </x:c>
      <x:c r="E121" s="98" t="str">
        <x:f>IF(A121="","",SUMIFS(Trips!$O$6:$O$105,Trips!$D$6:$D$105,A121))</x:f>
      </x:c>
      <x:c r="F121" s="98" t="str">
        <x:f>IF(A121="","",SUMIFS(Trips!$P$6:$P$105,Trips!$D$6:$D$105,A121))</x:f>
      </x:c>
      <x:c r="G121" s="98" t="str">
        <x:f>IF(A121="","",SUMIFS(Trips!$Q$6:$Q$105,Trips!$D$6:$D$105,A121))</x:f>
      </x:c>
      <x:c r="H121" s="98" t="str">
        <x:f>IF(A121="","",SUMIFS(Trips!$R$6:$R$105,Trips!$D$6:$D$105,A121))</x:f>
      </x:c>
      <x:c r="I121" s="98" t="str">
        <x:f>IF(A121="","",SUMIFS(Trips!$S$6:$S$105,Trips!$D$6:$D$105,A121))</x:f>
      </x:c>
      <x:c r="J121" s="111"/>
      <x:c r="K121" s="111"/>
      <x:c r="L121" s="111"/>
      <x:c r="M121" s="111"/>
      <x:c r="N121" s="111"/>
      <x:c r="O121" s="111"/>
      <x:c r="P121" s="111"/>
      <x:c r="Q121" s="111"/>
      <x:c r="R121" s="111"/>
      <x:c r="S121" s="111"/>
      <x:c r="T121" s="111"/>
    </x:row>
    <x:row r="122" ht="28" customHeight="1">
      <x:c r="A122" s="107" t="str">
        <x:f>IF('Route List'!F122="","",'Route List'!F122)</x:f>
      </x:c>
      <x:c r="B122" s="90" t="str">
        <x:f>IF(A122="","",COUNTIFS(Trips!$D$6:$D$105,A122))</x:f>
      </x:c>
      <x:c r="C122" s="90" t="str">
        <x:f>IF(A122="","",SUMIFS(Trips!$M$6:$M$105,Trips!$D$6:$D$105,A122))</x:f>
      </x:c>
      <x:c r="D122" s="90" t="str">
        <x:f>IF(A122="","",SUMIFS(Trips!$N$6:$N$105,Trips!$D$6:$D$105,A122))</x:f>
      </x:c>
      <x:c r="E122" s="98" t="str">
        <x:f>IF(A122="","",SUMIFS(Trips!$O$6:$O$105,Trips!$D$6:$D$105,A122))</x:f>
      </x:c>
      <x:c r="F122" s="98" t="str">
        <x:f>IF(A122="","",SUMIFS(Trips!$P$6:$P$105,Trips!$D$6:$D$105,A122))</x:f>
      </x:c>
      <x:c r="G122" s="98" t="str">
        <x:f>IF(A122="","",SUMIFS(Trips!$Q$6:$Q$105,Trips!$D$6:$D$105,A122))</x:f>
      </x:c>
      <x:c r="H122" s="98" t="str">
        <x:f>IF(A122="","",SUMIFS(Trips!$R$6:$R$105,Trips!$D$6:$D$105,A122))</x:f>
      </x:c>
      <x:c r="I122" s="98" t="str">
        <x:f>IF(A122="","",SUMIFS(Trips!$S$6:$S$105,Trips!$D$6:$D$105,A122))</x:f>
      </x:c>
      <x:c r="J122" s="111"/>
      <x:c r="K122" s="111"/>
      <x:c r="L122" s="111"/>
      <x:c r="M122" s="111"/>
      <x:c r="N122" s="111"/>
      <x:c r="O122" s="111"/>
      <x:c r="P122" s="111"/>
      <x:c r="Q122" s="111"/>
      <x:c r="R122" s="111"/>
      <x:c r="S122" s="111"/>
      <x:c r="T122" s="111"/>
    </x:row>
    <x:row r="123" ht="28" customHeight="1">
      <x:c r="A123" s="107" t="str">
        <x:f>IF('Route List'!F123="","",'Route List'!F123)</x:f>
      </x:c>
      <x:c r="B123" s="90" t="str">
        <x:f>IF(A123="","",COUNTIFS(Trips!$D$6:$D$105,A123))</x:f>
      </x:c>
      <x:c r="C123" s="90" t="str">
        <x:f>IF(A123="","",SUMIFS(Trips!$M$6:$M$105,Trips!$D$6:$D$105,A123))</x:f>
      </x:c>
      <x:c r="D123" s="90" t="str">
        <x:f>IF(A123="","",SUMIFS(Trips!$N$6:$N$105,Trips!$D$6:$D$105,A123))</x:f>
      </x:c>
      <x:c r="E123" s="98" t="str">
        <x:f>IF(A123="","",SUMIFS(Trips!$O$6:$O$105,Trips!$D$6:$D$105,A123))</x:f>
      </x:c>
      <x:c r="F123" s="98" t="str">
        <x:f>IF(A123="","",SUMIFS(Trips!$P$6:$P$105,Trips!$D$6:$D$105,A123))</x:f>
      </x:c>
      <x:c r="G123" s="98" t="str">
        <x:f>IF(A123="","",SUMIFS(Trips!$Q$6:$Q$105,Trips!$D$6:$D$105,A123))</x:f>
      </x:c>
      <x:c r="H123" s="98" t="str">
        <x:f>IF(A123="","",SUMIFS(Trips!$R$6:$R$105,Trips!$D$6:$D$105,A123))</x:f>
      </x:c>
      <x:c r="I123" s="98" t="str">
        <x:f>IF(A123="","",SUMIFS(Trips!$S$6:$S$105,Trips!$D$6:$D$105,A123))</x:f>
      </x:c>
      <x:c r="J123" s="111"/>
      <x:c r="K123" s="111"/>
      <x:c r="L123" s="111"/>
      <x:c r="M123" s="111"/>
      <x:c r="N123" s="111"/>
      <x:c r="O123" s="111"/>
      <x:c r="P123" s="111"/>
      <x:c r="Q123" s="111"/>
      <x:c r="R123" s="111"/>
      <x:c r="S123" s="111"/>
      <x:c r="T123" s="111"/>
    </x:row>
    <x:row r="124" ht="28" customHeight="1">
      <x:c r="A124" s="107" t="str">
        <x:f>IF('Route List'!F124="","",'Route List'!F124)</x:f>
      </x:c>
      <x:c r="B124" s="90" t="str">
        <x:f>IF(A124="","",COUNTIFS(Trips!$D$6:$D$105,A124))</x:f>
      </x:c>
      <x:c r="C124" s="90" t="str">
        <x:f>IF(A124="","",SUMIFS(Trips!$M$6:$M$105,Trips!$D$6:$D$105,A124))</x:f>
      </x:c>
      <x:c r="D124" s="90" t="str">
        <x:f>IF(A124="","",SUMIFS(Trips!$N$6:$N$105,Trips!$D$6:$D$105,A124))</x:f>
      </x:c>
      <x:c r="E124" s="98" t="str">
        <x:f>IF(A124="","",SUMIFS(Trips!$O$6:$O$105,Trips!$D$6:$D$105,A124))</x:f>
      </x:c>
      <x:c r="F124" s="98" t="str">
        <x:f>IF(A124="","",SUMIFS(Trips!$P$6:$P$105,Trips!$D$6:$D$105,A124))</x:f>
      </x:c>
      <x:c r="G124" s="98" t="str">
        <x:f>IF(A124="","",SUMIFS(Trips!$Q$6:$Q$105,Trips!$D$6:$D$105,A124))</x:f>
      </x:c>
      <x:c r="H124" s="98" t="str">
        <x:f>IF(A124="","",SUMIFS(Trips!$R$6:$R$105,Trips!$D$6:$D$105,A124))</x:f>
      </x:c>
      <x:c r="I124" s="98" t="str">
        <x:f>IF(A124="","",SUMIFS(Trips!$S$6:$S$105,Trips!$D$6:$D$105,A124))</x:f>
      </x:c>
      <x:c r="J124" s="111"/>
      <x:c r="K124" s="111"/>
      <x:c r="L124" s="111"/>
      <x:c r="M124" s="111"/>
      <x:c r="N124" s="111"/>
      <x:c r="O124" s="111"/>
      <x:c r="P124" s="111"/>
      <x:c r="Q124" s="111"/>
      <x:c r="R124" s="111"/>
      <x:c r="S124" s="111"/>
      <x:c r="T124" s="111"/>
    </x:row>
    <x:row r="125" ht="28" customHeight="1">
      <x:c r="A125" s="107" t="str">
        <x:f>IF('Route List'!F125="","",'Route List'!F125)</x:f>
      </x:c>
      <x:c r="B125" s="90" t="str">
        <x:f>IF(A125="","",COUNTIFS(Trips!$D$6:$D$105,A125))</x:f>
      </x:c>
      <x:c r="C125" s="90" t="str">
        <x:f>IF(A125="","",SUMIFS(Trips!$M$6:$M$105,Trips!$D$6:$D$105,A125))</x:f>
      </x:c>
      <x:c r="D125" s="90" t="str">
        <x:f>IF(A125="","",SUMIFS(Trips!$N$6:$N$105,Trips!$D$6:$D$105,A125))</x:f>
      </x:c>
      <x:c r="E125" s="98" t="str">
        <x:f>IF(A125="","",SUMIFS(Trips!$O$6:$O$105,Trips!$D$6:$D$105,A125))</x:f>
      </x:c>
      <x:c r="F125" s="98" t="str">
        <x:f>IF(A125="","",SUMIFS(Trips!$P$6:$P$105,Trips!$D$6:$D$105,A125))</x:f>
      </x:c>
      <x:c r="G125" s="98" t="str">
        <x:f>IF(A125="","",SUMIFS(Trips!$Q$6:$Q$105,Trips!$D$6:$D$105,A125))</x:f>
      </x:c>
      <x:c r="H125" s="98" t="str">
        <x:f>IF(A125="","",SUMIFS(Trips!$R$6:$R$105,Trips!$D$6:$D$105,A125))</x:f>
      </x:c>
      <x:c r="I125" s="98" t="str">
        <x:f>IF(A125="","",SUMIFS(Trips!$S$6:$S$105,Trips!$D$6:$D$105,A125))</x:f>
      </x:c>
      <x:c r="J125" s="111"/>
      <x:c r="K125" s="111"/>
      <x:c r="L125" s="111"/>
      <x:c r="M125" s="111"/>
      <x:c r="N125" s="111"/>
      <x:c r="O125" s="111"/>
      <x:c r="P125" s="111"/>
      <x:c r="Q125" s="111"/>
      <x:c r="R125" s="111"/>
      <x:c r="S125" s="111"/>
      <x:c r="T125" s="111"/>
    </x:row>
    <x:row r="126" ht="28" customHeight="1">
      <x:c r="A126" s="107" t="str">
        <x:f>IF('Route List'!F126="","",'Route List'!F126)</x:f>
      </x:c>
      <x:c r="B126" s="90" t="str">
        <x:f>IF(A126="","",COUNTIFS(Trips!$D$6:$D$105,A126))</x:f>
      </x:c>
      <x:c r="C126" s="90" t="str">
        <x:f>IF(A126="","",SUMIFS(Trips!$M$6:$M$105,Trips!$D$6:$D$105,A126))</x:f>
      </x:c>
      <x:c r="D126" s="90" t="str">
        <x:f>IF(A126="","",SUMIFS(Trips!$N$6:$N$105,Trips!$D$6:$D$105,A126))</x:f>
      </x:c>
      <x:c r="E126" s="98" t="str">
        <x:f>IF(A126="","",SUMIFS(Trips!$O$6:$O$105,Trips!$D$6:$D$105,A126))</x:f>
      </x:c>
      <x:c r="F126" s="98" t="str">
        <x:f>IF(A126="","",SUMIFS(Trips!$P$6:$P$105,Trips!$D$6:$D$105,A126))</x:f>
      </x:c>
      <x:c r="G126" s="98" t="str">
        <x:f>IF(A126="","",SUMIFS(Trips!$Q$6:$Q$105,Trips!$D$6:$D$105,A126))</x:f>
      </x:c>
      <x:c r="H126" s="98" t="str">
        <x:f>IF(A126="","",SUMIFS(Trips!$R$6:$R$105,Trips!$D$6:$D$105,A126))</x:f>
      </x:c>
      <x:c r="I126" s="98" t="str">
        <x:f>IF(A126="","",SUMIFS(Trips!$S$6:$S$105,Trips!$D$6:$D$105,A126))</x:f>
      </x:c>
      <x:c r="J126" s="111"/>
      <x:c r="K126" s="111"/>
      <x:c r="L126" s="111"/>
      <x:c r="M126" s="111"/>
      <x:c r="N126" s="111"/>
      <x:c r="O126" s="111"/>
      <x:c r="P126" s="111"/>
      <x:c r="Q126" s="111"/>
      <x:c r="R126" s="111"/>
      <x:c r="S126" s="111"/>
      <x:c r="T126" s="111"/>
    </x:row>
    <x:row r="127" ht="28" customHeight="1">
      <x:c r="A127" s="107" t="str">
        <x:f>IF('Route List'!F127="","",'Route List'!F127)</x:f>
      </x:c>
      <x:c r="B127" s="90" t="str">
        <x:f>IF(A127="","",COUNTIFS(Trips!$D$6:$D$105,A127))</x:f>
      </x:c>
      <x:c r="C127" s="90" t="str">
        <x:f>IF(A127="","",SUMIFS(Trips!$M$6:$M$105,Trips!$D$6:$D$105,A127))</x:f>
      </x:c>
      <x:c r="D127" s="90" t="str">
        <x:f>IF(A127="","",SUMIFS(Trips!$N$6:$N$105,Trips!$D$6:$D$105,A127))</x:f>
      </x:c>
      <x:c r="E127" s="98" t="str">
        <x:f>IF(A127="","",SUMIFS(Trips!$O$6:$O$105,Trips!$D$6:$D$105,A127))</x:f>
      </x:c>
      <x:c r="F127" s="98" t="str">
        <x:f>IF(A127="","",SUMIFS(Trips!$P$6:$P$105,Trips!$D$6:$D$105,A127))</x:f>
      </x:c>
      <x:c r="G127" s="98" t="str">
        <x:f>IF(A127="","",SUMIFS(Trips!$Q$6:$Q$105,Trips!$D$6:$D$105,A127))</x:f>
      </x:c>
      <x:c r="H127" s="98" t="str">
        <x:f>IF(A127="","",SUMIFS(Trips!$R$6:$R$105,Trips!$D$6:$D$105,A127))</x:f>
      </x:c>
      <x:c r="I127" s="98" t="str">
        <x:f>IF(A127="","",SUMIFS(Trips!$S$6:$S$105,Trips!$D$6:$D$105,A127))</x:f>
      </x:c>
      <x:c r="J127" s="111"/>
      <x:c r="K127" s="111"/>
      <x:c r="L127" s="111"/>
      <x:c r="M127" s="111"/>
      <x:c r="N127" s="111"/>
      <x:c r="O127" s="111"/>
      <x:c r="P127" s="111"/>
      <x:c r="Q127" s="111"/>
      <x:c r="R127" s="111"/>
      <x:c r="S127" s="111"/>
      <x:c r="T127" s="111"/>
    </x:row>
    <x:row r="128" ht="28" customHeight="1">
      <x:c r="A128" s="107" t="str">
        <x:f>IF('Route List'!F128="","",'Route List'!F128)</x:f>
      </x:c>
      <x:c r="B128" s="90" t="str">
        <x:f>IF(A128="","",COUNTIFS(Trips!$D$6:$D$105,A128))</x:f>
      </x:c>
      <x:c r="C128" s="90" t="str">
        <x:f>IF(A128="","",SUMIFS(Trips!$M$6:$M$105,Trips!$D$6:$D$105,A128))</x:f>
      </x:c>
      <x:c r="D128" s="90" t="str">
        <x:f>IF(A128="","",SUMIFS(Trips!$N$6:$N$105,Trips!$D$6:$D$105,A128))</x:f>
      </x:c>
      <x:c r="E128" s="98" t="str">
        <x:f>IF(A128="","",SUMIFS(Trips!$O$6:$O$105,Trips!$D$6:$D$105,A128))</x:f>
      </x:c>
      <x:c r="F128" s="98" t="str">
        <x:f>IF(A128="","",SUMIFS(Trips!$P$6:$P$105,Trips!$D$6:$D$105,A128))</x:f>
      </x:c>
      <x:c r="G128" s="98" t="str">
        <x:f>IF(A128="","",SUMIFS(Trips!$Q$6:$Q$105,Trips!$D$6:$D$105,A128))</x:f>
      </x:c>
      <x:c r="H128" s="98" t="str">
        <x:f>IF(A128="","",SUMIFS(Trips!$R$6:$R$105,Trips!$D$6:$D$105,A128))</x:f>
      </x:c>
      <x:c r="I128" s="98" t="str">
        <x:f>IF(A128="","",SUMIFS(Trips!$S$6:$S$105,Trips!$D$6:$D$105,A128))</x:f>
      </x:c>
      <x:c r="J128" s="111"/>
      <x:c r="K128" s="111"/>
      <x:c r="L128" s="111"/>
      <x:c r="M128" s="111"/>
      <x:c r="N128" s="111"/>
      <x:c r="O128" s="111"/>
      <x:c r="P128" s="111"/>
      <x:c r="Q128" s="111"/>
      <x:c r="R128" s="111"/>
      <x:c r="S128" s="111"/>
      <x:c r="T128" s="111"/>
    </x:row>
    <x:row r="129" ht="28" customHeight="1">
      <x:c r="A129" s="107" t="str">
        <x:f>IF('Route List'!F129="","",'Route List'!F129)</x:f>
      </x:c>
      <x:c r="B129" s="90" t="str">
        <x:f>IF(A129="","",COUNTIFS(Trips!$D$6:$D$105,A129))</x:f>
      </x:c>
      <x:c r="C129" s="90" t="str">
        <x:f>IF(A129="","",SUMIFS(Trips!$M$6:$M$105,Trips!$D$6:$D$105,A129))</x:f>
      </x:c>
      <x:c r="D129" s="90" t="str">
        <x:f>IF(A129="","",SUMIFS(Trips!$N$6:$N$105,Trips!$D$6:$D$105,A129))</x:f>
      </x:c>
      <x:c r="E129" s="98" t="str">
        <x:f>IF(A129="","",SUMIFS(Trips!$O$6:$O$105,Trips!$D$6:$D$105,A129))</x:f>
      </x:c>
      <x:c r="F129" s="98" t="str">
        <x:f>IF(A129="","",SUMIFS(Trips!$P$6:$P$105,Trips!$D$6:$D$105,A129))</x:f>
      </x:c>
      <x:c r="G129" s="98" t="str">
        <x:f>IF(A129="","",SUMIFS(Trips!$Q$6:$Q$105,Trips!$D$6:$D$105,A129))</x:f>
      </x:c>
      <x:c r="H129" s="98" t="str">
        <x:f>IF(A129="","",SUMIFS(Trips!$R$6:$R$105,Trips!$D$6:$D$105,A129))</x:f>
      </x:c>
      <x:c r="I129" s="98" t="str">
        <x:f>IF(A129="","",SUMIFS(Trips!$S$6:$S$105,Trips!$D$6:$D$105,A129))</x:f>
      </x:c>
      <x:c r="J129" s="111"/>
      <x:c r="K129" s="111"/>
      <x:c r="L129" s="111"/>
      <x:c r="M129" s="111"/>
      <x:c r="N129" s="111"/>
      <x:c r="O129" s="111"/>
      <x:c r="P129" s="111"/>
      <x:c r="Q129" s="111"/>
      <x:c r="R129" s="111"/>
      <x:c r="S129" s="111"/>
      <x:c r="T129" s="111"/>
    </x:row>
    <x:row r="130" ht="28" customHeight="1">
      <x:c r="A130" s="107" t="str">
        <x:f>IF('Route List'!F130="","",'Route List'!F130)</x:f>
      </x:c>
      <x:c r="B130" s="90" t="str">
        <x:f>IF(A130="","",COUNTIFS(Trips!$D$6:$D$105,A130))</x:f>
      </x:c>
      <x:c r="C130" s="90" t="str">
        <x:f>IF(A130="","",SUMIFS(Trips!$M$6:$M$105,Trips!$D$6:$D$105,A130))</x:f>
      </x:c>
      <x:c r="D130" s="90" t="str">
        <x:f>IF(A130="","",SUMIFS(Trips!$N$6:$N$105,Trips!$D$6:$D$105,A130))</x:f>
      </x:c>
      <x:c r="E130" s="98" t="str">
        <x:f>IF(A130="","",SUMIFS(Trips!$O$6:$O$105,Trips!$D$6:$D$105,A130))</x:f>
      </x:c>
      <x:c r="F130" s="98" t="str">
        <x:f>IF(A130="","",SUMIFS(Trips!$P$6:$P$105,Trips!$D$6:$D$105,A130))</x:f>
      </x:c>
      <x:c r="G130" s="98" t="str">
        <x:f>IF(A130="","",SUMIFS(Trips!$Q$6:$Q$105,Trips!$D$6:$D$105,A130))</x:f>
      </x:c>
      <x:c r="H130" s="98" t="str">
        <x:f>IF(A130="","",SUMIFS(Trips!$R$6:$R$105,Trips!$D$6:$D$105,A130))</x:f>
      </x:c>
      <x:c r="I130" s="98" t="str">
        <x:f>IF(A130="","",SUMIFS(Trips!$S$6:$S$105,Trips!$D$6:$D$105,A130))</x:f>
      </x:c>
      <x:c r="J130" s="111"/>
      <x:c r="K130" s="111"/>
      <x:c r="L130" s="111"/>
      <x:c r="M130" s="111"/>
      <x:c r="N130" s="111"/>
      <x:c r="O130" s="111"/>
      <x:c r="P130" s="111"/>
      <x:c r="Q130" s="111"/>
      <x:c r="R130" s="111"/>
      <x:c r="S130" s="111"/>
      <x:c r="T130" s="111"/>
    </x:row>
    <x:row r="131" ht="28" customHeight="1">
      <x:c r="A131" s="107" t="str">
        <x:f>IF('Route List'!F131="","",'Route List'!F131)</x:f>
      </x:c>
      <x:c r="B131" s="90" t="str">
        <x:f>IF(A131="","",COUNTIFS(Trips!$D$6:$D$105,A131))</x:f>
      </x:c>
      <x:c r="C131" s="90" t="str">
        <x:f>IF(A131="","",SUMIFS(Trips!$M$6:$M$105,Trips!$D$6:$D$105,A131))</x:f>
      </x:c>
      <x:c r="D131" s="90" t="str">
        <x:f>IF(A131="","",SUMIFS(Trips!$N$6:$N$105,Trips!$D$6:$D$105,A131))</x:f>
      </x:c>
      <x:c r="E131" s="98" t="str">
        <x:f>IF(A131="","",SUMIFS(Trips!$O$6:$O$105,Trips!$D$6:$D$105,A131))</x:f>
      </x:c>
      <x:c r="F131" s="98" t="str">
        <x:f>IF(A131="","",SUMIFS(Trips!$P$6:$P$105,Trips!$D$6:$D$105,A131))</x:f>
      </x:c>
      <x:c r="G131" s="98" t="str">
        <x:f>IF(A131="","",SUMIFS(Trips!$Q$6:$Q$105,Trips!$D$6:$D$105,A131))</x:f>
      </x:c>
      <x:c r="H131" s="98" t="str">
        <x:f>IF(A131="","",SUMIFS(Trips!$R$6:$R$105,Trips!$D$6:$D$105,A131))</x:f>
      </x:c>
      <x:c r="I131" s="98" t="str">
        <x:f>IF(A131="","",SUMIFS(Trips!$S$6:$S$105,Trips!$D$6:$D$105,A131))</x:f>
      </x:c>
      <x:c r="J131" s="111"/>
      <x:c r="K131" s="111"/>
      <x:c r="L131" s="111"/>
      <x:c r="M131" s="111"/>
      <x:c r="N131" s="111"/>
      <x:c r="O131" s="111"/>
      <x:c r="P131" s="111"/>
      <x:c r="Q131" s="111"/>
      <x:c r="R131" s="111"/>
      <x:c r="S131" s="111"/>
      <x:c r="T131" s="111"/>
    </x:row>
    <x:row r="132" ht="28" customHeight="1">
      <x:c r="A132" s="107" t="str">
        <x:f>IF('Route List'!F132="","",'Route List'!F132)</x:f>
      </x:c>
      <x:c r="B132" s="90" t="str">
        <x:f>IF(A132="","",COUNTIFS(Trips!$D$6:$D$105,A132))</x:f>
      </x:c>
      <x:c r="C132" s="90" t="str">
        <x:f>IF(A132="","",SUMIFS(Trips!$M$6:$M$105,Trips!$D$6:$D$105,A132))</x:f>
      </x:c>
      <x:c r="D132" s="90" t="str">
        <x:f>IF(A132="","",SUMIFS(Trips!$N$6:$N$105,Trips!$D$6:$D$105,A132))</x:f>
      </x:c>
      <x:c r="E132" s="98" t="str">
        <x:f>IF(A132="","",SUMIFS(Trips!$O$6:$O$105,Trips!$D$6:$D$105,A132))</x:f>
      </x:c>
      <x:c r="F132" s="98" t="str">
        <x:f>IF(A132="","",SUMIFS(Trips!$P$6:$P$105,Trips!$D$6:$D$105,A132))</x:f>
      </x:c>
      <x:c r="G132" s="98" t="str">
        <x:f>IF(A132="","",SUMIFS(Trips!$Q$6:$Q$105,Trips!$D$6:$D$105,A132))</x:f>
      </x:c>
      <x:c r="H132" s="98" t="str">
        <x:f>IF(A132="","",SUMIFS(Trips!$R$6:$R$105,Trips!$D$6:$D$105,A132))</x:f>
      </x:c>
      <x:c r="I132" s="98" t="str">
        <x:f>IF(A132="","",SUMIFS(Trips!$S$6:$S$105,Trips!$D$6:$D$105,A132))</x:f>
      </x:c>
      <x:c r="J132" s="111"/>
      <x:c r="K132" s="111"/>
      <x:c r="L132" s="111"/>
      <x:c r="M132" s="111"/>
      <x:c r="N132" s="111"/>
      <x:c r="O132" s="111"/>
      <x:c r="P132" s="111"/>
      <x:c r="Q132" s="111"/>
      <x:c r="R132" s="111"/>
      <x:c r="S132" s="111"/>
      <x:c r="T132" s="111"/>
    </x:row>
    <x:row r="133" ht="28" customHeight="1">
      <x:c r="A133" s="107" t="str">
        <x:f>IF('Route List'!F133="","",'Route List'!F133)</x:f>
      </x:c>
      <x:c r="B133" s="90" t="str">
        <x:f>IF(A133="","",COUNTIFS(Trips!$D$6:$D$105,A133))</x:f>
      </x:c>
      <x:c r="C133" s="90" t="str">
        <x:f>IF(A133="","",SUMIFS(Trips!$M$6:$M$105,Trips!$D$6:$D$105,A133))</x:f>
      </x:c>
      <x:c r="D133" s="90" t="str">
        <x:f>IF(A133="","",SUMIFS(Trips!$N$6:$N$105,Trips!$D$6:$D$105,A133))</x:f>
      </x:c>
      <x:c r="E133" s="98" t="str">
        <x:f>IF(A133="","",SUMIFS(Trips!$O$6:$O$105,Trips!$D$6:$D$105,A133))</x:f>
      </x:c>
      <x:c r="F133" s="98" t="str">
        <x:f>IF(A133="","",SUMIFS(Trips!$P$6:$P$105,Trips!$D$6:$D$105,A133))</x:f>
      </x:c>
      <x:c r="G133" s="98" t="str">
        <x:f>IF(A133="","",SUMIFS(Trips!$Q$6:$Q$105,Trips!$D$6:$D$105,A133))</x:f>
      </x:c>
      <x:c r="H133" s="98" t="str">
        <x:f>IF(A133="","",SUMIFS(Trips!$R$6:$R$105,Trips!$D$6:$D$105,A133))</x:f>
      </x:c>
      <x:c r="I133" s="98" t="str">
        <x:f>IF(A133="","",SUMIFS(Trips!$S$6:$S$105,Trips!$D$6:$D$105,A133))</x:f>
      </x:c>
      <x:c r="J133" s="111"/>
      <x:c r="K133" s="111"/>
      <x:c r="L133" s="111"/>
      <x:c r="M133" s="111"/>
      <x:c r="N133" s="111"/>
      <x:c r="O133" s="111"/>
      <x:c r="P133" s="111"/>
      <x:c r="Q133" s="111"/>
      <x:c r="R133" s="111"/>
      <x:c r="S133" s="111"/>
      <x:c r="T133" s="111"/>
    </x:row>
    <x:row r="134" ht="28" customHeight="1">
      <x:c r="A134" s="107" t="str">
        <x:f>IF('Route List'!F134="","",'Route List'!F134)</x:f>
      </x:c>
      <x:c r="B134" s="90" t="str">
        <x:f>IF(A134="","",COUNTIFS(Trips!$D$6:$D$105,A134))</x:f>
      </x:c>
      <x:c r="C134" s="90" t="str">
        <x:f>IF(A134="","",SUMIFS(Trips!$M$6:$M$105,Trips!$D$6:$D$105,A134))</x:f>
      </x:c>
      <x:c r="D134" s="90" t="str">
        <x:f>IF(A134="","",SUMIFS(Trips!$N$6:$N$105,Trips!$D$6:$D$105,A134))</x:f>
      </x:c>
      <x:c r="E134" s="98" t="str">
        <x:f>IF(A134="","",SUMIFS(Trips!$O$6:$O$105,Trips!$D$6:$D$105,A134))</x:f>
      </x:c>
      <x:c r="F134" s="98" t="str">
        <x:f>IF(A134="","",SUMIFS(Trips!$P$6:$P$105,Trips!$D$6:$D$105,A134))</x:f>
      </x:c>
      <x:c r="G134" s="98" t="str">
        <x:f>IF(A134="","",SUMIFS(Trips!$Q$6:$Q$105,Trips!$D$6:$D$105,A134))</x:f>
      </x:c>
      <x:c r="H134" s="98" t="str">
        <x:f>IF(A134="","",SUMIFS(Trips!$R$6:$R$105,Trips!$D$6:$D$105,A134))</x:f>
      </x:c>
      <x:c r="I134" s="98" t="str">
        <x:f>IF(A134="","",SUMIFS(Trips!$S$6:$S$105,Trips!$D$6:$D$105,A134))</x:f>
      </x:c>
      <x:c r="J134" s="111"/>
      <x:c r="K134" s="111"/>
      <x:c r="L134" s="111"/>
      <x:c r="M134" s="111"/>
      <x:c r="N134" s="111"/>
      <x:c r="O134" s="111"/>
      <x:c r="P134" s="111"/>
      <x:c r="Q134" s="111"/>
      <x:c r="R134" s="111"/>
      <x:c r="S134" s="111"/>
      <x:c r="T134" s="111"/>
    </x:row>
    <x:row r="135" ht="28" customHeight="1">
      <x:c r="A135" s="107" t="str">
        <x:f>IF('Route List'!F135="","",'Route List'!F135)</x:f>
      </x:c>
      <x:c r="B135" s="90" t="str">
        <x:f>IF(A135="","",COUNTIFS(Trips!$D$6:$D$105,A135))</x:f>
      </x:c>
      <x:c r="C135" s="90" t="str">
        <x:f>IF(A135="","",SUMIFS(Trips!$M$6:$M$105,Trips!$D$6:$D$105,A135))</x:f>
      </x:c>
      <x:c r="D135" s="90" t="str">
        <x:f>IF(A135="","",SUMIFS(Trips!$N$6:$N$105,Trips!$D$6:$D$105,A135))</x:f>
      </x:c>
      <x:c r="E135" s="98" t="str">
        <x:f>IF(A135="","",SUMIFS(Trips!$O$6:$O$105,Trips!$D$6:$D$105,A135))</x:f>
      </x:c>
      <x:c r="F135" s="98" t="str">
        <x:f>IF(A135="","",SUMIFS(Trips!$P$6:$P$105,Trips!$D$6:$D$105,A135))</x:f>
      </x:c>
      <x:c r="G135" s="98" t="str">
        <x:f>IF(A135="","",SUMIFS(Trips!$Q$6:$Q$105,Trips!$D$6:$D$105,A135))</x:f>
      </x:c>
      <x:c r="H135" s="98" t="str">
        <x:f>IF(A135="","",SUMIFS(Trips!$R$6:$R$105,Trips!$D$6:$D$105,A135))</x:f>
      </x:c>
      <x:c r="I135" s="98" t="str">
        <x:f>IF(A135="","",SUMIFS(Trips!$S$6:$S$105,Trips!$D$6:$D$105,A135))</x:f>
      </x:c>
      <x:c r="J135" s="111"/>
      <x:c r="K135" s="111"/>
      <x:c r="L135" s="111"/>
      <x:c r="M135" s="111"/>
      <x:c r="N135" s="111"/>
      <x:c r="O135" s="111"/>
      <x:c r="P135" s="111"/>
      <x:c r="Q135" s="111"/>
      <x:c r="R135" s="111"/>
      <x:c r="S135" s="111"/>
      <x:c r="T135" s="111"/>
    </x:row>
    <x:row r="136" ht="28" customHeight="1">
      <x:c r="A136" s="107" t="str">
        <x:f>IF('Route List'!F136="","",'Route List'!F136)</x:f>
      </x:c>
      <x:c r="B136" s="90" t="str">
        <x:f>IF(A136="","",COUNTIFS(Trips!$D$6:$D$105,A136))</x:f>
      </x:c>
      <x:c r="C136" s="90" t="str">
        <x:f>IF(A136="","",SUMIFS(Trips!$M$6:$M$105,Trips!$D$6:$D$105,A136))</x:f>
      </x:c>
      <x:c r="D136" s="90" t="str">
        <x:f>IF(A136="","",SUMIFS(Trips!$N$6:$N$105,Trips!$D$6:$D$105,A136))</x:f>
      </x:c>
      <x:c r="E136" s="98" t="str">
        <x:f>IF(A136="","",SUMIFS(Trips!$O$6:$O$105,Trips!$D$6:$D$105,A136))</x:f>
      </x:c>
      <x:c r="F136" s="98" t="str">
        <x:f>IF(A136="","",SUMIFS(Trips!$P$6:$P$105,Trips!$D$6:$D$105,A136))</x:f>
      </x:c>
      <x:c r="G136" s="98" t="str">
        <x:f>IF(A136="","",SUMIFS(Trips!$Q$6:$Q$105,Trips!$D$6:$D$105,A136))</x:f>
      </x:c>
      <x:c r="H136" s="98" t="str">
        <x:f>IF(A136="","",SUMIFS(Trips!$R$6:$R$105,Trips!$D$6:$D$105,A136))</x:f>
      </x:c>
      <x:c r="I136" s="98" t="str">
        <x:f>IF(A136="","",SUMIFS(Trips!$S$6:$S$105,Trips!$D$6:$D$105,A136))</x:f>
      </x:c>
      <x:c r="J136" s="111"/>
      <x:c r="K136" s="111"/>
      <x:c r="L136" s="111"/>
      <x:c r="M136" s="111"/>
      <x:c r="N136" s="111"/>
      <x:c r="O136" s="111"/>
      <x:c r="P136" s="111"/>
      <x:c r="Q136" s="111"/>
      <x:c r="R136" s="111"/>
      <x:c r="S136" s="111"/>
      <x:c r="T136" s="111"/>
    </x:row>
    <x:row r="137" ht="28" customHeight="1">
      <x:c r="A137" s="107" t="str">
        <x:f>IF('Route List'!F137="","",'Route List'!F137)</x:f>
      </x:c>
      <x:c r="B137" s="90" t="str">
        <x:f>IF(A137="","",COUNTIFS(Trips!$D$6:$D$105,A137))</x:f>
      </x:c>
      <x:c r="C137" s="90" t="str">
        <x:f>IF(A137="","",SUMIFS(Trips!$M$6:$M$105,Trips!$D$6:$D$105,A137))</x:f>
      </x:c>
      <x:c r="D137" s="90" t="str">
        <x:f>IF(A137="","",SUMIFS(Trips!$N$6:$N$105,Trips!$D$6:$D$105,A137))</x:f>
      </x:c>
      <x:c r="E137" s="98" t="str">
        <x:f>IF(A137="","",SUMIFS(Trips!$O$6:$O$105,Trips!$D$6:$D$105,A137))</x:f>
      </x:c>
      <x:c r="F137" s="98" t="str">
        <x:f>IF(A137="","",SUMIFS(Trips!$P$6:$P$105,Trips!$D$6:$D$105,A137))</x:f>
      </x:c>
      <x:c r="G137" s="98" t="str">
        <x:f>IF(A137="","",SUMIFS(Trips!$Q$6:$Q$105,Trips!$D$6:$D$105,A137))</x:f>
      </x:c>
      <x:c r="H137" s="98" t="str">
        <x:f>IF(A137="","",SUMIFS(Trips!$R$6:$R$105,Trips!$D$6:$D$105,A137))</x:f>
      </x:c>
      <x:c r="I137" s="98" t="str">
        <x:f>IF(A137="","",SUMIFS(Trips!$S$6:$S$105,Trips!$D$6:$D$105,A137))</x:f>
      </x:c>
      <x:c r="J137" s="111"/>
      <x:c r="K137" s="111"/>
      <x:c r="L137" s="111"/>
      <x:c r="M137" s="111"/>
      <x:c r="N137" s="111"/>
      <x:c r="O137" s="111"/>
      <x:c r="P137" s="111"/>
      <x:c r="Q137" s="111"/>
      <x:c r="R137" s="111"/>
      <x:c r="S137" s="111"/>
      <x:c r="T137" s="111"/>
    </x:row>
    <x:row r="138" ht="28" customHeight="1">
      <x:c r="A138" s="107" t="str">
        <x:f>IF('Route List'!F138="","",'Route List'!F138)</x:f>
      </x:c>
      <x:c r="B138" s="90" t="str">
        <x:f>IF(A138="","",COUNTIFS(Trips!$D$6:$D$105,A138))</x:f>
      </x:c>
      <x:c r="C138" s="90" t="str">
        <x:f>IF(A138="","",SUMIFS(Trips!$M$6:$M$105,Trips!$D$6:$D$105,A138))</x:f>
      </x:c>
      <x:c r="D138" s="90" t="str">
        <x:f>IF(A138="","",SUMIFS(Trips!$N$6:$N$105,Trips!$D$6:$D$105,A138))</x:f>
      </x:c>
      <x:c r="E138" s="98" t="str">
        <x:f>IF(A138="","",SUMIFS(Trips!$O$6:$O$105,Trips!$D$6:$D$105,A138))</x:f>
      </x:c>
      <x:c r="F138" s="98" t="str">
        <x:f>IF(A138="","",SUMIFS(Trips!$P$6:$P$105,Trips!$D$6:$D$105,A138))</x:f>
      </x:c>
      <x:c r="G138" s="98" t="str">
        <x:f>IF(A138="","",SUMIFS(Trips!$Q$6:$Q$105,Trips!$D$6:$D$105,A138))</x:f>
      </x:c>
      <x:c r="H138" s="98" t="str">
        <x:f>IF(A138="","",SUMIFS(Trips!$R$6:$R$105,Trips!$D$6:$D$105,A138))</x:f>
      </x:c>
      <x:c r="I138" s="98" t="str">
        <x:f>IF(A138="","",SUMIFS(Trips!$S$6:$S$105,Trips!$D$6:$D$105,A138))</x:f>
      </x:c>
      <x:c r="J138" s="111"/>
      <x:c r="K138" s="111"/>
      <x:c r="L138" s="111"/>
      <x:c r="M138" s="111"/>
      <x:c r="N138" s="111"/>
      <x:c r="O138" s="111"/>
      <x:c r="P138" s="111"/>
      <x:c r="Q138" s="111"/>
      <x:c r="R138" s="111"/>
      <x:c r="S138" s="111"/>
      <x:c r="T138" s="111"/>
    </x:row>
    <x:row r="139" ht="28" customHeight="1">
      <x:c r="A139" s="107" t="str">
        <x:f>IF('Route List'!F139="","",'Route List'!F139)</x:f>
      </x:c>
      <x:c r="B139" s="90" t="str">
        <x:f>IF(A139="","",COUNTIFS(Trips!$D$6:$D$105,A139))</x:f>
      </x:c>
      <x:c r="C139" s="90" t="str">
        <x:f>IF(A139="","",SUMIFS(Trips!$M$6:$M$105,Trips!$D$6:$D$105,A139))</x:f>
      </x:c>
      <x:c r="D139" s="90" t="str">
        <x:f>IF(A139="","",SUMIFS(Trips!$N$6:$N$105,Trips!$D$6:$D$105,A139))</x:f>
      </x:c>
      <x:c r="E139" s="98" t="str">
        <x:f>IF(A139="","",SUMIFS(Trips!$O$6:$O$105,Trips!$D$6:$D$105,A139))</x:f>
      </x:c>
      <x:c r="F139" s="98" t="str">
        <x:f>IF(A139="","",SUMIFS(Trips!$P$6:$P$105,Trips!$D$6:$D$105,A139))</x:f>
      </x:c>
      <x:c r="G139" s="98" t="str">
        <x:f>IF(A139="","",SUMIFS(Trips!$Q$6:$Q$105,Trips!$D$6:$D$105,A139))</x:f>
      </x:c>
      <x:c r="H139" s="98" t="str">
        <x:f>IF(A139="","",SUMIFS(Trips!$R$6:$R$105,Trips!$D$6:$D$105,A139))</x:f>
      </x:c>
      <x:c r="I139" s="98" t="str">
        <x:f>IF(A139="","",SUMIFS(Trips!$S$6:$S$105,Trips!$D$6:$D$105,A139))</x:f>
      </x:c>
      <x:c r="J139" s="111"/>
      <x:c r="K139" s="111"/>
      <x:c r="L139" s="111"/>
      <x:c r="M139" s="111"/>
      <x:c r="N139" s="111"/>
      <x:c r="O139" s="111"/>
      <x:c r="P139" s="111"/>
      <x:c r="Q139" s="111"/>
      <x:c r="R139" s="111"/>
      <x:c r="S139" s="111"/>
      <x:c r="T139" s="111"/>
    </x:row>
    <x:row r="140" ht="28" customHeight="1">
      <x:c r="A140" s="107" t="str">
        <x:f>IF('Route List'!F140="","",'Route List'!F140)</x:f>
      </x:c>
      <x:c r="B140" s="90" t="str">
        <x:f>IF(A140="","",COUNTIFS(Trips!$D$6:$D$105,A140))</x:f>
      </x:c>
      <x:c r="C140" s="90" t="str">
        <x:f>IF(A140="","",SUMIFS(Trips!$M$6:$M$105,Trips!$D$6:$D$105,A140))</x:f>
      </x:c>
      <x:c r="D140" s="90" t="str">
        <x:f>IF(A140="","",SUMIFS(Trips!$N$6:$N$105,Trips!$D$6:$D$105,A140))</x:f>
      </x:c>
      <x:c r="E140" s="98" t="str">
        <x:f>IF(A140="","",SUMIFS(Trips!$O$6:$O$105,Trips!$D$6:$D$105,A140))</x:f>
      </x:c>
      <x:c r="F140" s="98" t="str">
        <x:f>IF(A140="","",SUMIFS(Trips!$P$6:$P$105,Trips!$D$6:$D$105,A140))</x:f>
      </x:c>
      <x:c r="G140" s="98" t="str">
        <x:f>IF(A140="","",SUMIFS(Trips!$Q$6:$Q$105,Trips!$D$6:$D$105,A140))</x:f>
      </x:c>
      <x:c r="H140" s="98" t="str">
        <x:f>IF(A140="","",SUMIFS(Trips!$R$6:$R$105,Trips!$D$6:$D$105,A140))</x:f>
      </x:c>
      <x:c r="I140" s="98" t="str">
        <x:f>IF(A140="","",SUMIFS(Trips!$S$6:$S$105,Trips!$D$6:$D$105,A140))</x:f>
      </x:c>
      <x:c r="J140" s="111"/>
      <x:c r="K140" s="111"/>
      <x:c r="L140" s="111"/>
      <x:c r="M140" s="111"/>
      <x:c r="N140" s="111"/>
      <x:c r="O140" s="111"/>
      <x:c r="P140" s="111"/>
      <x:c r="Q140" s="111"/>
      <x:c r="R140" s="111"/>
      <x:c r="S140" s="111"/>
      <x:c r="T140" s="111"/>
    </x:row>
    <x:row r="141" ht="28" customHeight="1">
      <x:c r="A141" s="107" t="str">
        <x:f>IF('Route List'!F141="","",'Route List'!F141)</x:f>
      </x:c>
      <x:c r="B141" s="90" t="str">
        <x:f>IF(A141="","",COUNTIFS(Trips!$D$6:$D$105,A141))</x:f>
      </x:c>
      <x:c r="C141" s="90" t="str">
        <x:f>IF(A141="","",SUMIFS(Trips!$M$6:$M$105,Trips!$D$6:$D$105,A141))</x:f>
      </x:c>
      <x:c r="D141" s="90" t="str">
        <x:f>IF(A141="","",SUMIFS(Trips!$N$6:$N$105,Trips!$D$6:$D$105,A141))</x:f>
      </x:c>
      <x:c r="E141" s="98" t="str">
        <x:f>IF(A141="","",SUMIFS(Trips!$O$6:$O$105,Trips!$D$6:$D$105,A141))</x:f>
      </x:c>
      <x:c r="F141" s="98" t="str">
        <x:f>IF(A141="","",SUMIFS(Trips!$P$6:$P$105,Trips!$D$6:$D$105,A141))</x:f>
      </x:c>
      <x:c r="G141" s="98" t="str">
        <x:f>IF(A141="","",SUMIFS(Trips!$Q$6:$Q$105,Trips!$D$6:$D$105,A141))</x:f>
      </x:c>
      <x:c r="H141" s="98" t="str">
        <x:f>IF(A141="","",SUMIFS(Trips!$R$6:$R$105,Trips!$D$6:$D$105,A141))</x:f>
      </x:c>
      <x:c r="I141" s="98" t="str">
        <x:f>IF(A141="","",SUMIFS(Trips!$S$6:$S$105,Trips!$D$6:$D$105,A141))</x:f>
      </x:c>
      <x:c r="J141" s="111"/>
      <x:c r="K141" s="111"/>
      <x:c r="L141" s="111"/>
      <x:c r="M141" s="111"/>
      <x:c r="N141" s="111"/>
      <x:c r="O141" s="111"/>
      <x:c r="P141" s="111"/>
      <x:c r="Q141" s="111"/>
      <x:c r="R141" s="111"/>
      <x:c r="S141" s="111"/>
      <x:c r="T141" s="111"/>
    </x:row>
    <x:row r="142" ht="28" customHeight="1">
      <x:c r="A142" s="107" t="str">
        <x:f>IF('Route List'!F142="","",'Route List'!F142)</x:f>
      </x:c>
      <x:c r="B142" s="90" t="str">
        <x:f>IF(A142="","",COUNTIFS(Trips!$D$6:$D$105,A142))</x:f>
      </x:c>
      <x:c r="C142" s="90" t="str">
        <x:f>IF(A142="","",SUMIFS(Trips!$M$6:$M$105,Trips!$D$6:$D$105,A142))</x:f>
      </x:c>
      <x:c r="D142" s="90" t="str">
        <x:f>IF(A142="","",SUMIFS(Trips!$N$6:$N$105,Trips!$D$6:$D$105,A142))</x:f>
      </x:c>
      <x:c r="E142" s="98" t="str">
        <x:f>IF(A142="","",SUMIFS(Trips!$O$6:$O$105,Trips!$D$6:$D$105,A142))</x:f>
      </x:c>
      <x:c r="F142" s="98" t="str">
        <x:f>IF(A142="","",SUMIFS(Trips!$P$6:$P$105,Trips!$D$6:$D$105,A142))</x:f>
      </x:c>
      <x:c r="G142" s="98" t="str">
        <x:f>IF(A142="","",SUMIFS(Trips!$Q$6:$Q$105,Trips!$D$6:$D$105,A142))</x:f>
      </x:c>
      <x:c r="H142" s="98" t="str">
        <x:f>IF(A142="","",SUMIFS(Trips!$R$6:$R$105,Trips!$D$6:$D$105,A142))</x:f>
      </x:c>
      <x:c r="I142" s="98" t="str">
        <x:f>IF(A142="","",SUMIFS(Trips!$S$6:$S$105,Trips!$D$6:$D$105,A142))</x:f>
      </x:c>
      <x:c r="J142" s="111"/>
      <x:c r="K142" s="111"/>
      <x:c r="L142" s="111"/>
      <x:c r="M142" s="111"/>
      <x:c r="N142" s="111"/>
      <x:c r="O142" s="111"/>
      <x:c r="P142" s="111"/>
      <x:c r="Q142" s="111"/>
      <x:c r="R142" s="111"/>
      <x:c r="S142" s="111"/>
      <x:c r="T142" s="111"/>
    </x:row>
    <x:row r="143" ht="28" customHeight="1">
      <x:c r="A143" s="107" t="str">
        <x:f>IF('Route List'!F143="","",'Route List'!F143)</x:f>
      </x:c>
      <x:c r="B143" s="90" t="str">
        <x:f>IF(A143="","",COUNTIFS(Trips!$D$6:$D$105,A143))</x:f>
      </x:c>
      <x:c r="C143" s="90" t="str">
        <x:f>IF(A143="","",SUMIFS(Trips!$M$6:$M$105,Trips!$D$6:$D$105,A143))</x:f>
      </x:c>
      <x:c r="D143" s="90" t="str">
        <x:f>IF(A143="","",SUMIFS(Trips!$N$6:$N$105,Trips!$D$6:$D$105,A143))</x:f>
      </x:c>
      <x:c r="E143" s="98" t="str">
        <x:f>IF(A143="","",SUMIFS(Trips!$O$6:$O$105,Trips!$D$6:$D$105,A143))</x:f>
      </x:c>
      <x:c r="F143" s="98" t="str">
        <x:f>IF(A143="","",SUMIFS(Trips!$P$6:$P$105,Trips!$D$6:$D$105,A143))</x:f>
      </x:c>
      <x:c r="G143" s="98" t="str">
        <x:f>IF(A143="","",SUMIFS(Trips!$Q$6:$Q$105,Trips!$D$6:$D$105,A143))</x:f>
      </x:c>
      <x:c r="H143" s="98" t="str">
        <x:f>IF(A143="","",SUMIFS(Trips!$R$6:$R$105,Trips!$D$6:$D$105,A143))</x:f>
      </x:c>
      <x:c r="I143" s="98" t="str">
        <x:f>IF(A143="","",SUMIFS(Trips!$S$6:$S$105,Trips!$D$6:$D$105,A143))</x:f>
      </x:c>
      <x:c r="J143" s="111"/>
      <x:c r="K143" s="111"/>
      <x:c r="L143" s="111"/>
      <x:c r="M143" s="111"/>
      <x:c r="N143" s="111"/>
      <x:c r="O143" s="111"/>
      <x:c r="P143" s="111"/>
      <x:c r="Q143" s="111"/>
      <x:c r="R143" s="111"/>
      <x:c r="S143" s="111"/>
      <x:c r="T143" s="111"/>
    </x:row>
    <x:row r="144" ht="28" customHeight="1">
      <x:c r="A144" s="107" t="str">
        <x:f>IF('Route List'!F144="","",'Route List'!F144)</x:f>
      </x:c>
      <x:c r="B144" s="90" t="str">
        <x:f>IF(A144="","",COUNTIFS(Trips!$D$6:$D$105,A144))</x:f>
      </x:c>
      <x:c r="C144" s="90" t="str">
        <x:f>IF(A144="","",SUMIFS(Trips!$M$6:$M$105,Trips!$D$6:$D$105,A144))</x:f>
      </x:c>
      <x:c r="D144" s="90" t="str">
        <x:f>IF(A144="","",SUMIFS(Trips!$N$6:$N$105,Trips!$D$6:$D$105,A144))</x:f>
      </x:c>
      <x:c r="E144" s="98" t="str">
        <x:f>IF(A144="","",SUMIFS(Trips!$O$6:$O$105,Trips!$D$6:$D$105,A144))</x:f>
      </x:c>
      <x:c r="F144" s="98" t="str">
        <x:f>IF(A144="","",SUMIFS(Trips!$P$6:$P$105,Trips!$D$6:$D$105,A144))</x:f>
      </x:c>
      <x:c r="G144" s="98" t="str">
        <x:f>IF(A144="","",SUMIFS(Trips!$Q$6:$Q$105,Trips!$D$6:$D$105,A144))</x:f>
      </x:c>
      <x:c r="H144" s="98" t="str">
        <x:f>IF(A144="","",SUMIFS(Trips!$R$6:$R$105,Trips!$D$6:$D$105,A144))</x:f>
      </x:c>
      <x:c r="I144" s="98" t="str">
        <x:f>IF(A144="","",SUMIFS(Trips!$S$6:$S$105,Trips!$D$6:$D$105,A144))</x:f>
      </x:c>
      <x:c r="J144" s="111"/>
      <x:c r="K144" s="111"/>
      <x:c r="L144" s="111"/>
      <x:c r="M144" s="111"/>
      <x:c r="N144" s="111"/>
      <x:c r="O144" s="111"/>
      <x:c r="P144" s="111"/>
      <x:c r="Q144" s="111"/>
      <x:c r="R144" s="111"/>
      <x:c r="S144" s="111"/>
      <x:c r="T144" s="111"/>
    </x:row>
    <x:row r="145" ht="28" customHeight="1">
      <x:c r="A145" s="107" t="str">
        <x:f>IF('Route List'!F145="","",'Route List'!F145)</x:f>
      </x:c>
      <x:c r="B145" s="90" t="str">
        <x:f>IF(A145="","",COUNTIFS(Trips!$D$6:$D$105,A145))</x:f>
      </x:c>
      <x:c r="C145" s="90" t="str">
        <x:f>IF(A145="","",SUMIFS(Trips!$M$6:$M$105,Trips!$D$6:$D$105,A145))</x:f>
      </x:c>
      <x:c r="D145" s="90" t="str">
        <x:f>IF(A145="","",SUMIFS(Trips!$N$6:$N$105,Trips!$D$6:$D$105,A145))</x:f>
      </x:c>
      <x:c r="E145" s="98" t="str">
        <x:f>IF(A145="","",SUMIFS(Trips!$O$6:$O$105,Trips!$D$6:$D$105,A145))</x:f>
      </x:c>
      <x:c r="F145" s="98" t="str">
        <x:f>IF(A145="","",SUMIFS(Trips!$P$6:$P$105,Trips!$D$6:$D$105,A145))</x:f>
      </x:c>
      <x:c r="G145" s="98" t="str">
        <x:f>IF(A145="","",SUMIFS(Trips!$Q$6:$Q$105,Trips!$D$6:$D$105,A145))</x:f>
      </x:c>
      <x:c r="H145" s="98" t="str">
        <x:f>IF(A145="","",SUMIFS(Trips!$R$6:$R$105,Trips!$D$6:$D$105,A145))</x:f>
      </x:c>
      <x:c r="I145" s="98" t="str">
        <x:f>IF(A145="","",SUMIFS(Trips!$S$6:$S$105,Trips!$D$6:$D$105,A145))</x:f>
      </x:c>
      <x:c r="J145" s="111"/>
      <x:c r="K145" s="111"/>
      <x:c r="L145" s="111"/>
      <x:c r="M145" s="111"/>
      <x:c r="N145" s="111"/>
      <x:c r="O145" s="111"/>
      <x:c r="P145" s="111"/>
      <x:c r="Q145" s="111"/>
      <x:c r="R145" s="111"/>
      <x:c r="S145" s="111"/>
      <x:c r="T145" s="111"/>
    </x:row>
    <x:row r="146" ht="28" customHeight="1">
      <x:c r="A146" s="107" t="str">
        <x:f>IF('Route List'!F146="","",'Route List'!F146)</x:f>
      </x:c>
      <x:c r="B146" s="90" t="str">
        <x:f>IF(A146="","",COUNTIFS(Trips!$D$6:$D$105,A146))</x:f>
      </x:c>
      <x:c r="C146" s="90" t="str">
        <x:f>IF(A146="","",SUMIFS(Trips!$M$6:$M$105,Trips!$D$6:$D$105,A146))</x:f>
      </x:c>
      <x:c r="D146" s="90" t="str">
        <x:f>IF(A146="","",SUMIFS(Trips!$N$6:$N$105,Trips!$D$6:$D$105,A146))</x:f>
      </x:c>
      <x:c r="E146" s="98" t="str">
        <x:f>IF(A146="","",SUMIFS(Trips!$O$6:$O$105,Trips!$D$6:$D$105,A146))</x:f>
      </x:c>
      <x:c r="F146" s="98" t="str">
        <x:f>IF(A146="","",SUMIFS(Trips!$P$6:$P$105,Trips!$D$6:$D$105,A146))</x:f>
      </x:c>
      <x:c r="G146" s="98" t="str">
        <x:f>IF(A146="","",SUMIFS(Trips!$Q$6:$Q$105,Trips!$D$6:$D$105,A146))</x:f>
      </x:c>
      <x:c r="H146" s="98" t="str">
        <x:f>IF(A146="","",SUMIFS(Trips!$R$6:$R$105,Trips!$D$6:$D$105,A146))</x:f>
      </x:c>
      <x:c r="I146" s="98" t="str">
        <x:f>IF(A146="","",SUMIFS(Trips!$S$6:$S$105,Trips!$D$6:$D$105,A146))</x:f>
      </x:c>
      <x:c r="J146" s="111"/>
      <x:c r="K146" s="111"/>
      <x:c r="L146" s="111"/>
      <x:c r="M146" s="111"/>
      <x:c r="N146" s="111"/>
      <x:c r="O146" s="111"/>
      <x:c r="P146" s="111"/>
      <x:c r="Q146" s="111"/>
      <x:c r="R146" s="111"/>
      <x:c r="S146" s="111"/>
      <x:c r="T146" s="111"/>
    </x:row>
    <x:row r="147" ht="28" customHeight="1">
      <x:c r="A147" s="107" t="str">
        <x:f>IF('Route List'!F147="","",'Route List'!F147)</x:f>
      </x:c>
      <x:c r="B147" s="90" t="str">
        <x:f>IF(A147="","",COUNTIFS(Trips!$D$6:$D$105,A147))</x:f>
      </x:c>
      <x:c r="C147" s="90" t="str">
        <x:f>IF(A147="","",SUMIFS(Trips!$M$6:$M$105,Trips!$D$6:$D$105,A147))</x:f>
      </x:c>
      <x:c r="D147" s="90" t="str">
        <x:f>IF(A147="","",SUMIFS(Trips!$N$6:$N$105,Trips!$D$6:$D$105,A147))</x:f>
      </x:c>
      <x:c r="E147" s="98" t="str">
        <x:f>IF(A147="","",SUMIFS(Trips!$O$6:$O$105,Trips!$D$6:$D$105,A147))</x:f>
      </x:c>
      <x:c r="F147" s="98" t="str">
        <x:f>IF(A147="","",SUMIFS(Trips!$P$6:$P$105,Trips!$D$6:$D$105,A147))</x:f>
      </x:c>
      <x:c r="G147" s="98" t="str">
        <x:f>IF(A147="","",SUMIFS(Trips!$Q$6:$Q$105,Trips!$D$6:$D$105,A147))</x:f>
      </x:c>
      <x:c r="H147" s="98" t="str">
        <x:f>IF(A147="","",SUMIFS(Trips!$R$6:$R$105,Trips!$D$6:$D$105,A147))</x:f>
      </x:c>
      <x:c r="I147" s="98" t="str">
        <x:f>IF(A147="","",SUMIFS(Trips!$S$6:$S$105,Trips!$D$6:$D$105,A147))</x:f>
      </x:c>
      <x:c r="J147" s="111"/>
      <x:c r="K147" s="111"/>
      <x:c r="L147" s="111"/>
      <x:c r="M147" s="111"/>
      <x:c r="N147" s="111"/>
      <x:c r="O147" s="111"/>
      <x:c r="P147" s="111"/>
      <x:c r="Q147" s="111"/>
      <x:c r="R147" s="111"/>
      <x:c r="S147" s="111"/>
      <x:c r="T147" s="111"/>
    </x:row>
    <x:row r="148" ht="28" customHeight="1">
      <x:c r="A148" s="107" t="str">
        <x:f>IF('Route List'!F148="","",'Route List'!F148)</x:f>
      </x:c>
      <x:c r="B148" s="90" t="str">
        <x:f>IF(A148="","",COUNTIFS(Trips!$D$6:$D$105,A148))</x:f>
      </x:c>
      <x:c r="C148" s="90" t="str">
        <x:f>IF(A148="","",SUMIFS(Trips!$M$6:$M$105,Trips!$D$6:$D$105,A148))</x:f>
      </x:c>
      <x:c r="D148" s="90" t="str">
        <x:f>IF(A148="","",SUMIFS(Trips!$N$6:$N$105,Trips!$D$6:$D$105,A148))</x:f>
      </x:c>
      <x:c r="E148" s="98" t="str">
        <x:f>IF(A148="","",SUMIFS(Trips!$O$6:$O$105,Trips!$D$6:$D$105,A148))</x:f>
      </x:c>
      <x:c r="F148" s="98" t="str">
        <x:f>IF(A148="","",SUMIFS(Trips!$P$6:$P$105,Trips!$D$6:$D$105,A148))</x:f>
      </x:c>
      <x:c r="G148" s="98" t="str">
        <x:f>IF(A148="","",SUMIFS(Trips!$Q$6:$Q$105,Trips!$D$6:$D$105,A148))</x:f>
      </x:c>
      <x:c r="H148" s="98" t="str">
        <x:f>IF(A148="","",SUMIFS(Trips!$R$6:$R$105,Trips!$D$6:$D$105,A148))</x:f>
      </x:c>
      <x:c r="I148" s="98" t="str">
        <x:f>IF(A148="","",SUMIFS(Trips!$S$6:$S$105,Trips!$D$6:$D$105,A148))</x:f>
      </x:c>
      <x:c r="J148" s="111"/>
      <x:c r="K148" s="111"/>
      <x:c r="L148" s="111"/>
      <x:c r="M148" s="111"/>
      <x:c r="N148" s="111"/>
      <x:c r="O148" s="111"/>
      <x:c r="P148" s="111"/>
      <x:c r="Q148" s="111"/>
      <x:c r="R148" s="111"/>
      <x:c r="S148" s="111"/>
      <x:c r="T148" s="111"/>
    </x:row>
    <x:row r="149" ht="28" customHeight="1">
      <x:c r="A149" s="107" t="str">
        <x:f>IF('Route List'!F149="","",'Route List'!F149)</x:f>
      </x:c>
      <x:c r="B149" s="90" t="str">
        <x:f>IF(A149="","",COUNTIFS(Trips!$D$6:$D$105,A149))</x:f>
      </x:c>
      <x:c r="C149" s="90" t="str">
        <x:f>IF(A149="","",SUMIFS(Trips!$M$6:$M$105,Trips!$D$6:$D$105,A149))</x:f>
      </x:c>
      <x:c r="D149" s="90" t="str">
        <x:f>IF(A149="","",SUMIFS(Trips!$N$6:$N$105,Trips!$D$6:$D$105,A149))</x:f>
      </x:c>
      <x:c r="E149" s="98" t="str">
        <x:f>IF(A149="","",SUMIFS(Trips!$O$6:$O$105,Trips!$D$6:$D$105,A149))</x:f>
      </x:c>
      <x:c r="F149" s="98" t="str">
        <x:f>IF(A149="","",SUMIFS(Trips!$P$6:$P$105,Trips!$D$6:$D$105,A149))</x:f>
      </x:c>
      <x:c r="G149" s="98" t="str">
        <x:f>IF(A149="","",SUMIFS(Trips!$Q$6:$Q$105,Trips!$D$6:$D$105,A149))</x:f>
      </x:c>
      <x:c r="H149" s="98" t="str">
        <x:f>IF(A149="","",SUMIFS(Trips!$R$6:$R$105,Trips!$D$6:$D$105,A149))</x:f>
      </x:c>
      <x:c r="I149" s="98" t="str">
        <x:f>IF(A149="","",SUMIFS(Trips!$S$6:$S$105,Trips!$D$6:$D$105,A149))</x:f>
      </x:c>
      <x:c r="J149" s="111"/>
      <x:c r="K149" s="111"/>
      <x:c r="L149" s="111"/>
      <x:c r="M149" s="111"/>
      <x:c r="N149" s="111"/>
      <x:c r="O149" s="111"/>
      <x:c r="P149" s="111"/>
      <x:c r="Q149" s="111"/>
      <x:c r="R149" s="111"/>
      <x:c r="S149" s="111"/>
      <x:c r="T149" s="111"/>
    </x:row>
    <x:row r="150" ht="28" customHeight="1">
      <x:c r="A150" s="107" t="str">
        <x:f>IF('Route List'!F150="","",'Route List'!F150)</x:f>
      </x:c>
      <x:c r="B150" s="90" t="str">
        <x:f>IF(A150="","",COUNTIFS(Trips!$D$6:$D$105,A150))</x:f>
      </x:c>
      <x:c r="C150" s="90" t="str">
        <x:f>IF(A150="","",SUMIFS(Trips!$M$6:$M$105,Trips!$D$6:$D$105,A150))</x:f>
      </x:c>
      <x:c r="D150" s="90" t="str">
        <x:f>IF(A150="","",SUMIFS(Trips!$N$6:$N$105,Trips!$D$6:$D$105,A150))</x:f>
      </x:c>
      <x:c r="E150" s="98" t="str">
        <x:f>IF(A150="","",SUMIFS(Trips!$O$6:$O$105,Trips!$D$6:$D$105,A150))</x:f>
      </x:c>
      <x:c r="F150" s="98" t="str">
        <x:f>IF(A150="","",SUMIFS(Trips!$P$6:$P$105,Trips!$D$6:$D$105,A150))</x:f>
      </x:c>
      <x:c r="G150" s="98" t="str">
        <x:f>IF(A150="","",SUMIFS(Trips!$Q$6:$Q$105,Trips!$D$6:$D$105,A150))</x:f>
      </x:c>
      <x:c r="H150" s="98" t="str">
        <x:f>IF(A150="","",SUMIFS(Trips!$R$6:$R$105,Trips!$D$6:$D$105,A150))</x:f>
      </x:c>
      <x:c r="I150" s="98" t="str">
        <x:f>IF(A150="","",SUMIFS(Trips!$S$6:$S$105,Trips!$D$6:$D$105,A150))</x:f>
      </x:c>
      <x:c r="J150" s="111"/>
      <x:c r="K150" s="111"/>
      <x:c r="L150" s="111"/>
      <x:c r="M150" s="111"/>
      <x:c r="N150" s="111"/>
      <x:c r="O150" s="111"/>
      <x:c r="P150" s="111"/>
      <x:c r="Q150" s="111"/>
      <x:c r="R150" s="111"/>
      <x:c r="S150" s="111"/>
      <x:c r="T150" s="111"/>
    </x:row>
    <x:row r="151" ht="28" customHeight="1">
      <x:c r="A151" s="107" t="str">
        <x:f>IF('Route List'!F151="","",'Route List'!F151)</x:f>
      </x:c>
      <x:c r="B151" s="90" t="str">
        <x:f>IF(A151="","",COUNTIFS(Trips!$D$6:$D$105,A151))</x:f>
      </x:c>
      <x:c r="C151" s="90" t="str">
        <x:f>IF(A151="","",SUMIFS(Trips!$M$6:$M$105,Trips!$D$6:$D$105,A151))</x:f>
      </x:c>
      <x:c r="D151" s="90" t="str">
        <x:f>IF(A151="","",SUMIFS(Trips!$N$6:$N$105,Trips!$D$6:$D$105,A151))</x:f>
      </x:c>
      <x:c r="E151" s="98" t="str">
        <x:f>IF(A151="","",SUMIFS(Trips!$O$6:$O$105,Trips!$D$6:$D$105,A151))</x:f>
      </x:c>
      <x:c r="F151" s="98" t="str">
        <x:f>IF(A151="","",SUMIFS(Trips!$P$6:$P$105,Trips!$D$6:$D$105,A151))</x:f>
      </x:c>
      <x:c r="G151" s="98" t="str">
        <x:f>IF(A151="","",SUMIFS(Trips!$Q$6:$Q$105,Trips!$D$6:$D$105,A151))</x:f>
      </x:c>
      <x:c r="H151" s="98" t="str">
        <x:f>IF(A151="","",SUMIFS(Trips!$R$6:$R$105,Trips!$D$6:$D$105,A151))</x:f>
      </x:c>
      <x:c r="I151" s="98" t="str">
        <x:f>IF(A151="","",SUMIFS(Trips!$S$6:$S$105,Trips!$D$6:$D$105,A151))</x:f>
      </x:c>
      <x:c r="J151" s="111"/>
      <x:c r="K151" s="111"/>
      <x:c r="L151" s="111"/>
      <x:c r="M151" s="111"/>
      <x:c r="N151" s="111"/>
      <x:c r="O151" s="111"/>
      <x:c r="P151" s="111"/>
      <x:c r="Q151" s="111"/>
      <x:c r="R151" s="111"/>
      <x:c r="S151" s="111"/>
      <x:c r="T151" s="111"/>
    </x:row>
    <x:row r="152" ht="28" customHeight="1">
      <x:c r="A152" s="107" t="str">
        <x:f>IF('Route List'!F152="","",'Route List'!F152)</x:f>
      </x:c>
      <x:c r="B152" s="90" t="str">
        <x:f>IF(A152="","",COUNTIFS(Trips!$D$6:$D$105,A152))</x:f>
      </x:c>
      <x:c r="C152" s="90" t="str">
        <x:f>IF(A152="","",SUMIFS(Trips!$M$6:$M$105,Trips!$D$6:$D$105,A152))</x:f>
      </x:c>
      <x:c r="D152" s="90" t="str">
        <x:f>IF(A152="","",SUMIFS(Trips!$N$6:$N$105,Trips!$D$6:$D$105,A152))</x:f>
      </x:c>
      <x:c r="E152" s="98" t="str">
        <x:f>IF(A152="","",SUMIFS(Trips!$O$6:$O$105,Trips!$D$6:$D$105,A152))</x:f>
      </x:c>
      <x:c r="F152" s="98" t="str">
        <x:f>IF(A152="","",SUMIFS(Trips!$P$6:$P$105,Trips!$D$6:$D$105,A152))</x:f>
      </x:c>
      <x:c r="G152" s="98" t="str">
        <x:f>IF(A152="","",SUMIFS(Trips!$Q$6:$Q$105,Trips!$D$6:$D$105,A152))</x:f>
      </x:c>
      <x:c r="H152" s="98" t="str">
        <x:f>IF(A152="","",SUMIFS(Trips!$R$6:$R$105,Trips!$D$6:$D$105,A152))</x:f>
      </x:c>
      <x:c r="I152" s="98" t="str">
        <x:f>IF(A152="","",SUMIFS(Trips!$S$6:$S$105,Trips!$D$6:$D$105,A152))</x:f>
      </x:c>
      <x:c r="J152" s="111"/>
      <x:c r="K152" s="111"/>
      <x:c r="L152" s="111"/>
      <x:c r="M152" s="111"/>
      <x:c r="N152" s="111"/>
      <x:c r="O152" s="111"/>
      <x:c r="P152" s="111"/>
      <x:c r="Q152" s="111"/>
      <x:c r="R152" s="111"/>
      <x:c r="S152" s="111"/>
      <x:c r="T152" s="111"/>
    </x:row>
    <x:row r="153" ht="28" customHeight="1">
      <x:c r="A153" s="107" t="str">
        <x:f>IF('Route List'!F153="","",'Route List'!F153)</x:f>
      </x:c>
      <x:c r="B153" s="90" t="str">
        <x:f>IF(A153="","",COUNTIFS(Trips!$D$6:$D$105,A153))</x:f>
      </x:c>
      <x:c r="C153" s="90" t="str">
        <x:f>IF(A153="","",SUMIFS(Trips!$M$6:$M$105,Trips!$D$6:$D$105,A153))</x:f>
      </x:c>
      <x:c r="D153" s="90" t="str">
        <x:f>IF(A153="","",SUMIFS(Trips!$N$6:$N$105,Trips!$D$6:$D$105,A153))</x:f>
      </x:c>
      <x:c r="E153" s="98" t="str">
        <x:f>IF(A153="","",SUMIFS(Trips!$O$6:$O$105,Trips!$D$6:$D$105,A153))</x:f>
      </x:c>
      <x:c r="F153" s="98" t="str">
        <x:f>IF(A153="","",SUMIFS(Trips!$P$6:$P$105,Trips!$D$6:$D$105,A153))</x:f>
      </x:c>
      <x:c r="G153" s="98" t="str">
        <x:f>IF(A153="","",SUMIFS(Trips!$Q$6:$Q$105,Trips!$D$6:$D$105,A153))</x:f>
      </x:c>
      <x:c r="H153" s="98" t="str">
        <x:f>IF(A153="","",SUMIFS(Trips!$R$6:$R$105,Trips!$D$6:$D$105,A153))</x:f>
      </x:c>
      <x:c r="I153" s="98" t="str">
        <x:f>IF(A153="","",SUMIFS(Trips!$S$6:$S$105,Trips!$D$6:$D$105,A153))</x:f>
      </x:c>
      <x:c r="J153" s="111"/>
      <x:c r="K153" s="111"/>
      <x:c r="L153" s="111"/>
      <x:c r="M153" s="111"/>
      <x:c r="N153" s="111"/>
      <x:c r="O153" s="111"/>
      <x:c r="P153" s="111"/>
      <x:c r="Q153" s="111"/>
      <x:c r="R153" s="111"/>
      <x:c r="S153" s="111"/>
      <x:c r="T153" s="111"/>
    </x:row>
    <x:row r="154" ht="28" customHeight="1">
      <x:c r="A154" s="107" t="str">
        <x:f>IF('Route List'!F154="","",'Route List'!F154)</x:f>
      </x:c>
      <x:c r="B154" s="90" t="str">
        <x:f>IF(A154="","",COUNTIFS(Trips!$D$6:$D$105,A154))</x:f>
      </x:c>
      <x:c r="C154" s="90" t="str">
        <x:f>IF(A154="","",SUMIFS(Trips!$M$6:$M$105,Trips!$D$6:$D$105,A154))</x:f>
      </x:c>
      <x:c r="D154" s="90" t="str">
        <x:f>IF(A154="","",SUMIFS(Trips!$N$6:$N$105,Trips!$D$6:$D$105,A154))</x:f>
      </x:c>
      <x:c r="E154" s="98" t="str">
        <x:f>IF(A154="","",SUMIFS(Trips!$O$6:$O$105,Trips!$D$6:$D$105,A154))</x:f>
      </x:c>
      <x:c r="F154" s="98" t="str">
        <x:f>IF(A154="","",SUMIFS(Trips!$P$6:$P$105,Trips!$D$6:$D$105,A154))</x:f>
      </x:c>
      <x:c r="G154" s="98" t="str">
        <x:f>IF(A154="","",SUMIFS(Trips!$Q$6:$Q$105,Trips!$D$6:$D$105,A154))</x:f>
      </x:c>
      <x:c r="H154" s="98" t="str">
        <x:f>IF(A154="","",SUMIFS(Trips!$R$6:$R$105,Trips!$D$6:$D$105,A154))</x:f>
      </x:c>
      <x:c r="I154" s="98" t="str">
        <x:f>IF(A154="","",SUMIFS(Trips!$S$6:$S$105,Trips!$D$6:$D$105,A154))</x:f>
      </x:c>
      <x:c r="J154" s="111"/>
      <x:c r="K154" s="111"/>
      <x:c r="L154" s="111"/>
      <x:c r="M154" s="111"/>
      <x:c r="N154" s="111"/>
      <x:c r="O154" s="111"/>
      <x:c r="P154" s="111"/>
      <x:c r="Q154" s="111"/>
      <x:c r="R154" s="111"/>
      <x:c r="S154" s="111"/>
      <x:c r="T154" s="111"/>
    </x:row>
    <x:row r="155" ht="28" customHeight="1">
      <x:c r="A155" s="107" t="str">
        <x:f>IF('Route List'!F155="","",'Route List'!F155)</x:f>
      </x:c>
      <x:c r="B155" s="90" t="str">
        <x:f>IF(A155="","",COUNTIFS(Trips!$D$6:$D$105,A155))</x:f>
      </x:c>
      <x:c r="C155" s="90" t="str">
        <x:f>IF(A155="","",SUMIFS(Trips!$M$6:$M$105,Trips!$D$6:$D$105,A155))</x:f>
      </x:c>
      <x:c r="D155" s="90" t="str">
        <x:f>IF(A155="","",SUMIFS(Trips!$N$6:$N$105,Trips!$D$6:$D$105,A155))</x:f>
      </x:c>
      <x:c r="E155" s="98" t="str">
        <x:f>IF(A155="","",SUMIFS(Trips!$O$6:$O$105,Trips!$D$6:$D$105,A155))</x:f>
      </x:c>
      <x:c r="F155" s="98" t="str">
        <x:f>IF(A155="","",SUMIFS(Trips!$P$6:$P$105,Trips!$D$6:$D$105,A155))</x:f>
      </x:c>
      <x:c r="G155" s="98" t="str">
        <x:f>IF(A155="","",SUMIFS(Trips!$Q$6:$Q$105,Trips!$D$6:$D$105,A155))</x:f>
      </x:c>
      <x:c r="H155" s="98" t="str">
        <x:f>IF(A155="","",SUMIFS(Trips!$R$6:$R$105,Trips!$D$6:$D$105,A155))</x:f>
      </x:c>
      <x:c r="I155" s="98" t="str">
        <x:f>IF(A155="","",SUMIFS(Trips!$S$6:$S$105,Trips!$D$6:$D$105,A155))</x:f>
      </x:c>
      <x:c r="J155" s="111"/>
      <x:c r="K155" s="111"/>
      <x:c r="L155" s="111"/>
      <x:c r="M155" s="111"/>
      <x:c r="N155" s="111"/>
      <x:c r="O155" s="111"/>
      <x:c r="P155" s="111"/>
      <x:c r="Q155" s="111"/>
      <x:c r="R155" s="111"/>
      <x:c r="S155" s="111"/>
      <x:c r="T155" s="111"/>
    </x:row>
    <x:row r="156" ht="28" customHeight="1">
      <x:c r="A156" s="107" t="str">
        <x:f>IF('Route List'!F156="","",'Route List'!F156)</x:f>
      </x:c>
      <x:c r="B156" s="90" t="str">
        <x:f>IF(A156="","",COUNTIFS(Trips!$D$6:$D$105,A156))</x:f>
      </x:c>
      <x:c r="C156" s="90" t="str">
        <x:f>IF(A156="","",SUMIFS(Trips!$M$6:$M$105,Trips!$D$6:$D$105,A156))</x:f>
      </x:c>
      <x:c r="D156" s="90" t="str">
        <x:f>IF(A156="","",SUMIFS(Trips!$N$6:$N$105,Trips!$D$6:$D$105,A156))</x:f>
      </x:c>
      <x:c r="E156" s="98" t="str">
        <x:f>IF(A156="","",SUMIFS(Trips!$O$6:$O$105,Trips!$D$6:$D$105,A156))</x:f>
      </x:c>
      <x:c r="F156" s="98" t="str">
        <x:f>IF(A156="","",SUMIFS(Trips!$P$6:$P$105,Trips!$D$6:$D$105,A156))</x:f>
      </x:c>
      <x:c r="G156" s="98" t="str">
        <x:f>IF(A156="","",SUMIFS(Trips!$Q$6:$Q$105,Trips!$D$6:$D$105,A156))</x:f>
      </x:c>
      <x:c r="H156" s="98" t="str">
        <x:f>IF(A156="","",SUMIFS(Trips!$R$6:$R$105,Trips!$D$6:$D$105,A156))</x:f>
      </x:c>
      <x:c r="I156" s="98" t="str">
        <x:f>IF(A156="","",SUMIFS(Trips!$S$6:$S$105,Trips!$D$6:$D$105,A156))</x:f>
      </x:c>
      <x:c r="J156" s="111"/>
      <x:c r="K156" s="111"/>
      <x:c r="L156" s="111"/>
      <x:c r="M156" s="111"/>
      <x:c r="N156" s="111"/>
      <x:c r="O156" s="111"/>
      <x:c r="P156" s="111"/>
      <x:c r="Q156" s="111"/>
      <x:c r="R156" s="111"/>
      <x:c r="S156" s="111"/>
      <x:c r="T156" s="111"/>
    </x:row>
    <x:row r="157" ht="28" customHeight="1">
      <x:c r="A157" s="107" t="str">
        <x:f>IF('Route List'!F157="","",'Route List'!F157)</x:f>
      </x:c>
      <x:c r="B157" s="90" t="str">
        <x:f>IF(A157="","",COUNTIFS(Trips!$D$6:$D$105,A157))</x:f>
      </x:c>
      <x:c r="C157" s="90" t="str">
        <x:f>IF(A157="","",SUMIFS(Trips!$M$6:$M$105,Trips!$D$6:$D$105,A157))</x:f>
      </x:c>
      <x:c r="D157" s="90" t="str">
        <x:f>IF(A157="","",SUMIFS(Trips!$N$6:$N$105,Trips!$D$6:$D$105,A157))</x:f>
      </x:c>
      <x:c r="E157" s="98" t="str">
        <x:f>IF(A157="","",SUMIFS(Trips!$O$6:$O$105,Trips!$D$6:$D$105,A157))</x:f>
      </x:c>
      <x:c r="F157" s="98" t="str">
        <x:f>IF(A157="","",SUMIFS(Trips!$P$6:$P$105,Trips!$D$6:$D$105,A157))</x:f>
      </x:c>
      <x:c r="G157" s="98" t="str">
        <x:f>IF(A157="","",SUMIFS(Trips!$Q$6:$Q$105,Trips!$D$6:$D$105,A157))</x:f>
      </x:c>
      <x:c r="H157" s="98" t="str">
        <x:f>IF(A157="","",SUMIFS(Trips!$R$6:$R$105,Trips!$D$6:$D$105,A157))</x:f>
      </x:c>
      <x:c r="I157" s="98" t="str">
        <x:f>IF(A157="","",SUMIFS(Trips!$S$6:$S$105,Trips!$D$6:$D$105,A157))</x:f>
      </x:c>
      <x:c r="J157" s="111"/>
      <x:c r="K157" s="111"/>
      <x:c r="L157" s="111"/>
      <x:c r="M157" s="111"/>
      <x:c r="N157" s="111"/>
      <x:c r="O157" s="111"/>
      <x:c r="P157" s="111"/>
      <x:c r="Q157" s="111"/>
      <x:c r="R157" s="111"/>
      <x:c r="S157" s="111"/>
      <x:c r="T157" s="111"/>
    </x:row>
    <x:row r="158" ht="28" customHeight="1">
      <x:c r="A158" s="107" t="str">
        <x:f>IF('Route List'!F158="","",'Route List'!F158)</x:f>
      </x:c>
      <x:c r="B158" s="90" t="str">
        <x:f>IF(A158="","",COUNTIFS(Trips!$D$6:$D$105,A158))</x:f>
      </x:c>
      <x:c r="C158" s="90" t="str">
        <x:f>IF(A158="","",SUMIFS(Trips!$M$6:$M$105,Trips!$D$6:$D$105,A158))</x:f>
      </x:c>
      <x:c r="D158" s="90" t="str">
        <x:f>IF(A158="","",SUMIFS(Trips!$N$6:$N$105,Trips!$D$6:$D$105,A158))</x:f>
      </x:c>
      <x:c r="E158" s="98" t="str">
        <x:f>IF(A158="","",SUMIFS(Trips!$O$6:$O$105,Trips!$D$6:$D$105,A158))</x:f>
      </x:c>
      <x:c r="F158" s="98" t="str">
        <x:f>IF(A158="","",SUMIFS(Trips!$P$6:$P$105,Trips!$D$6:$D$105,A158))</x:f>
      </x:c>
      <x:c r="G158" s="98" t="str">
        <x:f>IF(A158="","",SUMIFS(Trips!$Q$6:$Q$105,Trips!$D$6:$D$105,A158))</x:f>
      </x:c>
      <x:c r="H158" s="98" t="str">
        <x:f>IF(A158="","",SUMIFS(Trips!$R$6:$R$105,Trips!$D$6:$D$105,A158))</x:f>
      </x:c>
      <x:c r="I158" s="98" t="str">
        <x:f>IF(A158="","",SUMIFS(Trips!$S$6:$S$105,Trips!$D$6:$D$105,A158))</x:f>
      </x:c>
      <x:c r="J158" s="111"/>
      <x:c r="K158" s="111"/>
      <x:c r="L158" s="111"/>
      <x:c r="M158" s="111"/>
      <x:c r="N158" s="111"/>
      <x:c r="O158" s="111"/>
      <x:c r="P158" s="111"/>
      <x:c r="Q158" s="111"/>
      <x:c r="R158" s="111"/>
      <x:c r="S158" s="111"/>
      <x:c r="T158" s="111"/>
    </x:row>
    <x:row r="159" ht="28" customHeight="1">
      <x:c r="A159" s="107" t="str">
        <x:f>IF('Route List'!F159="","",'Route List'!F159)</x:f>
      </x:c>
      <x:c r="B159" s="90" t="str">
        <x:f>IF(A159="","",COUNTIFS(Trips!$D$6:$D$105,A159))</x:f>
      </x:c>
      <x:c r="C159" s="90" t="str">
        <x:f>IF(A159="","",SUMIFS(Trips!$M$6:$M$105,Trips!$D$6:$D$105,A159))</x:f>
      </x:c>
      <x:c r="D159" s="90" t="str">
        <x:f>IF(A159="","",SUMIFS(Trips!$N$6:$N$105,Trips!$D$6:$D$105,A159))</x:f>
      </x:c>
      <x:c r="E159" s="98" t="str">
        <x:f>IF(A159="","",SUMIFS(Trips!$O$6:$O$105,Trips!$D$6:$D$105,A159))</x:f>
      </x:c>
      <x:c r="F159" s="98" t="str">
        <x:f>IF(A159="","",SUMIFS(Trips!$P$6:$P$105,Trips!$D$6:$D$105,A159))</x:f>
      </x:c>
      <x:c r="G159" s="98" t="str">
        <x:f>IF(A159="","",SUMIFS(Trips!$Q$6:$Q$105,Trips!$D$6:$D$105,A159))</x:f>
      </x:c>
      <x:c r="H159" s="98" t="str">
        <x:f>IF(A159="","",SUMIFS(Trips!$R$6:$R$105,Trips!$D$6:$D$105,A159))</x:f>
      </x:c>
      <x:c r="I159" s="98" t="str">
        <x:f>IF(A159="","",SUMIFS(Trips!$S$6:$S$105,Trips!$D$6:$D$105,A159))</x:f>
      </x:c>
      <x:c r="J159" s="111"/>
      <x:c r="K159" s="111"/>
      <x:c r="L159" s="111"/>
      <x:c r="M159" s="111"/>
      <x:c r="N159" s="111"/>
      <x:c r="O159" s="111"/>
      <x:c r="P159" s="111"/>
      <x:c r="Q159" s="111"/>
      <x:c r="R159" s="111"/>
      <x:c r="S159" s="111"/>
      <x:c r="T159" s="111"/>
    </x:row>
    <x:row r="160" ht="28" customHeight="1">
      <x:c r="A160" s="107" t="str">
        <x:f>IF('Route List'!F160="","",'Route List'!F160)</x:f>
      </x:c>
      <x:c r="B160" s="90" t="str">
        <x:f>IF(A160="","",COUNTIFS(Trips!$D$6:$D$105,A160))</x:f>
      </x:c>
      <x:c r="C160" s="90" t="str">
        <x:f>IF(A160="","",SUMIFS(Trips!$M$6:$M$105,Trips!$D$6:$D$105,A160))</x:f>
      </x:c>
      <x:c r="D160" s="90" t="str">
        <x:f>IF(A160="","",SUMIFS(Trips!$N$6:$N$105,Trips!$D$6:$D$105,A160))</x:f>
      </x:c>
      <x:c r="E160" s="98" t="str">
        <x:f>IF(A160="","",SUMIFS(Trips!$O$6:$O$105,Trips!$D$6:$D$105,A160))</x:f>
      </x:c>
      <x:c r="F160" s="98" t="str">
        <x:f>IF(A160="","",SUMIFS(Trips!$P$6:$P$105,Trips!$D$6:$D$105,A160))</x:f>
      </x:c>
      <x:c r="G160" s="98" t="str">
        <x:f>IF(A160="","",SUMIFS(Trips!$Q$6:$Q$105,Trips!$D$6:$D$105,A160))</x:f>
      </x:c>
      <x:c r="H160" s="98" t="str">
        <x:f>IF(A160="","",SUMIFS(Trips!$R$6:$R$105,Trips!$D$6:$D$105,A160))</x:f>
      </x:c>
      <x:c r="I160" s="98" t="str">
        <x:f>IF(A160="","",SUMIFS(Trips!$S$6:$S$105,Trips!$D$6:$D$105,A160))</x:f>
      </x:c>
      <x:c r="J160" s="111"/>
      <x:c r="K160" s="111"/>
      <x:c r="L160" s="111"/>
      <x:c r="M160" s="111"/>
      <x:c r="N160" s="111"/>
      <x:c r="O160" s="111"/>
      <x:c r="P160" s="111"/>
      <x:c r="Q160" s="111"/>
      <x:c r="R160" s="111"/>
      <x:c r="S160" s="111"/>
      <x:c r="T160" s="111"/>
    </x:row>
    <x:row r="161" ht="28" customHeight="1">
      <x:c r="A161" s="107" t="str">
        <x:f>IF('Route List'!F161="","",'Route List'!F161)</x:f>
      </x:c>
      <x:c r="B161" s="90" t="str">
        <x:f>IF(A161="","",COUNTIFS(Trips!$D$6:$D$105,A161))</x:f>
      </x:c>
      <x:c r="C161" s="90" t="str">
        <x:f>IF(A161="","",SUMIFS(Trips!$M$6:$M$105,Trips!$D$6:$D$105,A161))</x:f>
      </x:c>
      <x:c r="D161" s="90" t="str">
        <x:f>IF(A161="","",SUMIFS(Trips!$N$6:$N$105,Trips!$D$6:$D$105,A161))</x:f>
      </x:c>
      <x:c r="E161" s="98" t="str">
        <x:f>IF(A161="","",SUMIFS(Trips!$O$6:$O$105,Trips!$D$6:$D$105,A161))</x:f>
      </x:c>
      <x:c r="F161" s="98" t="str">
        <x:f>IF(A161="","",SUMIFS(Trips!$P$6:$P$105,Trips!$D$6:$D$105,A161))</x:f>
      </x:c>
      <x:c r="G161" s="98" t="str">
        <x:f>IF(A161="","",SUMIFS(Trips!$Q$6:$Q$105,Trips!$D$6:$D$105,A161))</x:f>
      </x:c>
      <x:c r="H161" s="98" t="str">
        <x:f>IF(A161="","",SUMIFS(Trips!$R$6:$R$105,Trips!$D$6:$D$105,A161))</x:f>
      </x:c>
      <x:c r="I161" s="98" t="str">
        <x:f>IF(A161="","",SUMIFS(Trips!$S$6:$S$105,Trips!$D$6:$D$105,A161))</x:f>
      </x:c>
      <x:c r="J161" s="111"/>
      <x:c r="K161" s="111"/>
      <x:c r="L161" s="111"/>
      <x:c r="M161" s="111"/>
      <x:c r="N161" s="111"/>
      <x:c r="O161" s="111"/>
      <x:c r="P161" s="111"/>
      <x:c r="Q161" s="111"/>
      <x:c r="R161" s="111"/>
      <x:c r="S161" s="111"/>
      <x:c r="T161" s="111"/>
    </x:row>
    <x:row r="162" ht="28" customHeight="1">
      <x:c r="A162" s="107" t="str">
        <x:f>IF('Route List'!F162="","",'Route List'!F162)</x:f>
      </x:c>
      <x:c r="B162" s="90" t="str">
        <x:f>IF(A162="","",COUNTIFS(Trips!$D$6:$D$105,A162))</x:f>
      </x:c>
      <x:c r="C162" s="90" t="str">
        <x:f>IF(A162="","",SUMIFS(Trips!$M$6:$M$105,Trips!$D$6:$D$105,A162))</x:f>
      </x:c>
      <x:c r="D162" s="90" t="str">
        <x:f>IF(A162="","",SUMIFS(Trips!$N$6:$N$105,Trips!$D$6:$D$105,A162))</x:f>
      </x:c>
      <x:c r="E162" s="98" t="str">
        <x:f>IF(A162="","",SUMIFS(Trips!$O$6:$O$105,Trips!$D$6:$D$105,A162))</x:f>
      </x:c>
      <x:c r="F162" s="98" t="str">
        <x:f>IF(A162="","",SUMIFS(Trips!$P$6:$P$105,Trips!$D$6:$D$105,A162))</x:f>
      </x:c>
      <x:c r="G162" s="98" t="str">
        <x:f>IF(A162="","",SUMIFS(Trips!$Q$6:$Q$105,Trips!$D$6:$D$105,A162))</x:f>
      </x:c>
      <x:c r="H162" s="98" t="str">
        <x:f>IF(A162="","",SUMIFS(Trips!$R$6:$R$105,Trips!$D$6:$D$105,A162))</x:f>
      </x:c>
      <x:c r="I162" s="98" t="str">
        <x:f>IF(A162="","",SUMIFS(Trips!$S$6:$S$105,Trips!$D$6:$D$105,A162))</x:f>
      </x:c>
      <x:c r="J162" s="111"/>
      <x:c r="K162" s="111"/>
      <x:c r="L162" s="111"/>
      <x:c r="M162" s="111"/>
      <x:c r="N162" s="111"/>
      <x:c r="O162" s="111"/>
      <x:c r="P162" s="111"/>
      <x:c r="Q162" s="111"/>
      <x:c r="R162" s="111"/>
      <x:c r="S162" s="111"/>
      <x:c r="T162" s="111"/>
    </x:row>
    <x:row r="163" ht="28" customHeight="1">
      <x:c r="A163" s="107" t="str">
        <x:f>IF('Route List'!F163="","",'Route List'!F163)</x:f>
      </x:c>
      <x:c r="B163" s="90" t="str">
        <x:f>IF(A163="","",COUNTIFS(Trips!$D$6:$D$105,A163))</x:f>
      </x:c>
      <x:c r="C163" s="90" t="str">
        <x:f>IF(A163="","",SUMIFS(Trips!$M$6:$M$105,Trips!$D$6:$D$105,A163))</x:f>
      </x:c>
      <x:c r="D163" s="90" t="str">
        <x:f>IF(A163="","",SUMIFS(Trips!$N$6:$N$105,Trips!$D$6:$D$105,A163))</x:f>
      </x:c>
      <x:c r="E163" s="98" t="str">
        <x:f>IF(A163="","",SUMIFS(Trips!$O$6:$O$105,Trips!$D$6:$D$105,A163))</x:f>
      </x:c>
      <x:c r="F163" s="98" t="str">
        <x:f>IF(A163="","",SUMIFS(Trips!$P$6:$P$105,Trips!$D$6:$D$105,A163))</x:f>
      </x:c>
      <x:c r="G163" s="98" t="str">
        <x:f>IF(A163="","",SUMIFS(Trips!$Q$6:$Q$105,Trips!$D$6:$D$105,A163))</x:f>
      </x:c>
      <x:c r="H163" s="98" t="str">
        <x:f>IF(A163="","",SUMIFS(Trips!$R$6:$R$105,Trips!$D$6:$D$105,A163))</x:f>
      </x:c>
      <x:c r="I163" s="98" t="str">
        <x:f>IF(A163="","",SUMIFS(Trips!$S$6:$S$105,Trips!$D$6:$D$105,A163))</x:f>
      </x:c>
      <x:c r="J163" s="111"/>
      <x:c r="K163" s="111"/>
      <x:c r="L163" s="111"/>
      <x:c r="M163" s="111"/>
      <x:c r="N163" s="111"/>
      <x:c r="O163" s="111"/>
      <x:c r="P163" s="111"/>
      <x:c r="Q163" s="111"/>
      <x:c r="R163" s="111"/>
      <x:c r="S163" s="111"/>
      <x:c r="T163" s="111"/>
    </x:row>
    <x:row r="164" ht="28" customHeight="1">
      <x:c r="A164" s="107" t="str">
        <x:f>IF('Route List'!F164="","",'Route List'!F164)</x:f>
      </x:c>
      <x:c r="B164" s="90" t="str">
        <x:f>IF(A164="","",COUNTIFS(Trips!$D$6:$D$105,A164))</x:f>
      </x:c>
      <x:c r="C164" s="90" t="str">
        <x:f>IF(A164="","",SUMIFS(Trips!$M$6:$M$105,Trips!$D$6:$D$105,A164))</x:f>
      </x:c>
      <x:c r="D164" s="90" t="str">
        <x:f>IF(A164="","",SUMIFS(Trips!$N$6:$N$105,Trips!$D$6:$D$105,A164))</x:f>
      </x:c>
      <x:c r="E164" s="98" t="str">
        <x:f>IF(A164="","",SUMIFS(Trips!$O$6:$O$105,Trips!$D$6:$D$105,A164))</x:f>
      </x:c>
      <x:c r="F164" s="98" t="str">
        <x:f>IF(A164="","",SUMIFS(Trips!$P$6:$P$105,Trips!$D$6:$D$105,A164))</x:f>
      </x:c>
      <x:c r="G164" s="98" t="str">
        <x:f>IF(A164="","",SUMIFS(Trips!$Q$6:$Q$105,Trips!$D$6:$D$105,A164))</x:f>
      </x:c>
      <x:c r="H164" s="98" t="str">
        <x:f>IF(A164="","",SUMIFS(Trips!$R$6:$R$105,Trips!$D$6:$D$105,A164))</x:f>
      </x:c>
      <x:c r="I164" s="98" t="str">
        <x:f>IF(A164="","",SUMIFS(Trips!$S$6:$S$105,Trips!$D$6:$D$105,A164))</x:f>
      </x:c>
      <x:c r="J164" s="111"/>
      <x:c r="K164" s="111"/>
      <x:c r="L164" s="111"/>
      <x:c r="M164" s="111"/>
      <x:c r="N164" s="111"/>
      <x:c r="O164" s="111"/>
      <x:c r="P164" s="111"/>
      <x:c r="Q164" s="111"/>
      <x:c r="R164" s="111"/>
      <x:c r="S164" s="111"/>
      <x:c r="T164" s="111"/>
    </x:row>
    <x:row r="165" ht="28" customHeight="1">
      <x:c r="A165" s="107" t="str">
        <x:f>IF('Route List'!F165="","",'Route List'!F165)</x:f>
      </x:c>
      <x:c r="B165" s="90" t="str">
        <x:f>IF(A165="","",COUNTIFS(Trips!$D$6:$D$105,A165))</x:f>
      </x:c>
      <x:c r="C165" s="90" t="str">
        <x:f>IF(A165="","",SUMIFS(Trips!$M$6:$M$105,Trips!$D$6:$D$105,A165))</x:f>
      </x:c>
      <x:c r="D165" s="90" t="str">
        <x:f>IF(A165="","",SUMIFS(Trips!$N$6:$N$105,Trips!$D$6:$D$105,A165))</x:f>
      </x:c>
      <x:c r="E165" s="98" t="str">
        <x:f>IF(A165="","",SUMIFS(Trips!$O$6:$O$105,Trips!$D$6:$D$105,A165))</x:f>
      </x:c>
      <x:c r="F165" s="98" t="str">
        <x:f>IF(A165="","",SUMIFS(Trips!$P$6:$P$105,Trips!$D$6:$D$105,A165))</x:f>
      </x:c>
      <x:c r="G165" s="98" t="str">
        <x:f>IF(A165="","",SUMIFS(Trips!$Q$6:$Q$105,Trips!$D$6:$D$105,A165))</x:f>
      </x:c>
      <x:c r="H165" s="98" t="str">
        <x:f>IF(A165="","",SUMIFS(Trips!$R$6:$R$105,Trips!$D$6:$D$105,A165))</x:f>
      </x:c>
      <x:c r="I165" s="98" t="str">
        <x:f>IF(A165="","",SUMIFS(Trips!$S$6:$S$105,Trips!$D$6:$D$105,A165))</x:f>
      </x:c>
      <x:c r="J165" s="111"/>
      <x:c r="K165" s="111"/>
      <x:c r="L165" s="111"/>
      <x:c r="M165" s="111"/>
      <x:c r="N165" s="111"/>
      <x:c r="O165" s="111"/>
      <x:c r="P165" s="111"/>
      <x:c r="Q165" s="111"/>
      <x:c r="R165" s="111"/>
      <x:c r="S165" s="111"/>
      <x:c r="T165" s="111"/>
    </x:row>
    <x:row r="166" ht="28" customHeight="1">
      <x:c r="A166" s="107" t="str">
        <x:f>IF('Route List'!F166="","",'Route List'!F166)</x:f>
      </x:c>
      <x:c r="B166" s="90" t="str">
        <x:f>IF(A166="","",COUNTIFS(Trips!$D$6:$D$105,A166))</x:f>
      </x:c>
      <x:c r="C166" s="90" t="str">
        <x:f>IF(A166="","",SUMIFS(Trips!$M$6:$M$105,Trips!$D$6:$D$105,A166))</x:f>
      </x:c>
      <x:c r="D166" s="90" t="str">
        <x:f>IF(A166="","",SUMIFS(Trips!$N$6:$N$105,Trips!$D$6:$D$105,A166))</x:f>
      </x:c>
      <x:c r="E166" s="98" t="str">
        <x:f>IF(A166="","",SUMIFS(Trips!$O$6:$O$105,Trips!$D$6:$D$105,A166))</x:f>
      </x:c>
      <x:c r="F166" s="98" t="str">
        <x:f>IF(A166="","",SUMIFS(Trips!$P$6:$P$105,Trips!$D$6:$D$105,A166))</x:f>
      </x:c>
      <x:c r="G166" s="98" t="str">
        <x:f>IF(A166="","",SUMIFS(Trips!$Q$6:$Q$105,Trips!$D$6:$D$105,A166))</x:f>
      </x:c>
      <x:c r="H166" s="98" t="str">
        <x:f>IF(A166="","",SUMIFS(Trips!$R$6:$R$105,Trips!$D$6:$D$105,A166))</x:f>
      </x:c>
      <x:c r="I166" s="98" t="str">
        <x:f>IF(A166="","",SUMIFS(Trips!$S$6:$S$105,Trips!$D$6:$D$105,A166))</x:f>
      </x:c>
      <x:c r="J166" s="111"/>
      <x:c r="K166" s="111"/>
      <x:c r="L166" s="111"/>
      <x:c r="M166" s="111"/>
      <x:c r="N166" s="111"/>
      <x:c r="O166" s="111"/>
      <x:c r="P166" s="111"/>
      <x:c r="Q166" s="111"/>
      <x:c r="R166" s="111"/>
      <x:c r="S166" s="111"/>
      <x:c r="T166" s="111"/>
    </x:row>
    <x:row r="167" ht="28" customHeight="1">
      <x:c r="A167" s="107" t="str">
        <x:f>IF('Route List'!F167="","",'Route List'!F167)</x:f>
      </x:c>
      <x:c r="B167" s="90" t="str">
        <x:f>IF(A167="","",COUNTIFS(Trips!$D$6:$D$105,A167))</x:f>
      </x:c>
      <x:c r="C167" s="90" t="str">
        <x:f>IF(A167="","",SUMIFS(Trips!$M$6:$M$105,Trips!$D$6:$D$105,A167))</x:f>
      </x:c>
      <x:c r="D167" s="90" t="str">
        <x:f>IF(A167="","",SUMIFS(Trips!$N$6:$N$105,Trips!$D$6:$D$105,A167))</x:f>
      </x:c>
      <x:c r="E167" s="98" t="str">
        <x:f>IF(A167="","",SUMIFS(Trips!$O$6:$O$105,Trips!$D$6:$D$105,A167))</x:f>
      </x:c>
      <x:c r="F167" s="98" t="str">
        <x:f>IF(A167="","",SUMIFS(Trips!$P$6:$P$105,Trips!$D$6:$D$105,A167))</x:f>
      </x:c>
      <x:c r="G167" s="98" t="str">
        <x:f>IF(A167="","",SUMIFS(Trips!$Q$6:$Q$105,Trips!$D$6:$D$105,A167))</x:f>
      </x:c>
      <x:c r="H167" s="98" t="str">
        <x:f>IF(A167="","",SUMIFS(Trips!$R$6:$R$105,Trips!$D$6:$D$105,A167))</x:f>
      </x:c>
      <x:c r="I167" s="98" t="str">
        <x:f>IF(A167="","",SUMIFS(Trips!$S$6:$S$105,Trips!$D$6:$D$105,A167))</x:f>
      </x:c>
      <x:c r="J167" s="111"/>
      <x:c r="K167" s="111"/>
      <x:c r="L167" s="111"/>
      <x:c r="M167" s="111"/>
      <x:c r="N167" s="111"/>
      <x:c r="O167" s="111"/>
      <x:c r="P167" s="111"/>
      <x:c r="Q167" s="111"/>
      <x:c r="R167" s="111"/>
      <x:c r="S167" s="111"/>
      <x:c r="T167" s="111"/>
    </x:row>
    <x:row r="168" ht="28" customHeight="1">
      <x:c r="A168" s="107" t="str">
        <x:f>IF('Route List'!F168="","",'Route List'!F168)</x:f>
      </x:c>
      <x:c r="B168" s="90" t="str">
        <x:f>IF(A168="","",COUNTIFS(Trips!$D$6:$D$105,A168))</x:f>
      </x:c>
      <x:c r="C168" s="90" t="str">
        <x:f>IF(A168="","",SUMIFS(Trips!$M$6:$M$105,Trips!$D$6:$D$105,A168))</x:f>
      </x:c>
      <x:c r="D168" s="90" t="str">
        <x:f>IF(A168="","",SUMIFS(Trips!$N$6:$N$105,Trips!$D$6:$D$105,A168))</x:f>
      </x:c>
      <x:c r="E168" s="98" t="str">
        <x:f>IF(A168="","",SUMIFS(Trips!$O$6:$O$105,Trips!$D$6:$D$105,A168))</x:f>
      </x:c>
      <x:c r="F168" s="98" t="str">
        <x:f>IF(A168="","",SUMIFS(Trips!$P$6:$P$105,Trips!$D$6:$D$105,A168))</x:f>
      </x:c>
      <x:c r="G168" s="98" t="str">
        <x:f>IF(A168="","",SUMIFS(Trips!$Q$6:$Q$105,Trips!$D$6:$D$105,A168))</x:f>
      </x:c>
      <x:c r="H168" s="98" t="str">
        <x:f>IF(A168="","",SUMIFS(Trips!$R$6:$R$105,Trips!$D$6:$D$105,A168))</x:f>
      </x:c>
      <x:c r="I168" s="98" t="str">
        <x:f>IF(A168="","",SUMIFS(Trips!$S$6:$S$105,Trips!$D$6:$D$105,A168))</x:f>
      </x:c>
      <x:c r="J168" s="111"/>
      <x:c r="K168" s="111"/>
      <x:c r="L168" s="111"/>
      <x:c r="M168" s="111"/>
      <x:c r="N168" s="111"/>
      <x:c r="O168" s="111"/>
      <x:c r="P168" s="111"/>
      <x:c r="Q168" s="111"/>
      <x:c r="R168" s="111"/>
      <x:c r="S168" s="111"/>
      <x:c r="T168" s="111"/>
    </x:row>
    <x:row r="169" ht="28" customHeight="1">
      <x:c r="A169" s="107" t="str">
        <x:f>IF('Route List'!F169="","",'Route List'!F169)</x:f>
      </x:c>
      <x:c r="B169" s="90" t="str">
        <x:f>IF(A169="","",COUNTIFS(Trips!$D$6:$D$105,A169))</x:f>
      </x:c>
      <x:c r="C169" s="90" t="str">
        <x:f>IF(A169="","",SUMIFS(Trips!$M$6:$M$105,Trips!$D$6:$D$105,A169))</x:f>
      </x:c>
      <x:c r="D169" s="90" t="str">
        <x:f>IF(A169="","",SUMIFS(Trips!$N$6:$N$105,Trips!$D$6:$D$105,A169))</x:f>
      </x:c>
      <x:c r="E169" s="98" t="str">
        <x:f>IF(A169="","",SUMIFS(Trips!$O$6:$O$105,Trips!$D$6:$D$105,A169))</x:f>
      </x:c>
      <x:c r="F169" s="98" t="str">
        <x:f>IF(A169="","",SUMIFS(Trips!$P$6:$P$105,Trips!$D$6:$D$105,A169))</x:f>
      </x:c>
      <x:c r="G169" s="98" t="str">
        <x:f>IF(A169="","",SUMIFS(Trips!$Q$6:$Q$105,Trips!$D$6:$D$105,A169))</x:f>
      </x:c>
      <x:c r="H169" s="98" t="str">
        <x:f>IF(A169="","",SUMIFS(Trips!$R$6:$R$105,Trips!$D$6:$D$105,A169))</x:f>
      </x:c>
      <x:c r="I169" s="98" t="str">
        <x:f>IF(A169="","",SUMIFS(Trips!$S$6:$S$105,Trips!$D$6:$D$105,A169))</x:f>
      </x:c>
      <x:c r="J169" s="111"/>
      <x:c r="K169" s="111"/>
      <x:c r="L169" s="111"/>
      <x:c r="M169" s="111"/>
      <x:c r="N169" s="111"/>
      <x:c r="O169" s="111"/>
      <x:c r="P169" s="111"/>
      <x:c r="Q169" s="111"/>
      <x:c r="R169" s="111"/>
      <x:c r="S169" s="111"/>
      <x:c r="T169" s="111"/>
    </x:row>
    <x:row r="170" ht="28" customHeight="1">
      <x:c r="A170" s="107" t="str">
        <x:f>IF('Route List'!F170="","",'Route List'!F170)</x:f>
      </x:c>
      <x:c r="B170" s="90" t="str">
        <x:f>IF(A170="","",COUNTIFS(Trips!$D$6:$D$105,A170))</x:f>
      </x:c>
      <x:c r="C170" s="90" t="str">
        <x:f>IF(A170="","",SUMIFS(Trips!$M$6:$M$105,Trips!$D$6:$D$105,A170))</x:f>
      </x:c>
      <x:c r="D170" s="90" t="str">
        <x:f>IF(A170="","",SUMIFS(Trips!$N$6:$N$105,Trips!$D$6:$D$105,A170))</x:f>
      </x:c>
      <x:c r="E170" s="98" t="str">
        <x:f>IF(A170="","",SUMIFS(Trips!$O$6:$O$105,Trips!$D$6:$D$105,A170))</x:f>
      </x:c>
      <x:c r="F170" s="98" t="str">
        <x:f>IF(A170="","",SUMIFS(Trips!$P$6:$P$105,Trips!$D$6:$D$105,A170))</x:f>
      </x:c>
      <x:c r="G170" s="98" t="str">
        <x:f>IF(A170="","",SUMIFS(Trips!$Q$6:$Q$105,Trips!$D$6:$D$105,A170))</x:f>
      </x:c>
      <x:c r="H170" s="98" t="str">
        <x:f>IF(A170="","",SUMIFS(Trips!$R$6:$R$105,Trips!$D$6:$D$105,A170))</x:f>
      </x:c>
      <x:c r="I170" s="98" t="str">
        <x:f>IF(A170="","",SUMIFS(Trips!$S$6:$S$105,Trips!$D$6:$D$105,A170))</x:f>
      </x:c>
      <x:c r="J170" s="111"/>
      <x:c r="K170" s="111"/>
      <x:c r="L170" s="111"/>
      <x:c r="M170" s="111"/>
      <x:c r="N170" s="111"/>
      <x:c r="O170" s="111"/>
      <x:c r="P170" s="111"/>
      <x:c r="Q170" s="111"/>
      <x:c r="R170" s="111"/>
      <x:c r="S170" s="111"/>
      <x:c r="T170" s="111"/>
    </x:row>
    <x:row r="171" ht="28" customHeight="1">
      <x:c r="A171" s="107" t="str">
        <x:f>IF('Route List'!F171="","",'Route List'!F171)</x:f>
      </x:c>
      <x:c r="B171" s="90" t="str">
        <x:f>IF(A171="","",COUNTIFS(Trips!$D$6:$D$105,A171))</x:f>
      </x:c>
      <x:c r="C171" s="90" t="str">
        <x:f>IF(A171="","",SUMIFS(Trips!$M$6:$M$105,Trips!$D$6:$D$105,A171))</x:f>
      </x:c>
      <x:c r="D171" s="90" t="str">
        <x:f>IF(A171="","",SUMIFS(Trips!$N$6:$N$105,Trips!$D$6:$D$105,A171))</x:f>
      </x:c>
      <x:c r="E171" s="98" t="str">
        <x:f>IF(A171="","",SUMIFS(Trips!$O$6:$O$105,Trips!$D$6:$D$105,A171))</x:f>
      </x:c>
      <x:c r="F171" s="98" t="str">
        <x:f>IF(A171="","",SUMIFS(Trips!$P$6:$P$105,Trips!$D$6:$D$105,A171))</x:f>
      </x:c>
      <x:c r="G171" s="98" t="str">
        <x:f>IF(A171="","",SUMIFS(Trips!$Q$6:$Q$105,Trips!$D$6:$D$105,A171))</x:f>
      </x:c>
      <x:c r="H171" s="98" t="str">
        <x:f>IF(A171="","",SUMIFS(Trips!$R$6:$R$105,Trips!$D$6:$D$105,A171))</x:f>
      </x:c>
      <x:c r="I171" s="98" t="str">
        <x:f>IF(A171="","",SUMIFS(Trips!$S$6:$S$105,Trips!$D$6:$D$105,A171))</x:f>
      </x:c>
      <x:c r="J171" s="111"/>
      <x:c r="K171" s="111"/>
      <x:c r="L171" s="111"/>
      <x:c r="M171" s="111"/>
      <x:c r="N171" s="111"/>
      <x:c r="O171" s="111"/>
      <x:c r="P171" s="111"/>
      <x:c r="Q171" s="111"/>
      <x:c r="R171" s="111"/>
      <x:c r="S171" s="111"/>
      <x:c r="T171" s="111"/>
    </x:row>
    <x:row r="172" ht="28" customHeight="1">
      <x:c r="A172" s="107" t="str">
        <x:f>IF('Route List'!F172="","",'Route List'!F172)</x:f>
      </x:c>
      <x:c r="B172" s="90" t="str">
        <x:f>IF(A172="","",COUNTIFS(Trips!$D$6:$D$105,A172))</x:f>
      </x:c>
      <x:c r="C172" s="90" t="str">
        <x:f>IF(A172="","",SUMIFS(Trips!$M$6:$M$105,Trips!$D$6:$D$105,A172))</x:f>
      </x:c>
      <x:c r="D172" s="90" t="str">
        <x:f>IF(A172="","",SUMIFS(Trips!$N$6:$N$105,Trips!$D$6:$D$105,A172))</x:f>
      </x:c>
      <x:c r="E172" s="98" t="str">
        <x:f>IF(A172="","",SUMIFS(Trips!$O$6:$O$105,Trips!$D$6:$D$105,A172))</x:f>
      </x:c>
      <x:c r="F172" s="98" t="str">
        <x:f>IF(A172="","",SUMIFS(Trips!$P$6:$P$105,Trips!$D$6:$D$105,A172))</x:f>
      </x:c>
      <x:c r="G172" s="98" t="str">
        <x:f>IF(A172="","",SUMIFS(Trips!$Q$6:$Q$105,Trips!$D$6:$D$105,A172))</x:f>
      </x:c>
      <x:c r="H172" s="98" t="str">
        <x:f>IF(A172="","",SUMIFS(Trips!$R$6:$R$105,Trips!$D$6:$D$105,A172))</x:f>
      </x:c>
      <x:c r="I172" s="98" t="str">
        <x:f>IF(A172="","",SUMIFS(Trips!$S$6:$S$105,Trips!$D$6:$D$105,A172))</x:f>
      </x:c>
      <x:c r="J172" s="111"/>
      <x:c r="K172" s="111"/>
      <x:c r="L172" s="111"/>
      <x:c r="M172" s="111"/>
      <x:c r="N172" s="111"/>
      <x:c r="O172" s="111"/>
      <x:c r="P172" s="111"/>
      <x:c r="Q172" s="111"/>
      <x:c r="R172" s="111"/>
      <x:c r="S172" s="111"/>
      <x:c r="T172" s="111"/>
    </x:row>
    <x:row r="173" ht="28" customHeight="1">
      <x:c r="A173" s="107" t="str">
        <x:f>IF('Route List'!F173="","",'Route List'!F173)</x:f>
      </x:c>
      <x:c r="B173" s="90" t="str">
        <x:f>IF(A173="","",COUNTIFS(Trips!$D$6:$D$105,A173))</x:f>
      </x:c>
      <x:c r="C173" s="90" t="str">
        <x:f>IF(A173="","",SUMIFS(Trips!$M$6:$M$105,Trips!$D$6:$D$105,A173))</x:f>
      </x:c>
      <x:c r="D173" s="90" t="str">
        <x:f>IF(A173="","",SUMIFS(Trips!$N$6:$N$105,Trips!$D$6:$D$105,A173))</x:f>
      </x:c>
      <x:c r="E173" s="98" t="str">
        <x:f>IF(A173="","",SUMIFS(Trips!$O$6:$O$105,Trips!$D$6:$D$105,A173))</x:f>
      </x:c>
      <x:c r="F173" s="98" t="str">
        <x:f>IF(A173="","",SUMIFS(Trips!$P$6:$P$105,Trips!$D$6:$D$105,A173))</x:f>
      </x:c>
      <x:c r="G173" s="98" t="str">
        <x:f>IF(A173="","",SUMIFS(Trips!$Q$6:$Q$105,Trips!$D$6:$D$105,A173))</x:f>
      </x:c>
      <x:c r="H173" s="98" t="str">
        <x:f>IF(A173="","",SUMIFS(Trips!$R$6:$R$105,Trips!$D$6:$D$105,A173))</x:f>
      </x:c>
      <x:c r="I173" s="98" t="str">
        <x:f>IF(A173="","",SUMIFS(Trips!$S$6:$S$105,Trips!$D$6:$D$105,A173))</x:f>
      </x:c>
      <x:c r="J173" s="111"/>
      <x:c r="K173" s="111"/>
      <x:c r="L173" s="111"/>
      <x:c r="M173" s="111"/>
      <x:c r="N173" s="111"/>
      <x:c r="O173" s="111"/>
      <x:c r="P173" s="111"/>
      <x:c r="Q173" s="111"/>
      <x:c r="R173" s="111"/>
      <x:c r="S173" s="111"/>
      <x:c r="T173" s="111"/>
    </x:row>
    <x:row r="174" ht="28" customHeight="1">
      <x:c r="A174" s="107" t="str">
        <x:f>IF('Route List'!F174="","",'Route List'!F174)</x:f>
      </x:c>
      <x:c r="B174" s="90" t="str">
        <x:f>IF(A174="","",COUNTIFS(Trips!$D$6:$D$105,A174))</x:f>
      </x:c>
      <x:c r="C174" s="90" t="str">
        <x:f>IF(A174="","",SUMIFS(Trips!$M$6:$M$105,Trips!$D$6:$D$105,A174))</x:f>
      </x:c>
      <x:c r="D174" s="90" t="str">
        <x:f>IF(A174="","",SUMIFS(Trips!$N$6:$N$105,Trips!$D$6:$D$105,A174))</x:f>
      </x:c>
      <x:c r="E174" s="98" t="str">
        <x:f>IF(A174="","",SUMIFS(Trips!$O$6:$O$105,Trips!$D$6:$D$105,A174))</x:f>
      </x:c>
      <x:c r="F174" s="98" t="str">
        <x:f>IF(A174="","",SUMIFS(Trips!$P$6:$P$105,Trips!$D$6:$D$105,A174))</x:f>
      </x:c>
      <x:c r="G174" s="98" t="str">
        <x:f>IF(A174="","",SUMIFS(Trips!$Q$6:$Q$105,Trips!$D$6:$D$105,A174))</x:f>
      </x:c>
      <x:c r="H174" s="98" t="str">
        <x:f>IF(A174="","",SUMIFS(Trips!$R$6:$R$105,Trips!$D$6:$D$105,A174))</x:f>
      </x:c>
      <x:c r="I174" s="98" t="str">
        <x:f>IF(A174="","",SUMIFS(Trips!$S$6:$S$105,Trips!$D$6:$D$105,A174))</x:f>
      </x:c>
      <x:c r="J174" s="111"/>
      <x:c r="K174" s="111"/>
      <x:c r="L174" s="111"/>
      <x:c r="M174" s="111"/>
      <x:c r="N174" s="111"/>
      <x:c r="O174" s="111"/>
      <x:c r="P174" s="111"/>
      <x:c r="Q174" s="111"/>
      <x:c r="R174" s="111"/>
      <x:c r="S174" s="111"/>
      <x:c r="T174" s="111"/>
    </x:row>
    <x:row r="175" ht="28" customHeight="1">
      <x:c r="A175" s="107" t="str">
        <x:f>IF('Route List'!F175="","",'Route List'!F175)</x:f>
      </x:c>
      <x:c r="B175" s="90" t="str">
        <x:f>IF(A175="","",COUNTIFS(Trips!$D$6:$D$105,A175))</x:f>
      </x:c>
      <x:c r="C175" s="90" t="str">
        <x:f>IF(A175="","",SUMIFS(Trips!$M$6:$M$105,Trips!$D$6:$D$105,A175))</x:f>
      </x:c>
      <x:c r="D175" s="90" t="str">
        <x:f>IF(A175="","",SUMIFS(Trips!$N$6:$N$105,Trips!$D$6:$D$105,A175))</x:f>
      </x:c>
      <x:c r="E175" s="98" t="str">
        <x:f>IF(A175="","",SUMIFS(Trips!$O$6:$O$105,Trips!$D$6:$D$105,A175))</x:f>
      </x:c>
      <x:c r="F175" s="98" t="str">
        <x:f>IF(A175="","",SUMIFS(Trips!$P$6:$P$105,Trips!$D$6:$D$105,A175))</x:f>
      </x:c>
      <x:c r="G175" s="98" t="str">
        <x:f>IF(A175="","",SUMIFS(Trips!$Q$6:$Q$105,Trips!$D$6:$D$105,A175))</x:f>
      </x:c>
      <x:c r="H175" s="98" t="str">
        <x:f>IF(A175="","",SUMIFS(Trips!$R$6:$R$105,Trips!$D$6:$D$105,A175))</x:f>
      </x:c>
      <x:c r="I175" s="98" t="str">
        <x:f>IF(A175="","",SUMIFS(Trips!$S$6:$S$105,Trips!$D$6:$D$105,A175))</x:f>
      </x:c>
      <x:c r="J175" s="111"/>
      <x:c r="K175" s="111"/>
      <x:c r="L175" s="111"/>
      <x:c r="M175" s="111"/>
      <x:c r="N175" s="111"/>
      <x:c r="O175" s="111"/>
      <x:c r="P175" s="111"/>
      <x:c r="Q175" s="111"/>
      <x:c r="R175" s="111"/>
      <x:c r="S175" s="111"/>
      <x:c r="T175" s="111"/>
    </x:row>
    <x:row r="176" ht="28" customHeight="1">
      <x:c r="A176" s="107" t="str">
        <x:f>IF('Route List'!F176="","",'Route List'!F176)</x:f>
      </x:c>
      <x:c r="B176" s="90" t="str">
        <x:f>IF(A176="","",COUNTIFS(Trips!$D$6:$D$105,A176))</x:f>
      </x:c>
      <x:c r="C176" s="90" t="str">
        <x:f>IF(A176="","",SUMIFS(Trips!$M$6:$M$105,Trips!$D$6:$D$105,A176))</x:f>
      </x:c>
      <x:c r="D176" s="90" t="str">
        <x:f>IF(A176="","",SUMIFS(Trips!$N$6:$N$105,Trips!$D$6:$D$105,A176))</x:f>
      </x:c>
      <x:c r="E176" s="98" t="str">
        <x:f>IF(A176="","",SUMIFS(Trips!$O$6:$O$105,Trips!$D$6:$D$105,A176))</x:f>
      </x:c>
      <x:c r="F176" s="98" t="str">
        <x:f>IF(A176="","",SUMIFS(Trips!$P$6:$P$105,Trips!$D$6:$D$105,A176))</x:f>
      </x:c>
      <x:c r="G176" s="98" t="str">
        <x:f>IF(A176="","",SUMIFS(Trips!$Q$6:$Q$105,Trips!$D$6:$D$105,A176))</x:f>
      </x:c>
      <x:c r="H176" s="98" t="str">
        <x:f>IF(A176="","",SUMIFS(Trips!$R$6:$R$105,Trips!$D$6:$D$105,A176))</x:f>
      </x:c>
      <x:c r="I176" s="98" t="str">
        <x:f>IF(A176="","",SUMIFS(Trips!$S$6:$S$105,Trips!$D$6:$D$105,A176))</x:f>
      </x:c>
      <x:c r="J176" s="111"/>
      <x:c r="K176" s="111"/>
      <x:c r="L176" s="111"/>
      <x:c r="M176" s="111"/>
      <x:c r="N176" s="111"/>
      <x:c r="O176" s="111"/>
      <x:c r="P176" s="111"/>
      <x:c r="Q176" s="111"/>
      <x:c r="R176" s="111"/>
      <x:c r="S176" s="111"/>
      <x:c r="T176" s="111"/>
    </x:row>
    <x:row r="177" ht="28" customHeight="1">
      <x:c r="A177" s="107" t="str">
        <x:f>IF('Route List'!F177="","",'Route List'!F177)</x:f>
      </x:c>
      <x:c r="B177" s="90" t="str">
        <x:f>IF(A177="","",COUNTIFS(Trips!$D$6:$D$105,A177))</x:f>
      </x:c>
      <x:c r="C177" s="90" t="str">
        <x:f>IF(A177="","",SUMIFS(Trips!$M$6:$M$105,Trips!$D$6:$D$105,A177))</x:f>
      </x:c>
      <x:c r="D177" s="90" t="str">
        <x:f>IF(A177="","",SUMIFS(Trips!$N$6:$N$105,Trips!$D$6:$D$105,A177))</x:f>
      </x:c>
      <x:c r="E177" s="98" t="str">
        <x:f>IF(A177="","",SUMIFS(Trips!$O$6:$O$105,Trips!$D$6:$D$105,A177))</x:f>
      </x:c>
      <x:c r="F177" s="98" t="str">
        <x:f>IF(A177="","",SUMIFS(Trips!$P$6:$P$105,Trips!$D$6:$D$105,A177))</x:f>
      </x:c>
      <x:c r="G177" s="98" t="str">
        <x:f>IF(A177="","",SUMIFS(Trips!$Q$6:$Q$105,Trips!$D$6:$D$105,A177))</x:f>
      </x:c>
      <x:c r="H177" s="98" t="str">
        <x:f>IF(A177="","",SUMIFS(Trips!$R$6:$R$105,Trips!$D$6:$D$105,A177))</x:f>
      </x:c>
      <x:c r="I177" s="98" t="str">
        <x:f>IF(A177="","",SUMIFS(Trips!$S$6:$S$105,Trips!$D$6:$D$105,A177))</x:f>
      </x:c>
      <x:c r="J177" s="111"/>
      <x:c r="K177" s="111"/>
      <x:c r="L177" s="111"/>
      <x:c r="M177" s="111"/>
      <x:c r="N177" s="111"/>
      <x:c r="O177" s="111"/>
      <x:c r="P177" s="111"/>
      <x:c r="Q177" s="111"/>
      <x:c r="R177" s="111"/>
      <x:c r="S177" s="111"/>
      <x:c r="T177" s="111"/>
    </x:row>
    <x:row r="178" ht="28" customHeight="1">
      <x:c r="A178" s="107" t="str">
        <x:f>IF('Route List'!F178="","",'Route List'!F178)</x:f>
      </x:c>
      <x:c r="B178" s="90" t="str">
        <x:f>IF(A178="","",COUNTIFS(Trips!$D$6:$D$105,A178))</x:f>
      </x:c>
      <x:c r="C178" s="90" t="str">
        <x:f>IF(A178="","",SUMIFS(Trips!$M$6:$M$105,Trips!$D$6:$D$105,A178))</x:f>
      </x:c>
      <x:c r="D178" s="90" t="str">
        <x:f>IF(A178="","",SUMIFS(Trips!$N$6:$N$105,Trips!$D$6:$D$105,A178))</x:f>
      </x:c>
      <x:c r="E178" s="98" t="str">
        <x:f>IF(A178="","",SUMIFS(Trips!$O$6:$O$105,Trips!$D$6:$D$105,A178))</x:f>
      </x:c>
      <x:c r="F178" s="98" t="str">
        <x:f>IF(A178="","",SUMIFS(Trips!$P$6:$P$105,Trips!$D$6:$D$105,A178))</x:f>
      </x:c>
      <x:c r="G178" s="98" t="str">
        <x:f>IF(A178="","",SUMIFS(Trips!$Q$6:$Q$105,Trips!$D$6:$D$105,A178))</x:f>
      </x:c>
      <x:c r="H178" s="98" t="str">
        <x:f>IF(A178="","",SUMIFS(Trips!$R$6:$R$105,Trips!$D$6:$D$105,A178))</x:f>
      </x:c>
      <x:c r="I178" s="98" t="str">
        <x:f>IF(A178="","",SUMIFS(Trips!$S$6:$S$105,Trips!$D$6:$D$105,A178))</x:f>
      </x:c>
      <x:c r="J178" s="111"/>
      <x:c r="K178" s="111"/>
      <x:c r="L178" s="111"/>
      <x:c r="M178" s="111"/>
      <x:c r="N178" s="111"/>
      <x:c r="O178" s="111"/>
      <x:c r="P178" s="111"/>
      <x:c r="Q178" s="111"/>
      <x:c r="R178" s="111"/>
      <x:c r="S178" s="111"/>
      <x:c r="T178" s="111"/>
    </x:row>
    <x:row r="179" ht="28" customHeight="1">
      <x:c r="A179" s="107" t="str">
        <x:f>IF('Route List'!F179="","",'Route List'!F179)</x:f>
      </x:c>
      <x:c r="B179" s="90" t="str">
        <x:f>IF(A179="","",COUNTIFS(Trips!$D$6:$D$105,A179))</x:f>
      </x:c>
      <x:c r="C179" s="90" t="str">
        <x:f>IF(A179="","",SUMIFS(Trips!$M$6:$M$105,Trips!$D$6:$D$105,A179))</x:f>
      </x:c>
      <x:c r="D179" s="90" t="str">
        <x:f>IF(A179="","",SUMIFS(Trips!$N$6:$N$105,Trips!$D$6:$D$105,A179))</x:f>
      </x:c>
      <x:c r="E179" s="98" t="str">
        <x:f>IF(A179="","",SUMIFS(Trips!$O$6:$O$105,Trips!$D$6:$D$105,A179))</x:f>
      </x:c>
      <x:c r="F179" s="98" t="str">
        <x:f>IF(A179="","",SUMIFS(Trips!$P$6:$P$105,Trips!$D$6:$D$105,A179))</x:f>
      </x:c>
      <x:c r="G179" s="98" t="str">
        <x:f>IF(A179="","",SUMIFS(Trips!$Q$6:$Q$105,Trips!$D$6:$D$105,A179))</x:f>
      </x:c>
      <x:c r="H179" s="98" t="str">
        <x:f>IF(A179="","",SUMIFS(Trips!$R$6:$R$105,Trips!$D$6:$D$105,A179))</x:f>
      </x:c>
      <x:c r="I179" s="98" t="str">
        <x:f>IF(A179="","",SUMIFS(Trips!$S$6:$S$105,Trips!$D$6:$D$105,A179))</x:f>
      </x:c>
      <x:c r="J179" s="111"/>
      <x:c r="K179" s="111"/>
      <x:c r="L179" s="111"/>
      <x:c r="M179" s="111"/>
      <x:c r="N179" s="111"/>
      <x:c r="O179" s="111"/>
      <x:c r="P179" s="111"/>
      <x:c r="Q179" s="111"/>
      <x:c r="R179" s="111"/>
      <x:c r="S179" s="111"/>
      <x:c r="T179" s="111"/>
    </x:row>
    <x:row r="180" ht="28" customHeight="1">
      <x:c r="A180" s="107" t="str">
        <x:f>IF('Route List'!F180="","",'Route List'!F180)</x:f>
      </x:c>
      <x:c r="B180" s="90" t="str">
        <x:f>IF(A180="","",COUNTIFS(Trips!$D$6:$D$105,A180))</x:f>
      </x:c>
      <x:c r="C180" s="90" t="str">
        <x:f>IF(A180="","",SUMIFS(Trips!$M$6:$M$105,Trips!$D$6:$D$105,A180))</x:f>
      </x:c>
      <x:c r="D180" s="90" t="str">
        <x:f>IF(A180="","",SUMIFS(Trips!$N$6:$N$105,Trips!$D$6:$D$105,A180))</x:f>
      </x:c>
      <x:c r="E180" s="98" t="str">
        <x:f>IF(A180="","",SUMIFS(Trips!$O$6:$O$105,Trips!$D$6:$D$105,A180))</x:f>
      </x:c>
      <x:c r="F180" s="98" t="str">
        <x:f>IF(A180="","",SUMIFS(Trips!$P$6:$P$105,Trips!$D$6:$D$105,A180))</x:f>
      </x:c>
      <x:c r="G180" s="98" t="str">
        <x:f>IF(A180="","",SUMIFS(Trips!$Q$6:$Q$105,Trips!$D$6:$D$105,A180))</x:f>
      </x:c>
      <x:c r="H180" s="98" t="str">
        <x:f>IF(A180="","",SUMIFS(Trips!$R$6:$R$105,Trips!$D$6:$D$105,A180))</x:f>
      </x:c>
      <x:c r="I180" s="98" t="str">
        <x:f>IF(A180="","",SUMIFS(Trips!$S$6:$S$105,Trips!$D$6:$D$105,A180))</x:f>
      </x:c>
      <x:c r="J180" s="111"/>
      <x:c r="K180" s="111"/>
      <x:c r="L180" s="111"/>
      <x:c r="M180" s="111"/>
      <x:c r="N180" s="111"/>
      <x:c r="O180" s="111"/>
      <x:c r="P180" s="111"/>
      <x:c r="Q180" s="111"/>
      <x:c r="R180" s="111"/>
      <x:c r="S180" s="111"/>
      <x:c r="T180" s="111"/>
    </x:row>
    <x:row r="181" ht="28" customHeight="1">
      <x:c r="A181" s="107" t="str">
        <x:f>IF('Route List'!F181="","",'Route List'!F181)</x:f>
      </x:c>
      <x:c r="B181" s="90" t="str">
        <x:f>IF(A181="","",COUNTIFS(Trips!$D$6:$D$105,A181))</x:f>
      </x:c>
      <x:c r="C181" s="90" t="str">
        <x:f>IF(A181="","",SUMIFS(Trips!$M$6:$M$105,Trips!$D$6:$D$105,A181))</x:f>
      </x:c>
      <x:c r="D181" s="90" t="str">
        <x:f>IF(A181="","",SUMIFS(Trips!$N$6:$N$105,Trips!$D$6:$D$105,A181))</x:f>
      </x:c>
      <x:c r="E181" s="98" t="str">
        <x:f>IF(A181="","",SUMIFS(Trips!$O$6:$O$105,Trips!$D$6:$D$105,A181))</x:f>
      </x:c>
      <x:c r="F181" s="98" t="str">
        <x:f>IF(A181="","",SUMIFS(Trips!$P$6:$P$105,Trips!$D$6:$D$105,A181))</x:f>
      </x:c>
      <x:c r="G181" s="98" t="str">
        <x:f>IF(A181="","",SUMIFS(Trips!$Q$6:$Q$105,Trips!$D$6:$D$105,A181))</x:f>
      </x:c>
      <x:c r="H181" s="98" t="str">
        <x:f>IF(A181="","",SUMIFS(Trips!$R$6:$R$105,Trips!$D$6:$D$105,A181))</x:f>
      </x:c>
      <x:c r="I181" s="98" t="str">
        <x:f>IF(A181="","",SUMIFS(Trips!$S$6:$S$105,Trips!$D$6:$D$105,A181))</x:f>
      </x:c>
      <x:c r="J181" s="111"/>
      <x:c r="K181" s="111"/>
      <x:c r="L181" s="111"/>
      <x:c r="M181" s="111"/>
      <x:c r="N181" s="111"/>
      <x:c r="O181" s="111"/>
      <x:c r="P181" s="111"/>
      <x:c r="Q181" s="111"/>
      <x:c r="R181" s="111"/>
      <x:c r="S181" s="111"/>
      <x:c r="T181" s="111"/>
    </x:row>
    <x:row r="182" ht="28" customHeight="1">
      <x:c r="A182" s="107" t="str">
        <x:f>IF('Route List'!F182="","",'Route List'!F182)</x:f>
      </x:c>
      <x:c r="B182" s="90" t="str">
        <x:f>IF(A182="","",COUNTIFS(Trips!$D$6:$D$105,A182))</x:f>
      </x:c>
      <x:c r="C182" s="90" t="str">
        <x:f>IF(A182="","",SUMIFS(Trips!$M$6:$M$105,Trips!$D$6:$D$105,A182))</x:f>
      </x:c>
      <x:c r="D182" s="90" t="str">
        <x:f>IF(A182="","",SUMIFS(Trips!$N$6:$N$105,Trips!$D$6:$D$105,A182))</x:f>
      </x:c>
      <x:c r="E182" s="98" t="str">
        <x:f>IF(A182="","",SUMIFS(Trips!$O$6:$O$105,Trips!$D$6:$D$105,A182))</x:f>
      </x:c>
      <x:c r="F182" s="98" t="str">
        <x:f>IF(A182="","",SUMIFS(Trips!$P$6:$P$105,Trips!$D$6:$D$105,A182))</x:f>
      </x:c>
      <x:c r="G182" s="98" t="str">
        <x:f>IF(A182="","",SUMIFS(Trips!$Q$6:$Q$105,Trips!$D$6:$D$105,A182))</x:f>
      </x:c>
      <x:c r="H182" s="98" t="str">
        <x:f>IF(A182="","",SUMIFS(Trips!$R$6:$R$105,Trips!$D$6:$D$105,A182))</x:f>
      </x:c>
      <x:c r="I182" s="98" t="str">
        <x:f>IF(A182="","",SUMIFS(Trips!$S$6:$S$105,Trips!$D$6:$D$105,A182))</x:f>
      </x:c>
      <x:c r="J182" s="111"/>
      <x:c r="K182" s="111"/>
      <x:c r="L182" s="111"/>
      <x:c r="M182" s="111"/>
      <x:c r="N182" s="111"/>
      <x:c r="O182" s="111"/>
      <x:c r="P182" s="111"/>
      <x:c r="Q182" s="111"/>
      <x:c r="R182" s="111"/>
      <x:c r="S182" s="111"/>
      <x:c r="T182" s="111"/>
    </x:row>
    <x:row r="183" ht="28" customHeight="1">
      <x:c r="A183" s="107" t="str">
        <x:f>IF('Route List'!F183="","",'Route List'!F183)</x:f>
      </x:c>
      <x:c r="B183" s="90" t="str">
        <x:f>IF(A183="","",COUNTIFS(Trips!$D$6:$D$105,A183))</x:f>
      </x:c>
      <x:c r="C183" s="90" t="str">
        <x:f>IF(A183="","",SUMIFS(Trips!$M$6:$M$105,Trips!$D$6:$D$105,A183))</x:f>
      </x:c>
      <x:c r="D183" s="90" t="str">
        <x:f>IF(A183="","",SUMIFS(Trips!$N$6:$N$105,Trips!$D$6:$D$105,A183))</x:f>
      </x:c>
      <x:c r="E183" s="98" t="str">
        <x:f>IF(A183="","",SUMIFS(Trips!$O$6:$O$105,Trips!$D$6:$D$105,A183))</x:f>
      </x:c>
      <x:c r="F183" s="98" t="str">
        <x:f>IF(A183="","",SUMIFS(Trips!$P$6:$P$105,Trips!$D$6:$D$105,A183))</x:f>
      </x:c>
      <x:c r="G183" s="98" t="str">
        <x:f>IF(A183="","",SUMIFS(Trips!$Q$6:$Q$105,Trips!$D$6:$D$105,A183))</x:f>
      </x:c>
      <x:c r="H183" s="98" t="str">
        <x:f>IF(A183="","",SUMIFS(Trips!$R$6:$R$105,Trips!$D$6:$D$105,A183))</x:f>
      </x:c>
      <x:c r="I183" s="98" t="str">
        <x:f>IF(A183="","",SUMIFS(Trips!$S$6:$S$105,Trips!$D$6:$D$105,A183))</x:f>
      </x:c>
      <x:c r="J183" s="111"/>
      <x:c r="K183" s="111"/>
      <x:c r="L183" s="111"/>
      <x:c r="M183" s="111"/>
      <x:c r="N183" s="111"/>
      <x:c r="O183" s="111"/>
      <x:c r="P183" s="111"/>
      <x:c r="Q183" s="111"/>
      <x:c r="R183" s="111"/>
      <x:c r="S183" s="111"/>
      <x:c r="T183" s="111"/>
    </x:row>
    <x:row r="184" ht="28" customHeight="1">
      <x:c r="A184" s="107" t="str">
        <x:f>IF('Route List'!F184="","",'Route List'!F184)</x:f>
      </x:c>
      <x:c r="B184" s="90" t="str">
        <x:f>IF(A184="","",COUNTIFS(Trips!$D$6:$D$105,A184))</x:f>
      </x:c>
      <x:c r="C184" s="90" t="str">
        <x:f>IF(A184="","",SUMIFS(Trips!$M$6:$M$105,Trips!$D$6:$D$105,A184))</x:f>
      </x:c>
      <x:c r="D184" s="90" t="str">
        <x:f>IF(A184="","",SUMIFS(Trips!$N$6:$N$105,Trips!$D$6:$D$105,A184))</x:f>
      </x:c>
      <x:c r="E184" s="98" t="str">
        <x:f>IF(A184="","",SUMIFS(Trips!$O$6:$O$105,Trips!$D$6:$D$105,A184))</x:f>
      </x:c>
      <x:c r="F184" s="98" t="str">
        <x:f>IF(A184="","",SUMIFS(Trips!$P$6:$P$105,Trips!$D$6:$D$105,A184))</x:f>
      </x:c>
      <x:c r="G184" s="98" t="str">
        <x:f>IF(A184="","",SUMIFS(Trips!$Q$6:$Q$105,Trips!$D$6:$D$105,A184))</x:f>
      </x:c>
      <x:c r="H184" s="98" t="str">
        <x:f>IF(A184="","",SUMIFS(Trips!$R$6:$R$105,Trips!$D$6:$D$105,A184))</x:f>
      </x:c>
      <x:c r="I184" s="98" t="str">
        <x:f>IF(A184="","",SUMIFS(Trips!$S$6:$S$105,Trips!$D$6:$D$105,A184))</x:f>
      </x:c>
      <x:c r="J184" s="111"/>
      <x:c r="K184" s="111"/>
      <x:c r="L184" s="111"/>
      <x:c r="M184" s="111"/>
      <x:c r="N184" s="111"/>
      <x:c r="O184" s="111"/>
      <x:c r="P184" s="111"/>
      <x:c r="Q184" s="111"/>
      <x:c r="R184" s="111"/>
      <x:c r="S184" s="111"/>
      <x:c r="T184" s="111"/>
    </x:row>
    <x:row r="185" ht="28" customHeight="1">
      <x:c r="A185" s="107" t="str">
        <x:f>IF('Route List'!F185="","",'Route List'!F185)</x:f>
      </x:c>
      <x:c r="B185" s="90" t="str">
        <x:f>IF(A185="","",COUNTIFS(Trips!$D$6:$D$105,A185))</x:f>
      </x:c>
      <x:c r="C185" s="90" t="str">
        <x:f>IF(A185="","",SUMIFS(Trips!$M$6:$M$105,Trips!$D$6:$D$105,A185))</x:f>
      </x:c>
      <x:c r="D185" s="90" t="str">
        <x:f>IF(A185="","",SUMIFS(Trips!$N$6:$N$105,Trips!$D$6:$D$105,A185))</x:f>
      </x:c>
      <x:c r="E185" s="98" t="str">
        <x:f>IF(A185="","",SUMIFS(Trips!$O$6:$O$105,Trips!$D$6:$D$105,A185))</x:f>
      </x:c>
      <x:c r="F185" s="98" t="str">
        <x:f>IF(A185="","",SUMIFS(Trips!$P$6:$P$105,Trips!$D$6:$D$105,A185))</x:f>
      </x:c>
      <x:c r="G185" s="98" t="str">
        <x:f>IF(A185="","",SUMIFS(Trips!$Q$6:$Q$105,Trips!$D$6:$D$105,A185))</x:f>
      </x:c>
      <x:c r="H185" s="98" t="str">
        <x:f>IF(A185="","",SUMIFS(Trips!$R$6:$R$105,Trips!$D$6:$D$105,A185))</x:f>
      </x:c>
      <x:c r="I185" s="98" t="str">
        <x:f>IF(A185="","",SUMIFS(Trips!$S$6:$S$105,Trips!$D$6:$D$105,A185))</x:f>
      </x:c>
      <x:c r="J185" s="111"/>
      <x:c r="K185" s="111"/>
      <x:c r="L185" s="111"/>
      <x:c r="M185" s="111"/>
      <x:c r="N185" s="111"/>
      <x:c r="O185" s="111"/>
      <x:c r="P185" s="111"/>
      <x:c r="Q185" s="111"/>
      <x:c r="R185" s="111"/>
      <x:c r="S185" s="111"/>
      <x:c r="T185" s="111"/>
    </x:row>
    <x:row r="186" ht="28" customHeight="1">
      <x:c r="A186" s="107" t="str">
        <x:f>IF('Route List'!F186="","",'Route List'!F186)</x:f>
      </x:c>
      <x:c r="B186" s="90" t="str">
        <x:f>IF(A186="","",COUNTIFS(Trips!$D$6:$D$105,A186))</x:f>
      </x:c>
      <x:c r="C186" s="90" t="str">
        <x:f>IF(A186="","",SUMIFS(Trips!$M$6:$M$105,Trips!$D$6:$D$105,A186))</x:f>
      </x:c>
      <x:c r="D186" s="90" t="str">
        <x:f>IF(A186="","",SUMIFS(Trips!$N$6:$N$105,Trips!$D$6:$D$105,A186))</x:f>
      </x:c>
      <x:c r="E186" s="98" t="str">
        <x:f>IF(A186="","",SUMIFS(Trips!$O$6:$O$105,Trips!$D$6:$D$105,A186))</x:f>
      </x:c>
      <x:c r="F186" s="98" t="str">
        <x:f>IF(A186="","",SUMIFS(Trips!$P$6:$P$105,Trips!$D$6:$D$105,A186))</x:f>
      </x:c>
      <x:c r="G186" s="98" t="str">
        <x:f>IF(A186="","",SUMIFS(Trips!$Q$6:$Q$105,Trips!$D$6:$D$105,A186))</x:f>
      </x:c>
      <x:c r="H186" s="98" t="str">
        <x:f>IF(A186="","",SUMIFS(Trips!$R$6:$R$105,Trips!$D$6:$D$105,A186))</x:f>
      </x:c>
      <x:c r="I186" s="98" t="str">
        <x:f>IF(A186="","",SUMIFS(Trips!$S$6:$S$105,Trips!$D$6:$D$105,A186))</x:f>
      </x:c>
      <x:c r="J186" s="111"/>
      <x:c r="K186" s="111"/>
      <x:c r="L186" s="111"/>
      <x:c r="M186" s="111"/>
      <x:c r="N186" s="111"/>
      <x:c r="O186" s="111"/>
      <x:c r="P186" s="111"/>
      <x:c r="Q186" s="111"/>
      <x:c r="R186" s="111"/>
      <x:c r="S186" s="111"/>
      <x:c r="T186" s="111"/>
    </x:row>
    <x:row r="187" ht="28" customHeight="1">
      <x:c r="A187" s="107" t="str">
        <x:f>IF('Route List'!F187="","",'Route List'!F187)</x:f>
      </x:c>
      <x:c r="B187" s="90" t="str">
        <x:f>IF(A187="","",COUNTIFS(Trips!$D$6:$D$105,A187))</x:f>
      </x:c>
      <x:c r="C187" s="90" t="str">
        <x:f>IF(A187="","",SUMIFS(Trips!$M$6:$M$105,Trips!$D$6:$D$105,A187))</x:f>
      </x:c>
      <x:c r="D187" s="90" t="str">
        <x:f>IF(A187="","",SUMIFS(Trips!$N$6:$N$105,Trips!$D$6:$D$105,A187))</x:f>
      </x:c>
      <x:c r="E187" s="98" t="str">
        <x:f>IF(A187="","",SUMIFS(Trips!$O$6:$O$105,Trips!$D$6:$D$105,A187))</x:f>
      </x:c>
      <x:c r="F187" s="98" t="str">
        <x:f>IF(A187="","",SUMIFS(Trips!$P$6:$P$105,Trips!$D$6:$D$105,A187))</x:f>
      </x:c>
      <x:c r="G187" s="98" t="str">
        <x:f>IF(A187="","",SUMIFS(Trips!$Q$6:$Q$105,Trips!$D$6:$D$105,A187))</x:f>
      </x:c>
      <x:c r="H187" s="98" t="str">
        <x:f>IF(A187="","",SUMIFS(Trips!$R$6:$R$105,Trips!$D$6:$D$105,A187))</x:f>
      </x:c>
      <x:c r="I187" s="98" t="str">
        <x:f>IF(A187="","",SUMIFS(Trips!$S$6:$S$105,Trips!$D$6:$D$105,A187))</x:f>
      </x:c>
      <x:c r="J187" s="111"/>
      <x:c r="K187" s="111"/>
      <x:c r="L187" s="111"/>
      <x:c r="M187" s="111"/>
      <x:c r="N187" s="111"/>
      <x:c r="O187" s="111"/>
      <x:c r="P187" s="111"/>
      <x:c r="Q187" s="111"/>
      <x:c r="R187" s="111"/>
      <x:c r="S187" s="111"/>
      <x:c r="T187" s="111"/>
    </x:row>
    <x:row r="188" ht="28" customHeight="1">
      <x:c r="A188" s="107" t="str">
        <x:f>IF('Route List'!F188="","",'Route List'!F188)</x:f>
      </x:c>
      <x:c r="B188" s="90" t="str">
        <x:f>IF(A188="","",COUNTIFS(Trips!$D$6:$D$105,A188))</x:f>
      </x:c>
      <x:c r="C188" s="90" t="str">
        <x:f>IF(A188="","",SUMIFS(Trips!$M$6:$M$105,Trips!$D$6:$D$105,A188))</x:f>
      </x:c>
      <x:c r="D188" s="90" t="str">
        <x:f>IF(A188="","",SUMIFS(Trips!$N$6:$N$105,Trips!$D$6:$D$105,A188))</x:f>
      </x:c>
      <x:c r="E188" s="98" t="str">
        <x:f>IF(A188="","",SUMIFS(Trips!$O$6:$O$105,Trips!$D$6:$D$105,A188))</x:f>
      </x:c>
      <x:c r="F188" s="98" t="str">
        <x:f>IF(A188="","",SUMIFS(Trips!$P$6:$P$105,Trips!$D$6:$D$105,A188))</x:f>
      </x:c>
      <x:c r="G188" s="98" t="str">
        <x:f>IF(A188="","",SUMIFS(Trips!$Q$6:$Q$105,Trips!$D$6:$D$105,A188))</x:f>
      </x:c>
      <x:c r="H188" s="98" t="str">
        <x:f>IF(A188="","",SUMIFS(Trips!$R$6:$R$105,Trips!$D$6:$D$105,A188))</x:f>
      </x:c>
      <x:c r="I188" s="98" t="str">
        <x:f>IF(A188="","",SUMIFS(Trips!$S$6:$S$105,Trips!$D$6:$D$105,A188))</x:f>
      </x:c>
      <x:c r="J188" s="111"/>
      <x:c r="K188" s="111"/>
      <x:c r="L188" s="111"/>
      <x:c r="M188" s="111"/>
      <x:c r="N188" s="111"/>
      <x:c r="O188" s="111"/>
      <x:c r="P188" s="111"/>
      <x:c r="Q188" s="111"/>
      <x:c r="R188" s="111"/>
      <x:c r="S188" s="111"/>
      <x:c r="T188" s="111"/>
    </x:row>
    <x:row r="189" ht="28" customHeight="1">
      <x:c r="A189" s="107" t="str">
        <x:f>IF('Route List'!F189="","",'Route List'!F189)</x:f>
      </x:c>
      <x:c r="B189" s="90" t="str">
        <x:f>IF(A189="","",COUNTIFS(Trips!$D$6:$D$105,A189))</x:f>
      </x:c>
      <x:c r="C189" s="90" t="str">
        <x:f>IF(A189="","",SUMIFS(Trips!$M$6:$M$105,Trips!$D$6:$D$105,A189))</x:f>
      </x:c>
      <x:c r="D189" s="90" t="str">
        <x:f>IF(A189="","",SUMIFS(Trips!$N$6:$N$105,Trips!$D$6:$D$105,A189))</x:f>
      </x:c>
      <x:c r="E189" s="98" t="str">
        <x:f>IF(A189="","",SUMIFS(Trips!$O$6:$O$105,Trips!$D$6:$D$105,A189))</x:f>
      </x:c>
      <x:c r="F189" s="98" t="str">
        <x:f>IF(A189="","",SUMIFS(Trips!$P$6:$P$105,Trips!$D$6:$D$105,A189))</x:f>
      </x:c>
      <x:c r="G189" s="98" t="str">
        <x:f>IF(A189="","",SUMIFS(Trips!$Q$6:$Q$105,Trips!$D$6:$D$105,A189))</x:f>
      </x:c>
      <x:c r="H189" s="98" t="str">
        <x:f>IF(A189="","",SUMIFS(Trips!$R$6:$R$105,Trips!$D$6:$D$105,A189))</x:f>
      </x:c>
      <x:c r="I189" s="98" t="str">
        <x:f>IF(A189="","",SUMIFS(Trips!$S$6:$S$105,Trips!$D$6:$D$105,A189))</x:f>
      </x:c>
      <x:c r="J189" s="111"/>
      <x:c r="K189" s="111"/>
      <x:c r="L189" s="111"/>
      <x:c r="M189" s="111"/>
      <x:c r="N189" s="111"/>
      <x:c r="O189" s="111"/>
      <x:c r="P189" s="111"/>
      <x:c r="Q189" s="111"/>
      <x:c r="R189" s="111"/>
      <x:c r="S189" s="111"/>
      <x:c r="T189" s="111"/>
    </x:row>
    <x:row r="190" ht="28" customHeight="1">
      <x:c r="A190" s="107" t="str">
        <x:f>IF('Route List'!F190="","",'Route List'!F190)</x:f>
      </x:c>
      <x:c r="B190" s="90" t="str">
        <x:f>IF(A190="","",COUNTIFS(Trips!$D$6:$D$105,A190))</x:f>
      </x:c>
      <x:c r="C190" s="90" t="str">
        <x:f>IF(A190="","",SUMIFS(Trips!$M$6:$M$105,Trips!$D$6:$D$105,A190))</x:f>
      </x:c>
      <x:c r="D190" s="90" t="str">
        <x:f>IF(A190="","",SUMIFS(Trips!$N$6:$N$105,Trips!$D$6:$D$105,A190))</x:f>
      </x:c>
      <x:c r="E190" s="98" t="str">
        <x:f>IF(A190="","",SUMIFS(Trips!$O$6:$O$105,Trips!$D$6:$D$105,A190))</x:f>
      </x:c>
      <x:c r="F190" s="98" t="str">
        <x:f>IF(A190="","",SUMIFS(Trips!$P$6:$P$105,Trips!$D$6:$D$105,A190))</x:f>
      </x:c>
      <x:c r="G190" s="98" t="str">
        <x:f>IF(A190="","",SUMIFS(Trips!$Q$6:$Q$105,Trips!$D$6:$D$105,A190))</x:f>
      </x:c>
      <x:c r="H190" s="98" t="str">
        <x:f>IF(A190="","",SUMIFS(Trips!$R$6:$R$105,Trips!$D$6:$D$105,A190))</x:f>
      </x:c>
      <x:c r="I190" s="98" t="str">
        <x:f>IF(A190="","",SUMIFS(Trips!$S$6:$S$105,Trips!$D$6:$D$105,A190))</x:f>
      </x:c>
      <x:c r="J190" s="111"/>
      <x:c r="K190" s="111"/>
      <x:c r="L190" s="111"/>
      <x:c r="M190" s="111"/>
      <x:c r="N190" s="111"/>
      <x:c r="O190" s="111"/>
      <x:c r="P190" s="111"/>
      <x:c r="Q190" s="111"/>
      <x:c r="R190" s="111"/>
      <x:c r="S190" s="111"/>
      <x:c r="T190" s="111"/>
    </x:row>
    <x:row r="191" ht="28" customHeight="1">
      <x:c r="A191" s="107" t="str">
        <x:f>IF('Route List'!F191="","",'Route List'!F191)</x:f>
      </x:c>
      <x:c r="B191" s="90" t="str">
        <x:f>IF(A191="","",COUNTIFS(Trips!$D$6:$D$105,A191))</x:f>
      </x:c>
      <x:c r="C191" s="90" t="str">
        <x:f>IF(A191="","",SUMIFS(Trips!$M$6:$M$105,Trips!$D$6:$D$105,A191))</x:f>
      </x:c>
      <x:c r="D191" s="90" t="str">
        <x:f>IF(A191="","",SUMIFS(Trips!$N$6:$N$105,Trips!$D$6:$D$105,A191))</x:f>
      </x:c>
      <x:c r="E191" s="98" t="str">
        <x:f>IF(A191="","",SUMIFS(Trips!$O$6:$O$105,Trips!$D$6:$D$105,A191))</x:f>
      </x:c>
      <x:c r="F191" s="98" t="str">
        <x:f>IF(A191="","",SUMIFS(Trips!$P$6:$P$105,Trips!$D$6:$D$105,A191))</x:f>
      </x:c>
      <x:c r="G191" s="98" t="str">
        <x:f>IF(A191="","",SUMIFS(Trips!$Q$6:$Q$105,Trips!$D$6:$D$105,A191))</x:f>
      </x:c>
      <x:c r="H191" s="98" t="str">
        <x:f>IF(A191="","",SUMIFS(Trips!$R$6:$R$105,Trips!$D$6:$D$105,A191))</x:f>
      </x:c>
      <x:c r="I191" s="98" t="str">
        <x:f>IF(A191="","",SUMIFS(Trips!$S$6:$S$105,Trips!$D$6:$D$105,A191))</x:f>
      </x:c>
      <x:c r="J191" s="111"/>
      <x:c r="K191" s="111"/>
      <x:c r="L191" s="111"/>
      <x:c r="M191" s="111"/>
      <x:c r="N191" s="111"/>
      <x:c r="O191" s="111"/>
      <x:c r="P191" s="111"/>
      <x:c r="Q191" s="111"/>
      <x:c r="R191" s="111"/>
      <x:c r="S191" s="111"/>
      <x:c r="T191" s="111"/>
    </x:row>
    <x:row r="192" ht="28" customHeight="1">
      <x:c r="A192" s="107" t="str">
        <x:f>IF('Route List'!F192="","",'Route List'!F192)</x:f>
      </x:c>
      <x:c r="B192" s="90" t="str">
        <x:f>IF(A192="","",COUNTIFS(Trips!$D$6:$D$105,A192))</x:f>
      </x:c>
      <x:c r="C192" s="90" t="str">
        <x:f>IF(A192="","",SUMIFS(Trips!$M$6:$M$105,Trips!$D$6:$D$105,A192))</x:f>
      </x:c>
      <x:c r="D192" s="90" t="str">
        <x:f>IF(A192="","",SUMIFS(Trips!$N$6:$N$105,Trips!$D$6:$D$105,A192))</x:f>
      </x:c>
      <x:c r="E192" s="98" t="str">
        <x:f>IF(A192="","",SUMIFS(Trips!$O$6:$O$105,Trips!$D$6:$D$105,A192))</x:f>
      </x:c>
      <x:c r="F192" s="98" t="str">
        <x:f>IF(A192="","",SUMIFS(Trips!$P$6:$P$105,Trips!$D$6:$D$105,A192))</x:f>
      </x:c>
      <x:c r="G192" s="98" t="str">
        <x:f>IF(A192="","",SUMIFS(Trips!$Q$6:$Q$105,Trips!$D$6:$D$105,A192))</x:f>
      </x:c>
      <x:c r="H192" s="98" t="str">
        <x:f>IF(A192="","",SUMIFS(Trips!$R$6:$R$105,Trips!$D$6:$D$105,A192))</x:f>
      </x:c>
      <x:c r="I192" s="98" t="str">
        <x:f>IF(A192="","",SUMIFS(Trips!$S$6:$S$105,Trips!$D$6:$D$105,A192))</x:f>
      </x:c>
      <x:c r="J192" s="111"/>
      <x:c r="K192" s="111"/>
      <x:c r="L192" s="111"/>
      <x:c r="M192" s="111"/>
      <x:c r="N192" s="111"/>
      <x:c r="O192" s="111"/>
      <x:c r="P192" s="111"/>
      <x:c r="Q192" s="111"/>
      <x:c r="R192" s="111"/>
      <x:c r="S192" s="111"/>
      <x:c r="T192" s="111"/>
    </x:row>
    <x:row r="193" ht="28" customHeight="1">
      <x:c r="A193" s="107" t="str">
        <x:f>IF('Route List'!F193="","",'Route List'!F193)</x:f>
      </x:c>
      <x:c r="B193" s="90" t="str">
        <x:f>IF(A193="","",COUNTIFS(Trips!$D$6:$D$105,A193))</x:f>
      </x:c>
      <x:c r="C193" s="90" t="str">
        <x:f>IF(A193="","",SUMIFS(Trips!$M$6:$M$105,Trips!$D$6:$D$105,A193))</x:f>
      </x:c>
      <x:c r="D193" s="90" t="str">
        <x:f>IF(A193="","",SUMIFS(Trips!$N$6:$N$105,Trips!$D$6:$D$105,A193))</x:f>
      </x:c>
      <x:c r="E193" s="98" t="str">
        <x:f>IF(A193="","",SUMIFS(Trips!$O$6:$O$105,Trips!$D$6:$D$105,A193))</x:f>
      </x:c>
      <x:c r="F193" s="98" t="str">
        <x:f>IF(A193="","",SUMIFS(Trips!$P$6:$P$105,Trips!$D$6:$D$105,A193))</x:f>
      </x:c>
      <x:c r="G193" s="98" t="str">
        <x:f>IF(A193="","",SUMIFS(Trips!$Q$6:$Q$105,Trips!$D$6:$D$105,A193))</x:f>
      </x:c>
      <x:c r="H193" s="98" t="str">
        <x:f>IF(A193="","",SUMIFS(Trips!$R$6:$R$105,Trips!$D$6:$D$105,A193))</x:f>
      </x:c>
      <x:c r="I193" s="98" t="str">
        <x:f>IF(A193="","",SUMIFS(Trips!$S$6:$S$105,Trips!$D$6:$D$105,A193))</x:f>
      </x:c>
      <x:c r="J193" s="111"/>
      <x:c r="K193" s="111"/>
      <x:c r="L193" s="111"/>
      <x:c r="M193" s="111"/>
      <x:c r="N193" s="111"/>
      <x:c r="O193" s="111"/>
      <x:c r="P193" s="111"/>
      <x:c r="Q193" s="111"/>
      <x:c r="R193" s="111"/>
      <x:c r="S193" s="111"/>
      <x:c r="T193" s="111"/>
    </x:row>
    <x:row r="194" ht="28" customHeight="1">
      <x:c r="A194" s="107" t="str">
        <x:f>IF('Route List'!F194="","",'Route List'!F194)</x:f>
      </x:c>
      <x:c r="B194" s="90" t="str">
        <x:f>IF(A194="","",COUNTIFS(Trips!$D$6:$D$105,A194))</x:f>
      </x:c>
      <x:c r="C194" s="90" t="str">
        <x:f>IF(A194="","",SUMIFS(Trips!$M$6:$M$105,Trips!$D$6:$D$105,A194))</x:f>
      </x:c>
      <x:c r="D194" s="90" t="str">
        <x:f>IF(A194="","",SUMIFS(Trips!$N$6:$N$105,Trips!$D$6:$D$105,A194))</x:f>
      </x:c>
      <x:c r="E194" s="98" t="str">
        <x:f>IF(A194="","",SUMIFS(Trips!$O$6:$O$105,Trips!$D$6:$D$105,A194))</x:f>
      </x:c>
      <x:c r="F194" s="98" t="str">
        <x:f>IF(A194="","",SUMIFS(Trips!$P$6:$P$105,Trips!$D$6:$D$105,A194))</x:f>
      </x:c>
      <x:c r="G194" s="98" t="str">
        <x:f>IF(A194="","",SUMIFS(Trips!$Q$6:$Q$105,Trips!$D$6:$D$105,A194))</x:f>
      </x:c>
      <x:c r="H194" s="98" t="str">
        <x:f>IF(A194="","",SUMIFS(Trips!$R$6:$R$105,Trips!$D$6:$D$105,A194))</x:f>
      </x:c>
      <x:c r="I194" s="98" t="str">
        <x:f>IF(A194="","",SUMIFS(Trips!$S$6:$S$105,Trips!$D$6:$D$105,A194))</x:f>
      </x:c>
      <x:c r="J194" s="111"/>
      <x:c r="K194" s="111"/>
      <x:c r="L194" s="111"/>
      <x:c r="M194" s="111"/>
      <x:c r="N194" s="111"/>
      <x:c r="O194" s="111"/>
      <x:c r="P194" s="111"/>
      <x:c r="Q194" s="111"/>
      <x:c r="R194" s="111"/>
      <x:c r="S194" s="111"/>
      <x:c r="T194" s="111"/>
    </x:row>
    <x:row r="195" ht="28" customHeight="1">
      <x:c r="A195" s="107" t="str">
        <x:f>IF('Route List'!F195="","",'Route List'!F195)</x:f>
      </x:c>
      <x:c r="B195" s="90" t="str">
        <x:f>IF(A195="","",COUNTIFS(Trips!$D$6:$D$105,A195))</x:f>
      </x:c>
      <x:c r="C195" s="90" t="str">
        <x:f>IF(A195="","",SUMIFS(Trips!$M$6:$M$105,Trips!$D$6:$D$105,A195))</x:f>
      </x:c>
      <x:c r="D195" s="90" t="str">
        <x:f>IF(A195="","",SUMIFS(Trips!$N$6:$N$105,Trips!$D$6:$D$105,A195))</x:f>
      </x:c>
      <x:c r="E195" s="98" t="str">
        <x:f>IF(A195="","",SUMIFS(Trips!$O$6:$O$105,Trips!$D$6:$D$105,A195))</x:f>
      </x:c>
      <x:c r="F195" s="98" t="str">
        <x:f>IF(A195="","",SUMIFS(Trips!$P$6:$P$105,Trips!$D$6:$D$105,A195))</x:f>
      </x:c>
      <x:c r="G195" s="98" t="str">
        <x:f>IF(A195="","",SUMIFS(Trips!$Q$6:$Q$105,Trips!$D$6:$D$105,A195))</x:f>
      </x:c>
      <x:c r="H195" s="98" t="str">
        <x:f>IF(A195="","",SUMIFS(Trips!$R$6:$R$105,Trips!$D$6:$D$105,A195))</x:f>
      </x:c>
      <x:c r="I195" s="98" t="str">
        <x:f>IF(A195="","",SUMIFS(Trips!$S$6:$S$105,Trips!$D$6:$D$105,A195))</x:f>
      </x:c>
      <x:c r="J195" s="111"/>
      <x:c r="K195" s="111"/>
      <x:c r="L195" s="111"/>
      <x:c r="M195" s="111"/>
      <x:c r="N195" s="111"/>
      <x:c r="O195" s="111"/>
      <x:c r="P195" s="111"/>
      <x:c r="Q195" s="111"/>
      <x:c r="R195" s="111"/>
      <x:c r="S195" s="111"/>
      <x:c r="T195" s="111"/>
    </x:row>
    <x:row r="196" ht="28" customHeight="1">
      <x:c r="A196" s="107" t="str">
        <x:f>IF('Route List'!F196="","",'Route List'!F196)</x:f>
      </x:c>
      <x:c r="B196" s="90" t="str">
        <x:f>IF(A196="","",COUNTIFS(Trips!$D$6:$D$105,A196))</x:f>
      </x:c>
      <x:c r="C196" s="90" t="str">
        <x:f>IF(A196="","",SUMIFS(Trips!$M$6:$M$105,Trips!$D$6:$D$105,A196))</x:f>
      </x:c>
      <x:c r="D196" s="90" t="str">
        <x:f>IF(A196="","",SUMIFS(Trips!$N$6:$N$105,Trips!$D$6:$D$105,A196))</x:f>
      </x:c>
      <x:c r="E196" s="98" t="str">
        <x:f>IF(A196="","",SUMIFS(Trips!$O$6:$O$105,Trips!$D$6:$D$105,A196))</x:f>
      </x:c>
      <x:c r="F196" s="98" t="str">
        <x:f>IF(A196="","",SUMIFS(Trips!$P$6:$P$105,Trips!$D$6:$D$105,A196))</x:f>
      </x:c>
      <x:c r="G196" s="98" t="str">
        <x:f>IF(A196="","",SUMIFS(Trips!$Q$6:$Q$105,Trips!$D$6:$D$105,A196))</x:f>
      </x:c>
      <x:c r="H196" s="98" t="str">
        <x:f>IF(A196="","",SUMIFS(Trips!$R$6:$R$105,Trips!$D$6:$D$105,A196))</x:f>
      </x:c>
      <x:c r="I196" s="98" t="str">
        <x:f>IF(A196="","",SUMIFS(Trips!$S$6:$S$105,Trips!$D$6:$D$105,A196))</x:f>
      </x:c>
      <x:c r="J196" s="111"/>
      <x:c r="K196" s="111"/>
      <x:c r="L196" s="111"/>
      <x:c r="M196" s="111"/>
      <x:c r="N196" s="111"/>
      <x:c r="O196" s="111"/>
      <x:c r="P196" s="111"/>
      <x:c r="Q196" s="111"/>
      <x:c r="R196" s="111"/>
      <x:c r="S196" s="111"/>
      <x:c r="T196" s="111"/>
    </x:row>
    <x:row r="197" ht="28" customHeight="1">
      <x:c r="A197" s="107" t="str">
        <x:f>IF('Route List'!F197="","",'Route List'!F197)</x:f>
      </x:c>
      <x:c r="B197" s="90" t="str">
        <x:f>IF(A197="","",COUNTIFS(Trips!$D$6:$D$105,A197))</x:f>
      </x:c>
      <x:c r="C197" s="90" t="str">
        <x:f>IF(A197="","",SUMIFS(Trips!$M$6:$M$105,Trips!$D$6:$D$105,A197))</x:f>
      </x:c>
      <x:c r="D197" s="90" t="str">
        <x:f>IF(A197="","",SUMIFS(Trips!$N$6:$N$105,Trips!$D$6:$D$105,A197))</x:f>
      </x:c>
      <x:c r="E197" s="98" t="str">
        <x:f>IF(A197="","",SUMIFS(Trips!$O$6:$O$105,Trips!$D$6:$D$105,A197))</x:f>
      </x:c>
      <x:c r="F197" s="98" t="str">
        <x:f>IF(A197="","",SUMIFS(Trips!$P$6:$P$105,Trips!$D$6:$D$105,A197))</x:f>
      </x:c>
      <x:c r="G197" s="98" t="str">
        <x:f>IF(A197="","",SUMIFS(Trips!$Q$6:$Q$105,Trips!$D$6:$D$105,A197))</x:f>
      </x:c>
      <x:c r="H197" s="98" t="str">
        <x:f>IF(A197="","",SUMIFS(Trips!$R$6:$R$105,Trips!$D$6:$D$105,A197))</x:f>
      </x:c>
      <x:c r="I197" s="98" t="str">
        <x:f>IF(A197="","",SUMIFS(Trips!$S$6:$S$105,Trips!$D$6:$D$105,A197))</x:f>
      </x:c>
      <x:c r="J197" s="111"/>
      <x:c r="K197" s="111"/>
      <x:c r="L197" s="111"/>
      <x:c r="M197" s="111"/>
      <x:c r="N197" s="111"/>
      <x:c r="O197" s="111"/>
      <x:c r="P197" s="111"/>
      <x:c r="Q197" s="111"/>
      <x:c r="R197" s="111"/>
      <x:c r="S197" s="111"/>
      <x:c r="T197" s="111"/>
    </x:row>
    <x:row r="198" ht="28" customHeight="1">
      <x:c r="A198" s="107" t="str">
        <x:f>IF('Route List'!F198="","",'Route List'!F198)</x:f>
      </x:c>
      <x:c r="B198" s="90" t="str">
        <x:f>IF(A198="","",COUNTIFS(Trips!$D$6:$D$105,A198))</x:f>
      </x:c>
      <x:c r="C198" s="90" t="str">
        <x:f>IF(A198="","",SUMIFS(Trips!$M$6:$M$105,Trips!$D$6:$D$105,A198))</x:f>
      </x:c>
      <x:c r="D198" s="90" t="str">
        <x:f>IF(A198="","",SUMIFS(Trips!$N$6:$N$105,Trips!$D$6:$D$105,A198))</x:f>
      </x:c>
      <x:c r="E198" s="98" t="str">
        <x:f>IF(A198="","",SUMIFS(Trips!$O$6:$O$105,Trips!$D$6:$D$105,A198))</x:f>
      </x:c>
      <x:c r="F198" s="98" t="str">
        <x:f>IF(A198="","",SUMIFS(Trips!$P$6:$P$105,Trips!$D$6:$D$105,A198))</x:f>
      </x:c>
      <x:c r="G198" s="98" t="str">
        <x:f>IF(A198="","",SUMIFS(Trips!$Q$6:$Q$105,Trips!$D$6:$D$105,A198))</x:f>
      </x:c>
      <x:c r="H198" s="98" t="str">
        <x:f>IF(A198="","",SUMIFS(Trips!$R$6:$R$105,Trips!$D$6:$D$105,A198))</x:f>
      </x:c>
      <x:c r="I198" s="98" t="str">
        <x:f>IF(A198="","",SUMIFS(Trips!$S$6:$S$105,Trips!$D$6:$D$105,A198))</x:f>
      </x:c>
      <x:c r="J198" s="111"/>
      <x:c r="K198" s="111"/>
      <x:c r="L198" s="111"/>
      <x:c r="M198" s="111"/>
      <x:c r="N198" s="111"/>
      <x:c r="O198" s="111"/>
      <x:c r="P198" s="111"/>
      <x:c r="Q198" s="111"/>
      <x:c r="R198" s="111"/>
      <x:c r="S198" s="111"/>
      <x:c r="T198" s="111"/>
    </x:row>
    <x:row r="199" ht="28" customHeight="1">
      <x:c r="A199" s="107" t="str">
        <x:f>IF('Route List'!F199="","",'Route List'!F199)</x:f>
      </x:c>
      <x:c r="B199" s="90" t="str">
        <x:f>IF(A199="","",COUNTIFS(Trips!$D$6:$D$105,A199))</x:f>
      </x:c>
      <x:c r="C199" s="90" t="str">
        <x:f>IF(A199="","",SUMIFS(Trips!$M$6:$M$105,Trips!$D$6:$D$105,A199))</x:f>
      </x:c>
      <x:c r="D199" s="90" t="str">
        <x:f>IF(A199="","",SUMIFS(Trips!$N$6:$N$105,Trips!$D$6:$D$105,A199))</x:f>
      </x:c>
      <x:c r="E199" s="98" t="str">
        <x:f>IF(A199="","",SUMIFS(Trips!$O$6:$O$105,Trips!$D$6:$D$105,A199))</x:f>
      </x:c>
      <x:c r="F199" s="98" t="str">
        <x:f>IF(A199="","",SUMIFS(Trips!$P$6:$P$105,Trips!$D$6:$D$105,A199))</x:f>
      </x:c>
      <x:c r="G199" s="98" t="str">
        <x:f>IF(A199="","",SUMIFS(Trips!$Q$6:$Q$105,Trips!$D$6:$D$105,A199))</x:f>
      </x:c>
      <x:c r="H199" s="98" t="str">
        <x:f>IF(A199="","",SUMIFS(Trips!$R$6:$R$105,Trips!$D$6:$D$105,A199))</x:f>
      </x:c>
      <x:c r="I199" s="98" t="str">
        <x:f>IF(A199="","",SUMIFS(Trips!$S$6:$S$105,Trips!$D$6:$D$105,A199))</x:f>
      </x:c>
      <x:c r="J199" s="111"/>
      <x:c r="K199" s="111"/>
      <x:c r="L199" s="111"/>
      <x:c r="M199" s="111"/>
      <x:c r="N199" s="111"/>
      <x:c r="O199" s="111"/>
      <x:c r="P199" s="111"/>
      <x:c r="Q199" s="111"/>
      <x:c r="R199" s="111"/>
      <x:c r="S199" s="111"/>
      <x:c r="T199" s="111"/>
    </x:row>
    <x:row r="200" ht="28" customHeight="1">
      <x:c r="A200" s="107" t="str">
        <x:f>IF('Route List'!F200="","",'Route List'!F200)</x:f>
      </x:c>
      <x:c r="B200" s="90" t="str">
        <x:f>IF(A200="","",COUNTIFS(Trips!$D$6:$D$105,A200))</x:f>
      </x:c>
      <x:c r="C200" s="90" t="str">
        <x:f>IF(A200="","",SUMIFS(Trips!$M$6:$M$105,Trips!$D$6:$D$105,A200))</x:f>
      </x:c>
      <x:c r="D200" s="90" t="str">
        <x:f>IF(A200="","",SUMIFS(Trips!$N$6:$N$105,Trips!$D$6:$D$105,A200))</x:f>
      </x:c>
      <x:c r="E200" s="98" t="str">
        <x:f>IF(A200="","",SUMIFS(Trips!$O$6:$O$105,Trips!$D$6:$D$105,A200))</x:f>
      </x:c>
      <x:c r="F200" s="98" t="str">
        <x:f>IF(A200="","",SUMIFS(Trips!$P$6:$P$105,Trips!$D$6:$D$105,A200))</x:f>
      </x:c>
      <x:c r="G200" s="98" t="str">
        <x:f>IF(A200="","",SUMIFS(Trips!$Q$6:$Q$105,Trips!$D$6:$D$105,A200))</x:f>
      </x:c>
      <x:c r="H200" s="98" t="str">
        <x:f>IF(A200="","",SUMIFS(Trips!$R$6:$R$105,Trips!$D$6:$D$105,A200))</x:f>
      </x:c>
      <x:c r="I200" s="98" t="str">
        <x:f>IF(A200="","",SUMIFS(Trips!$S$6:$S$105,Trips!$D$6:$D$105,A200))</x:f>
      </x:c>
      <x:c r="J200" s="111"/>
      <x:c r="K200" s="111"/>
      <x:c r="L200" s="111"/>
      <x:c r="M200" s="111"/>
      <x:c r="N200" s="111"/>
      <x:c r="O200" s="111"/>
      <x:c r="P200" s="111"/>
      <x:c r="Q200" s="111"/>
      <x:c r="R200" s="111"/>
      <x:c r="S200" s="111"/>
      <x:c r="T200" s="111"/>
    </x:row>
    <x:row r="201" ht="28" customHeight="1">
      <x:c r="A201" s="107" t="str">
        <x:f>IF('Route List'!F201="","",'Route List'!F201)</x:f>
      </x:c>
      <x:c r="B201" s="90" t="str">
        <x:f>IF(A201="","",COUNTIFS(Trips!$D$6:$D$105,A201))</x:f>
      </x:c>
      <x:c r="C201" s="90" t="str">
        <x:f>IF(A201="","",SUMIFS(Trips!$M$6:$M$105,Trips!$D$6:$D$105,A201))</x:f>
      </x:c>
      <x:c r="D201" s="90" t="str">
        <x:f>IF(A201="","",SUMIFS(Trips!$N$6:$N$105,Trips!$D$6:$D$105,A201))</x:f>
      </x:c>
      <x:c r="E201" s="98" t="str">
        <x:f>IF(A201="","",SUMIFS(Trips!$O$6:$O$105,Trips!$D$6:$D$105,A201))</x:f>
      </x:c>
      <x:c r="F201" s="98" t="str">
        <x:f>IF(A201="","",SUMIFS(Trips!$P$6:$P$105,Trips!$D$6:$D$105,A201))</x:f>
      </x:c>
      <x:c r="G201" s="98" t="str">
        <x:f>IF(A201="","",SUMIFS(Trips!$Q$6:$Q$105,Trips!$D$6:$D$105,A201))</x:f>
      </x:c>
      <x:c r="H201" s="98" t="str">
        <x:f>IF(A201="","",SUMIFS(Trips!$R$6:$R$105,Trips!$D$6:$D$105,A201))</x:f>
      </x:c>
      <x:c r="I201" s="98" t="str">
        <x:f>IF(A201="","",SUMIFS(Trips!$S$6:$S$105,Trips!$D$6:$D$105,A201))</x:f>
      </x:c>
      <x:c r="J201" s="111"/>
      <x:c r="K201" s="111"/>
      <x:c r="L201" s="111"/>
      <x:c r="M201" s="111"/>
      <x:c r="N201" s="111"/>
      <x:c r="O201" s="111"/>
      <x:c r="P201" s="111"/>
      <x:c r="Q201" s="111"/>
      <x:c r="R201" s="111"/>
      <x:c r="S201" s="111"/>
      <x:c r="T201" s="111"/>
    </x:row>
    <x:row r="202" ht="28" customHeight="1">
      <x:c r="A202" s="107" t="str">
        <x:f>IF('Route List'!F202="","",'Route List'!F202)</x:f>
      </x:c>
      <x:c r="B202" s="90" t="str">
        <x:f>IF(A202="","",COUNTIFS(Trips!$D$6:$D$105,A202))</x:f>
      </x:c>
      <x:c r="C202" s="90" t="str">
        <x:f>IF(A202="","",SUMIFS(Trips!$M$6:$M$105,Trips!$D$6:$D$105,A202))</x:f>
      </x:c>
      <x:c r="D202" s="90" t="str">
        <x:f>IF(A202="","",SUMIFS(Trips!$N$6:$N$105,Trips!$D$6:$D$105,A202))</x:f>
      </x:c>
      <x:c r="E202" s="98" t="str">
        <x:f>IF(A202="","",SUMIFS(Trips!$O$6:$O$105,Trips!$D$6:$D$105,A202))</x:f>
      </x:c>
      <x:c r="F202" s="98" t="str">
        <x:f>IF(A202="","",SUMIFS(Trips!$P$6:$P$105,Trips!$D$6:$D$105,A202))</x:f>
      </x:c>
      <x:c r="G202" s="98" t="str">
        <x:f>IF(A202="","",SUMIFS(Trips!$Q$6:$Q$105,Trips!$D$6:$D$105,A202))</x:f>
      </x:c>
      <x:c r="H202" s="98" t="str">
        <x:f>IF(A202="","",SUMIFS(Trips!$R$6:$R$105,Trips!$D$6:$D$105,A202))</x:f>
      </x:c>
      <x:c r="I202" s="98" t="str">
        <x:f>IF(A202="","",SUMIFS(Trips!$S$6:$S$105,Trips!$D$6:$D$105,A202))</x:f>
      </x:c>
      <x:c r="J202" s="111"/>
      <x:c r="K202" s="111"/>
      <x:c r="L202" s="111"/>
      <x:c r="M202" s="111"/>
      <x:c r="N202" s="111"/>
      <x:c r="O202" s="111"/>
      <x:c r="P202" s="111"/>
      <x:c r="Q202" s="111"/>
      <x:c r="R202" s="111"/>
      <x:c r="S202" s="111"/>
      <x:c r="T202" s="111"/>
    </x:row>
    <x:row r="203" ht="28" customHeight="1">
      <x:c r="A203" s="107" t="str">
        <x:f>IF('Route List'!F203="","",'Route List'!F203)</x:f>
      </x:c>
      <x:c r="B203" s="90" t="str">
        <x:f>IF(A203="","",COUNTIFS(Trips!$D$6:$D$105,A203))</x:f>
      </x:c>
      <x:c r="C203" s="90" t="str">
        <x:f>IF(A203="","",SUMIFS(Trips!$M$6:$M$105,Trips!$D$6:$D$105,A203))</x:f>
      </x:c>
      <x:c r="D203" s="90" t="str">
        <x:f>IF(A203="","",SUMIFS(Trips!$N$6:$N$105,Trips!$D$6:$D$105,A203))</x:f>
      </x:c>
      <x:c r="E203" s="98" t="str">
        <x:f>IF(A203="","",SUMIFS(Trips!$O$6:$O$105,Trips!$D$6:$D$105,A203))</x:f>
      </x:c>
      <x:c r="F203" s="98" t="str">
        <x:f>IF(A203="","",SUMIFS(Trips!$P$6:$P$105,Trips!$D$6:$D$105,A203))</x:f>
      </x:c>
      <x:c r="G203" s="98" t="str">
        <x:f>IF(A203="","",SUMIFS(Trips!$Q$6:$Q$105,Trips!$D$6:$D$105,A203))</x:f>
      </x:c>
      <x:c r="H203" s="98" t="str">
        <x:f>IF(A203="","",SUMIFS(Trips!$R$6:$R$105,Trips!$D$6:$D$105,A203))</x:f>
      </x:c>
      <x:c r="I203" s="98" t="str">
        <x:f>IF(A203="","",SUMIFS(Trips!$S$6:$S$105,Trips!$D$6:$D$105,A203))</x:f>
      </x:c>
      <x:c r="J203" s="111"/>
      <x:c r="K203" s="111"/>
      <x:c r="L203" s="111"/>
      <x:c r="M203" s="111"/>
      <x:c r="N203" s="111"/>
      <x:c r="O203" s="111"/>
      <x:c r="P203" s="111"/>
      <x:c r="Q203" s="111"/>
      <x:c r="R203" s="111"/>
      <x:c r="S203" s="111"/>
      <x:c r="T203" s="111"/>
    </x:row>
    <x:row r="204" ht="28" customHeight="1">
      <x:c r="A204" s="107" t="str">
        <x:f>IF('Route List'!F204="","",'Route List'!F204)</x:f>
      </x:c>
      <x:c r="B204" s="90" t="str">
        <x:f>IF(A204="","",COUNTIFS(Trips!$D$6:$D$105,A204))</x:f>
      </x:c>
      <x:c r="C204" s="90" t="str">
        <x:f>IF(A204="","",SUMIFS(Trips!$M$6:$M$105,Trips!$D$6:$D$105,A204))</x:f>
      </x:c>
      <x:c r="D204" s="90" t="str">
        <x:f>IF(A204="","",SUMIFS(Trips!$N$6:$N$105,Trips!$D$6:$D$105,A204))</x:f>
      </x:c>
      <x:c r="E204" s="98" t="str">
        <x:f>IF(A204="","",SUMIFS(Trips!$O$6:$O$105,Trips!$D$6:$D$105,A204))</x:f>
      </x:c>
      <x:c r="F204" s="98" t="str">
        <x:f>IF(A204="","",SUMIFS(Trips!$P$6:$P$105,Trips!$D$6:$D$105,A204))</x:f>
      </x:c>
      <x:c r="G204" s="98" t="str">
        <x:f>IF(A204="","",SUMIFS(Trips!$Q$6:$Q$105,Trips!$D$6:$D$105,A204))</x:f>
      </x:c>
      <x:c r="H204" s="98" t="str">
        <x:f>IF(A204="","",SUMIFS(Trips!$R$6:$R$105,Trips!$D$6:$D$105,A204))</x:f>
      </x:c>
      <x:c r="I204" s="98" t="str">
        <x:f>IF(A204="","",SUMIFS(Trips!$S$6:$S$105,Trips!$D$6:$D$105,A204))</x:f>
      </x:c>
      <x:c r="J204" s="111"/>
      <x:c r="K204" s="111"/>
      <x:c r="L204" s="111"/>
      <x:c r="M204" s="111"/>
      <x:c r="N204" s="111"/>
      <x:c r="O204" s="111"/>
      <x:c r="P204" s="111"/>
      <x:c r="Q204" s="111"/>
      <x:c r="R204" s="111"/>
      <x:c r="S204" s="111"/>
      <x:c r="T204" s="111"/>
    </x:row>
    <x:row r="205" ht="28" customHeight="1">
      <x:c r="A205" s="107" t="str">
        <x:f>IF('Route List'!F205="","",'Route List'!F205)</x:f>
      </x:c>
      <x:c r="B205" s="90" t="str">
        <x:f>IF(A205="","",COUNTIFS(Trips!$D$6:$D$105,A205))</x:f>
      </x:c>
      <x:c r="C205" s="90" t="str">
        <x:f>IF(A205="","",SUMIFS(Trips!$M$6:$M$105,Trips!$D$6:$D$105,A205))</x:f>
      </x:c>
      <x:c r="D205" s="90" t="str">
        <x:f>IF(A205="","",SUMIFS(Trips!$N$6:$N$105,Trips!$D$6:$D$105,A205))</x:f>
      </x:c>
      <x:c r="E205" s="98" t="str">
        <x:f>IF(A205="","",SUMIFS(Trips!$O$6:$O$105,Trips!$D$6:$D$105,A205))</x:f>
      </x:c>
      <x:c r="F205" s="98" t="str">
        <x:f>IF(A205="","",SUMIFS(Trips!$P$6:$P$105,Trips!$D$6:$D$105,A205))</x:f>
      </x:c>
      <x:c r="G205" s="98" t="str">
        <x:f>IF(A205="","",SUMIFS(Trips!$Q$6:$Q$105,Trips!$D$6:$D$105,A205))</x:f>
      </x:c>
      <x:c r="H205" s="98" t="str">
        <x:f>IF(A205="","",SUMIFS(Trips!$R$6:$R$105,Trips!$D$6:$D$105,A205))</x:f>
      </x:c>
      <x:c r="I205" s="98" t="str">
        <x:f>IF(A205="","",SUMIFS(Trips!$S$6:$S$105,Trips!$D$6:$D$105,A205))</x:f>
      </x:c>
      <x:c r="J205" s="111"/>
      <x:c r="K205" s="111"/>
      <x:c r="L205" s="111"/>
      <x:c r="M205" s="111"/>
      <x:c r="N205" s="111"/>
      <x:c r="O205" s="111"/>
      <x:c r="P205" s="111"/>
      <x:c r="Q205" s="111"/>
      <x:c r="R205" s="111"/>
      <x:c r="S205" s="111"/>
      <x:c r="T205" s="111"/>
    </x:row>
  </x:sheetData>
  <x:pageMargins left="0.7" right="0.7" top="0.75" bottom="0.75" header="0.3" footer="0.3"/>
  <x:tableParts count="1">
    <x:tablePart xmlns:r="http://schemas.openxmlformats.org/officeDocument/2006/relationships" r:id="R349e3427768b4f0e"/>
  </x:tableParts>
</x:worksheet>
</file>

<file path=xl/worksheets/sheet8.xml><?xml version="1.0" encoding="utf-8"?>
<x:worksheet xmlns:x="http://schemas.openxmlformats.org/spreadsheetml/2006/main">
  <x:sheetPr>
    <x:tabColor rgb="FF92999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1" hidden="0" customWidth="1"/>
    <x:col min="3" max="3" width="31" hidden="0" customWidth="1"/>
    <x:col min="6" max="6" width="31" hidden="0" customWidth="1"/>
    <x:col min="7" max="7" width="31" hidden="0" customWidth="1"/>
  </x:cols>
  <x:sheetData>
    <x:row r="1" ht="28" customHeight="1">
      <x:c r="A1" s="90"/>
      <x:c r="B1" s="90"/>
      <x:c r="C1" s="90"/>
      <x:c r="D1" s="111"/>
      <x:c r="E1" s="111"/>
      <x:c r="F1" s="111"/>
      <x:c r="G1" s="111"/>
    </x:row>
    <x:row r="2" ht="28" customHeight="1">
      <x:c r="A2" s="119" t="str">
        <x:v>Route List</x:v>
      </x:c>
      <x:c r="B2" s="90"/>
      <x:c r="C2" s="90"/>
      <x:c r="D2" s="111"/>
      <x:c r="E2" s="111"/>
      <x:c r="F2" s="111"/>
      <x:c r="G2" s="111"/>
    </x:row>
    <x:row r="3" ht="28" customHeight="1">
      <x:c r="A3" s="90" t="str">
        <x:v>Enter records in yellow cells.</x:v>
      </x:c>
      <x:c r="B3" s="90"/>
      <x:c r="C3" s="90"/>
      <x:c r="D3" s="111"/>
      <x:c r="E3" s="111"/>
      <x:c r="F3" s="111"/>
      <x:c r="G3" s="111"/>
    </x:row>
    <x:row r="4" ht="28" customHeight="1">
      <x:c r="A4" s="90"/>
      <x:c r="B4" s="90"/>
      <x:c r="C4" s="90"/>
      <x:c r="D4" s="111"/>
      <x:c r="E4" s="111"/>
      <x:c r="F4" s="111"/>
      <x:c r="G4" s="111"/>
    </x:row>
    <x:row r="5" ht="28" customHeight="1">
      <x:c r="A5" s="120" t="str">
        <x:v>Coach number</x:v>
      </x:c>
      <x:c r="B5" s="120" t="str">
        <x:v>Going route</x:v>
      </x:c>
      <x:c r="C5" s="120" t="str">
        <x:v>Return route</x:v>
      </x:c>
      <x:c r="D5" s="111"/>
      <x:c r="E5" s="111"/>
      <x:c r="F5" s="121" t="str">
        <x:v>Route</x:v>
      </x:c>
      <x:c r="G5" s="121" t="str">
        <x:v>Fare per ticket</x:v>
      </x:c>
    </x:row>
    <x:row r="6" ht="28" customHeight="1">
      <x:c r="A6" s="107" t="n">
        <x:v>701</x:v>
      </x:c>
      <x:c r="B6" s="107" t="str">
        <x:v>Dhaka - Chattogram</x:v>
      </x:c>
      <x:c r="C6" s="107" t="str">
        <x:v>Chattogram - Dhaka</x:v>
      </x:c>
      <x:c r="D6" s="111"/>
      <x:c r="E6" s="111"/>
      <x:c r="F6" s="122" t="str">
        <x:v>Dhaka - Chattogram</x:v>
      </x:c>
      <x:c r="G6" s="122"/>
    </x:row>
    <x:row r="7" ht="28" customHeight="1">
      <x:c r="A7" s="107" t="n">
        <x:v>702</x:v>
      </x:c>
      <x:c r="B7" s="107" t="str">
        <x:v>Dhaka - Chattogram</x:v>
      </x:c>
      <x:c r="C7" s="107" t="str">
        <x:v>Chattogram - Dhaka</x:v>
      </x:c>
      <x:c r="D7" s="111"/>
      <x:c r="E7" s="111"/>
      <x:c r="F7" s="122" t="str">
        <x:v>Chattogram - Dhaka</x:v>
      </x:c>
      <x:c r="G7" s="122"/>
    </x:row>
    <x:row r="8" ht="28" customHeight="1">
      <x:c r="A8" s="107" t="n">
        <x:v>703</x:v>
      </x:c>
      <x:c r="B8" s="107" t="str">
        <x:v>Dhaka - Chattogram</x:v>
      </x:c>
      <x:c r="C8" s="107" t="str">
        <x:v>Chattogram - Dhaka</x:v>
      </x:c>
      <x:c r="D8" s="111"/>
      <x:c r="E8" s="111"/>
      <x:c r="F8" s="122" t="str">
        <x:v>Dhaka - Coxs Bazar</x:v>
      </x:c>
      <x:c r="G8" s="122"/>
    </x:row>
    <x:row r="9" ht="28" customHeight="1">
      <x:c r="A9" s="107" t="n">
        <x:v>704</x:v>
      </x:c>
      <x:c r="B9" s="107" t="str">
        <x:v>Dhaka - Chattogram</x:v>
      </x:c>
      <x:c r="C9" s="107" t="str">
        <x:v>Chattogram - Dhaka</x:v>
      </x:c>
      <x:c r="D9" s="111"/>
      <x:c r="E9" s="111"/>
      <x:c r="F9" s="122" t="str">
        <x:v>Coxs Bazar - Dhaka</x:v>
      </x:c>
      <x:c r="G9" s="122"/>
    </x:row>
    <x:row r="10" ht="28" customHeight="1">
      <x:c r="A10" s="107" t="n">
        <x:v>705</x:v>
      </x:c>
      <x:c r="B10" s="107" t="str">
        <x:v>Dhaka - Chattogram</x:v>
      </x:c>
      <x:c r="C10" s="107" t="str">
        <x:v>Chattogram - Dhaka</x:v>
      </x:c>
      <x:c r="D10" s="111"/>
      <x:c r="E10" s="111"/>
      <x:c r="F10" s="122" t="str">
        <x:v>Dhaka - Barishal</x:v>
      </x:c>
      <x:c r="G10" s="122"/>
    </x:row>
    <x:row r="11" ht="28" customHeight="1">
      <x:c r="A11" s="107" t="n">
        <x:v>706</x:v>
      </x:c>
      <x:c r="B11" s="107" t="str">
        <x:v>Dhaka - Chattogram</x:v>
      </x:c>
      <x:c r="C11" s="107" t="str">
        <x:v>Chattogram - Dhaka</x:v>
      </x:c>
      <x:c r="D11" s="111"/>
      <x:c r="E11" s="111"/>
      <x:c r="F11" s="122" t="str">
        <x:v>Barishal - Dhaka</x:v>
      </x:c>
      <x:c r="G11" s="122"/>
    </x:row>
    <x:row r="12" ht="28" customHeight="1">
      <x:c r="A12" s="107" t="n">
        <x:v>707</x:v>
      </x:c>
      <x:c r="B12" s="107" t="str">
        <x:v>Dhaka - Chattogram</x:v>
      </x:c>
      <x:c r="C12" s="107" t="str">
        <x:v>Chattogram - Dhaka</x:v>
      </x:c>
      <x:c r="D12" s="111"/>
      <x:c r="E12" s="111"/>
      <x:c r="F12" s="122" t="str">
        <x:v>Dhaka - Bandarban</x:v>
      </x:c>
      <x:c r="G12" s="122"/>
    </x:row>
    <x:row r="13" ht="28" customHeight="1">
      <x:c r="A13" s="107" t="n">
        <x:v>708</x:v>
      </x:c>
      <x:c r="B13" s="107" t="str">
        <x:v>Dhaka - Chattogram</x:v>
      </x:c>
      <x:c r="C13" s="107" t="str">
        <x:v>Chattogram - Dhaka</x:v>
      </x:c>
      <x:c r="D13" s="111"/>
      <x:c r="E13" s="111"/>
      <x:c r="F13" s="122" t="str">
        <x:v>Bandarban - Dhaka</x:v>
      </x:c>
      <x:c r="G13" s="122"/>
    </x:row>
    <x:row r="14" ht="28" customHeight="1">
      <x:c r="A14" s="107" t="n">
        <x:v>709</x:v>
      </x:c>
      <x:c r="B14" s="107" t="str">
        <x:v>Dhaka - Chattogram</x:v>
      </x:c>
      <x:c r="C14" s="107" t="str">
        <x:v>Chattogram - Dhaka</x:v>
      </x:c>
      <x:c r="D14" s="111"/>
      <x:c r="E14" s="111"/>
      <x:c r="F14" s="122" t="str">
        <x:v>Dhaka - Alikadam</x:v>
      </x:c>
      <x:c r="G14" s="122"/>
    </x:row>
    <x:row r="15" ht="28" customHeight="1">
      <x:c r="A15" s="107" t="n">
        <x:v>710</x:v>
      </x:c>
      <x:c r="B15" s="107" t="str">
        <x:v>Dhaka - Chattogram</x:v>
      </x:c>
      <x:c r="C15" s="107" t="str">
        <x:v>Chattogram - Dhaka</x:v>
      </x:c>
      <x:c r="D15" s="111"/>
      <x:c r="E15" s="111"/>
      <x:c r="F15" s="122" t="str">
        <x:v>Alikadam - Dhaka</x:v>
      </x:c>
      <x:c r="G15" s="122"/>
    </x:row>
    <x:row r="16" ht="28" customHeight="1">
      <x:c r="A16" s="107" t="n">
        <x:v>711</x:v>
      </x:c>
      <x:c r="B16" s="107" t="str">
        <x:v>Dhaka - Chattogram</x:v>
      </x:c>
      <x:c r="C16" s="107" t="str">
        <x:v>Chattogram - Dhaka</x:v>
      </x:c>
      <x:c r="D16" s="111"/>
      <x:c r="E16" s="111"/>
      <x:c r="F16" s="122" t="str">
        <x:v>Dhaka - Teknaf</x:v>
      </x:c>
      <x:c r="G16" s="122"/>
    </x:row>
    <x:row r="17" ht="28" customHeight="1">
      <x:c r="A17" s="107" t="n">
        <x:v>712</x:v>
      </x:c>
      <x:c r="B17" s="107" t="str">
        <x:v>Dhaka - Chattogram</x:v>
      </x:c>
      <x:c r="C17" s="107" t="str">
        <x:v>Chattogram - Dhaka</x:v>
      </x:c>
      <x:c r="D17" s="111"/>
      <x:c r="E17" s="111"/>
      <x:c r="F17" s="122" t="str">
        <x:v>Teknaf - Dhaka</x:v>
      </x:c>
      <x:c r="G17" s="122"/>
    </x:row>
    <x:row r="18" ht="28" customHeight="1">
      <x:c r="A18" s="107" t="n">
        <x:v>713</x:v>
      </x:c>
      <x:c r="B18" s="107" t="str">
        <x:v>Dhaka - Chattogram</x:v>
      </x:c>
      <x:c r="C18" s="107" t="str">
        <x:v>Chattogram - Dhaka</x:v>
      </x:c>
      <x:c r="D18" s="111"/>
      <x:c r="E18" s="111"/>
      <x:c r="F18" s="122" t="str">
        <x:v>Dhaka - Kaptai</x:v>
      </x:c>
      <x:c r="G18" s="122"/>
    </x:row>
    <x:row r="19" ht="28" customHeight="1">
      <x:c r="A19" s="107" t="n">
        <x:v>714</x:v>
      </x:c>
      <x:c r="B19" s="107" t="str">
        <x:v>Dhaka - Chattogram</x:v>
      </x:c>
      <x:c r="C19" s="107" t="str">
        <x:v>Chattogram - Dhaka</x:v>
      </x:c>
      <x:c r="D19" s="111"/>
      <x:c r="E19" s="111"/>
      <x:c r="F19" s="122" t="str">
        <x:v>Kaptai - Dhaka</x:v>
      </x:c>
      <x:c r="G19" s="122"/>
    </x:row>
    <x:row r="20" ht="28" customHeight="1">
      <x:c r="A20" s="107" t="n">
        <x:v>715</x:v>
      </x:c>
      <x:c r="B20" s="107" t="str">
        <x:v>Dhaka - Chattogram</x:v>
      </x:c>
      <x:c r="C20" s="107" t="str">
        <x:v>Chattogram - Dhaka</x:v>
      </x:c>
      <x:c r="D20" s="111"/>
      <x:c r="E20" s="111"/>
      <x:c r="F20" s="122"/>
      <x:c r="G20" s="122"/>
    </x:row>
    <x:row r="21" ht="28" customHeight="1">
      <x:c r="A21" s="107" t="n">
        <x:v>716</x:v>
      </x:c>
      <x:c r="B21" s="107" t="str">
        <x:v>Dhaka - Chattogram</x:v>
      </x:c>
      <x:c r="C21" s="107" t="str">
        <x:v>Chattogram - Dhaka</x:v>
      </x:c>
      <x:c r="D21" s="111"/>
      <x:c r="E21" s="111"/>
      <x:c r="F21" s="122"/>
      <x:c r="G21" s="122"/>
    </x:row>
    <x:row r="22" ht="28" customHeight="1">
      <x:c r="A22" s="107" t="n">
        <x:v>717</x:v>
      </x:c>
      <x:c r="B22" s="107" t="str">
        <x:v>Dhaka - Chattogram</x:v>
      </x:c>
      <x:c r="C22" s="107" t="str">
        <x:v>Chattogram - Dhaka</x:v>
      </x:c>
      <x:c r="D22" s="111"/>
      <x:c r="E22" s="111"/>
      <x:c r="F22" s="122"/>
      <x:c r="G22" s="122"/>
    </x:row>
    <x:row r="23" ht="28" customHeight="1">
      <x:c r="A23" s="107" t="n">
        <x:v>718</x:v>
      </x:c>
      <x:c r="B23" s="107" t="str">
        <x:v>Dhaka - Chattogram</x:v>
      </x:c>
      <x:c r="C23" s="107" t="str">
        <x:v>Chattogram - Dhaka</x:v>
      </x:c>
      <x:c r="D23" s="111"/>
      <x:c r="E23" s="111"/>
      <x:c r="F23" s="122"/>
      <x:c r="G23" s="122"/>
    </x:row>
    <x:row r="24" ht="28" customHeight="1">
      <x:c r="A24" s="107" t="n">
        <x:v>719</x:v>
      </x:c>
      <x:c r="B24" s="107" t="str">
        <x:v>Dhaka - Chattogram</x:v>
      </x:c>
      <x:c r="C24" s="107" t="str">
        <x:v>Chattogram - Dhaka</x:v>
      </x:c>
      <x:c r="D24" s="111"/>
      <x:c r="E24" s="111"/>
      <x:c r="F24" s="122"/>
      <x:c r="G24" s="122"/>
    </x:row>
    <x:row r="25" ht="28" customHeight="1">
      <x:c r="A25" s="107" t="n">
        <x:v>720</x:v>
      </x:c>
      <x:c r="B25" s="107" t="str">
        <x:v>Dhaka - Chattogram</x:v>
      </x:c>
      <x:c r="C25" s="107" t="str">
        <x:v>Chattogram - Dhaka</x:v>
      </x:c>
      <x:c r="D25" s="111"/>
      <x:c r="E25" s="111"/>
      <x:c r="F25" s="122"/>
      <x:c r="G25" s="122"/>
    </x:row>
    <x:row r="26" ht="28" customHeight="1">
      <x:c r="A26" s="107" t="n">
        <x:v>801</x:v>
      </x:c>
      <x:c r="B26" s="107" t="str">
        <x:v>Dhaka - Coxs Bazar</x:v>
      </x:c>
      <x:c r="C26" s="107" t="str">
        <x:v>Coxs Bazar - Dhaka</x:v>
      </x:c>
      <x:c r="D26" s="111"/>
      <x:c r="E26" s="111"/>
      <x:c r="F26" s="122"/>
      <x:c r="G26" s="122"/>
    </x:row>
    <x:row r="27" ht="28" customHeight="1">
      <x:c r="A27" s="107" t="n">
        <x:v>802</x:v>
      </x:c>
      <x:c r="B27" s="107" t="str">
        <x:v>Dhaka - Coxs Bazar</x:v>
      </x:c>
      <x:c r="C27" s="107" t="str">
        <x:v>Coxs Bazar - Dhaka</x:v>
      </x:c>
      <x:c r="D27" s="111"/>
      <x:c r="E27" s="111"/>
      <x:c r="F27" s="122"/>
      <x:c r="G27" s="122"/>
    </x:row>
    <x:row r="28" ht="28" customHeight="1">
      <x:c r="A28" s="107" t="n">
        <x:v>803</x:v>
      </x:c>
      <x:c r="B28" s="107" t="str">
        <x:v>Dhaka - Coxs Bazar</x:v>
      </x:c>
      <x:c r="C28" s="107" t="str">
        <x:v>Coxs Bazar - Dhaka</x:v>
      </x:c>
      <x:c r="D28" s="111"/>
      <x:c r="E28" s="111"/>
      <x:c r="F28" s="122"/>
      <x:c r="G28" s="122"/>
    </x:row>
    <x:row r="29" ht="28" customHeight="1">
      <x:c r="A29" s="107" t="n">
        <x:v>804</x:v>
      </x:c>
      <x:c r="B29" s="107" t="str">
        <x:v>Dhaka - Coxs Bazar</x:v>
      </x:c>
      <x:c r="C29" s="107" t="str">
        <x:v>Coxs Bazar - Dhaka</x:v>
      </x:c>
      <x:c r="D29" s="111"/>
      <x:c r="E29" s="111"/>
      <x:c r="F29" s="122"/>
      <x:c r="G29" s="122"/>
    </x:row>
    <x:row r="30" ht="28" customHeight="1">
      <x:c r="A30" s="107" t="n">
        <x:v>805</x:v>
      </x:c>
      <x:c r="B30" s="107" t="str">
        <x:v>Dhaka - Coxs Bazar</x:v>
      </x:c>
      <x:c r="C30" s="107" t="str">
        <x:v>Coxs Bazar - Dhaka</x:v>
      </x:c>
      <x:c r="D30" s="111"/>
      <x:c r="E30" s="111"/>
      <x:c r="F30" s="122"/>
      <x:c r="G30" s="122"/>
    </x:row>
    <x:row r="31" ht="28" customHeight="1">
      <x:c r="A31" s="107" t="n">
        <x:v>806</x:v>
      </x:c>
      <x:c r="B31" s="107" t="str">
        <x:v>Dhaka - Coxs Bazar</x:v>
      </x:c>
      <x:c r="C31" s="107" t="str">
        <x:v>Coxs Bazar - Dhaka</x:v>
      </x:c>
      <x:c r="D31" s="111"/>
      <x:c r="E31" s="111"/>
      <x:c r="F31" s="122"/>
      <x:c r="G31" s="122"/>
    </x:row>
    <x:row r="32" ht="28" customHeight="1">
      <x:c r="A32" s="107" t="n">
        <x:v>807</x:v>
      </x:c>
      <x:c r="B32" s="107" t="str">
        <x:v>Dhaka - Coxs Bazar</x:v>
      </x:c>
      <x:c r="C32" s="107" t="str">
        <x:v>Coxs Bazar - Dhaka</x:v>
      </x:c>
      <x:c r="D32" s="111"/>
      <x:c r="E32" s="111"/>
      <x:c r="F32" s="122"/>
      <x:c r="G32" s="122"/>
    </x:row>
    <x:row r="33" ht="28" customHeight="1">
      <x:c r="A33" s="107" t="n">
        <x:v>808</x:v>
      </x:c>
      <x:c r="B33" s="107" t="str">
        <x:v>Dhaka - Coxs Bazar</x:v>
      </x:c>
      <x:c r="C33" s="107" t="str">
        <x:v>Coxs Bazar - Dhaka</x:v>
      </x:c>
      <x:c r="D33" s="111"/>
      <x:c r="E33" s="111"/>
      <x:c r="F33" s="122"/>
      <x:c r="G33" s="122"/>
    </x:row>
    <x:row r="34" ht="28" customHeight="1">
      <x:c r="A34" s="107" t="n">
        <x:v>809</x:v>
      </x:c>
      <x:c r="B34" s="107" t="str">
        <x:v>Dhaka - Coxs Bazar</x:v>
      </x:c>
      <x:c r="C34" s="107" t="str">
        <x:v>Coxs Bazar - Dhaka</x:v>
      </x:c>
      <x:c r="D34" s="111"/>
      <x:c r="E34" s="111"/>
      <x:c r="F34" s="122"/>
      <x:c r="G34" s="122"/>
    </x:row>
    <x:row r="35" ht="28" customHeight="1">
      <x:c r="A35" s="107" t="n">
        <x:v>810</x:v>
      </x:c>
      <x:c r="B35" s="107" t="str">
        <x:v>Dhaka - Coxs Bazar</x:v>
      </x:c>
      <x:c r="C35" s="107" t="str">
        <x:v>Coxs Bazar - Dhaka</x:v>
      </x:c>
      <x:c r="D35" s="111"/>
      <x:c r="E35" s="111"/>
      <x:c r="F35" s="122"/>
      <x:c r="G35" s="122"/>
    </x:row>
    <x:row r="36" ht="28" customHeight="1">
      <x:c r="A36" s="107" t="n">
        <x:v>811</x:v>
      </x:c>
      <x:c r="B36" s="107" t="str">
        <x:v>Dhaka - Coxs Bazar</x:v>
      </x:c>
      <x:c r="C36" s="107" t="str">
        <x:v>Coxs Bazar - Dhaka</x:v>
      </x:c>
      <x:c r="D36" s="111"/>
      <x:c r="E36" s="111"/>
      <x:c r="F36" s="122"/>
      <x:c r="G36" s="122"/>
    </x:row>
    <x:row r="37" ht="28" customHeight="1">
      <x:c r="A37" s="107" t="n">
        <x:v>812</x:v>
      </x:c>
      <x:c r="B37" s="107" t="str">
        <x:v>Dhaka - Coxs Bazar</x:v>
      </x:c>
      <x:c r="C37" s="107" t="str">
        <x:v>Coxs Bazar - Dhaka</x:v>
      </x:c>
      <x:c r="D37" s="111"/>
      <x:c r="E37" s="111"/>
      <x:c r="F37" s="122"/>
      <x:c r="G37" s="122"/>
    </x:row>
    <x:row r="38" ht="28" customHeight="1">
      <x:c r="A38" s="107" t="n">
        <x:v>813</x:v>
      </x:c>
      <x:c r="B38" s="107" t="str">
        <x:v>Dhaka - Coxs Bazar</x:v>
      </x:c>
      <x:c r="C38" s="107" t="str">
        <x:v>Coxs Bazar - Dhaka</x:v>
      </x:c>
      <x:c r="D38" s="111"/>
      <x:c r="E38" s="111"/>
      <x:c r="F38" s="122"/>
      <x:c r="G38" s="122"/>
    </x:row>
    <x:row r="39" ht="28" customHeight="1">
      <x:c r="A39" s="107" t="n">
        <x:v>814</x:v>
      </x:c>
      <x:c r="B39" s="107" t="str">
        <x:v>Dhaka - Coxs Bazar</x:v>
      </x:c>
      <x:c r="C39" s="107" t="str">
        <x:v>Coxs Bazar - Dhaka</x:v>
      </x:c>
      <x:c r="D39" s="111"/>
      <x:c r="E39" s="111"/>
      <x:c r="F39" s="122"/>
      <x:c r="G39" s="122"/>
    </x:row>
    <x:row r="40" ht="28" customHeight="1">
      <x:c r="A40" s="107" t="n">
        <x:v>815</x:v>
      </x:c>
      <x:c r="B40" s="107" t="str">
        <x:v>Dhaka - Coxs Bazar</x:v>
      </x:c>
      <x:c r="C40" s="107" t="str">
        <x:v>Coxs Bazar - Dhaka</x:v>
      </x:c>
      <x:c r="D40" s="111"/>
      <x:c r="E40" s="111"/>
      <x:c r="F40" s="122"/>
      <x:c r="G40" s="122"/>
    </x:row>
    <x:row r="41" ht="28" customHeight="1">
      <x:c r="A41" s="107" t="n">
        <x:v>816</x:v>
      </x:c>
      <x:c r="B41" s="107" t="str">
        <x:v>Dhaka - Coxs Bazar</x:v>
      </x:c>
      <x:c r="C41" s="107" t="str">
        <x:v>Coxs Bazar - Dhaka</x:v>
      </x:c>
      <x:c r="D41" s="111"/>
      <x:c r="E41" s="111"/>
      <x:c r="F41" s="122"/>
      <x:c r="G41" s="122"/>
    </x:row>
    <x:row r="42" ht="28" customHeight="1">
      <x:c r="A42" s="107" t="n">
        <x:v>817</x:v>
      </x:c>
      <x:c r="B42" s="107" t="str">
        <x:v>Dhaka - Coxs Bazar</x:v>
      </x:c>
      <x:c r="C42" s="107" t="str">
        <x:v>Coxs Bazar - Dhaka</x:v>
      </x:c>
      <x:c r="D42" s="111"/>
      <x:c r="E42" s="111"/>
      <x:c r="F42" s="122"/>
      <x:c r="G42" s="122"/>
    </x:row>
    <x:row r="43" ht="28" customHeight="1">
      <x:c r="A43" s="107" t="n">
        <x:v>818</x:v>
      </x:c>
      <x:c r="B43" s="107" t="str">
        <x:v>Dhaka - Coxs Bazar</x:v>
      </x:c>
      <x:c r="C43" s="107" t="str">
        <x:v>Coxs Bazar - Dhaka</x:v>
      </x:c>
      <x:c r="D43" s="111"/>
      <x:c r="E43" s="111"/>
      <x:c r="F43" s="122"/>
      <x:c r="G43" s="122"/>
    </x:row>
    <x:row r="44" ht="28" customHeight="1">
      <x:c r="A44" s="107" t="n">
        <x:v>819</x:v>
      </x:c>
      <x:c r="B44" s="107" t="str">
        <x:v>Dhaka - Coxs Bazar</x:v>
      </x:c>
      <x:c r="C44" s="107" t="str">
        <x:v>Coxs Bazar - Dhaka</x:v>
      </x:c>
      <x:c r="D44" s="111"/>
      <x:c r="E44" s="111"/>
      <x:c r="F44" s="122"/>
      <x:c r="G44" s="122"/>
    </x:row>
    <x:row r="45" ht="28" customHeight="1">
      <x:c r="A45" s="107" t="n">
        <x:v>820</x:v>
      </x:c>
      <x:c r="B45" s="107" t="str">
        <x:v>Dhaka - Coxs Bazar</x:v>
      </x:c>
      <x:c r="C45" s="107" t="str">
        <x:v>Coxs Bazar - Dhaka</x:v>
      </x:c>
      <x:c r="D45" s="111"/>
      <x:c r="E45" s="111"/>
      <x:c r="F45" s="122"/>
      <x:c r="G45" s="122"/>
    </x:row>
    <x:row r="46" ht="28" customHeight="1">
      <x:c r="A46" s="107" t="n">
        <x:v>1201</x:v>
      </x:c>
      <x:c r="B46" s="107" t="str">
        <x:v>Dhaka - Kaptai</x:v>
      </x:c>
      <x:c r="C46" s="107" t="str">
        <x:v>Kaptai - Dhaka</x:v>
      </x:c>
      <x:c r="D46" s="111"/>
      <x:c r="E46" s="111"/>
      <x:c r="F46" s="122"/>
      <x:c r="G46" s="122"/>
    </x:row>
    <x:row r="47" ht="28" customHeight="1">
      <x:c r="A47" s="107" t="n">
        <x:v>1202</x:v>
      </x:c>
      <x:c r="B47" s="107" t="str">
        <x:v>Dhaka - Kaptai</x:v>
      </x:c>
      <x:c r="C47" s="107" t="str">
        <x:v>Kaptai - Dhaka</x:v>
      </x:c>
      <x:c r="D47" s="111"/>
      <x:c r="E47" s="111"/>
      <x:c r="F47" s="122"/>
      <x:c r="G47" s="122"/>
    </x:row>
    <x:row r="48" ht="28" customHeight="1">
      <x:c r="A48" s="107" t="n">
        <x:v>1203</x:v>
      </x:c>
      <x:c r="B48" s="107" t="str">
        <x:v>Dhaka - Kaptai</x:v>
      </x:c>
      <x:c r="C48" s="107" t="str">
        <x:v>Kaptai - Dhaka</x:v>
      </x:c>
      <x:c r="D48" s="111"/>
      <x:c r="E48" s="111"/>
      <x:c r="F48" s="122"/>
      <x:c r="G48" s="122"/>
    </x:row>
    <x:row r="49" ht="28" customHeight="1">
      <x:c r="A49" s="107" t="n">
        <x:v>1204</x:v>
      </x:c>
      <x:c r="B49" s="107" t="str">
        <x:v>Dhaka - Kaptai</x:v>
      </x:c>
      <x:c r="C49" s="107" t="str">
        <x:v>Kaptai - Dhaka</x:v>
      </x:c>
      <x:c r="D49" s="111"/>
      <x:c r="E49" s="111"/>
      <x:c r="F49" s="122"/>
      <x:c r="G49" s="122"/>
    </x:row>
    <x:row r="50" ht="28" customHeight="1">
      <x:c r="A50" s="107" t="n">
        <x:v>1205</x:v>
      </x:c>
      <x:c r="B50" s="107" t="str">
        <x:v>Dhaka - Kaptai</x:v>
      </x:c>
      <x:c r="C50" s="107" t="str">
        <x:v>Kaptai - Dhaka</x:v>
      </x:c>
      <x:c r="D50" s="111"/>
      <x:c r="E50" s="111"/>
      <x:c r="F50" s="122"/>
      <x:c r="G50" s="122"/>
    </x:row>
    <x:row r="51" ht="28" customHeight="1">
      <x:c r="A51" s="107" t="n">
        <x:v>1206</x:v>
      </x:c>
      <x:c r="B51" s="107" t="str">
        <x:v>Dhaka - Kaptai</x:v>
      </x:c>
      <x:c r="C51" s="107" t="str">
        <x:v>Kaptai - Dhaka</x:v>
      </x:c>
      <x:c r="D51" s="111"/>
      <x:c r="E51" s="111"/>
      <x:c r="F51" s="122"/>
      <x:c r="G51" s="122"/>
    </x:row>
    <x:row r="52" ht="28" customHeight="1">
      <x:c r="A52" s="107" t="n">
        <x:v>1207</x:v>
      </x:c>
      <x:c r="B52" s="107" t="str">
        <x:v>Dhaka - Kaptai</x:v>
      </x:c>
      <x:c r="C52" s="107" t="str">
        <x:v>Kaptai - Dhaka</x:v>
      </x:c>
      <x:c r="D52" s="111"/>
      <x:c r="E52" s="111"/>
      <x:c r="F52" s="122"/>
      <x:c r="G52" s="122"/>
    </x:row>
    <x:row r="53" ht="28" customHeight="1">
      <x:c r="A53" s="107" t="n">
        <x:v>1208</x:v>
      </x:c>
      <x:c r="B53" s="107" t="str">
        <x:v>Dhaka - Kaptai</x:v>
      </x:c>
      <x:c r="C53" s="107" t="str">
        <x:v>Kaptai - Dhaka</x:v>
      </x:c>
      <x:c r="D53" s="111"/>
      <x:c r="E53" s="111"/>
      <x:c r="F53" s="122"/>
      <x:c r="G53" s="122"/>
    </x:row>
    <x:row r="54" ht="28" customHeight="1">
      <x:c r="A54" s="107" t="n">
        <x:v>1209</x:v>
      </x:c>
      <x:c r="B54" s="107" t="str">
        <x:v>Dhaka - Kaptai</x:v>
      </x:c>
      <x:c r="C54" s="107" t="str">
        <x:v>Kaptai - Dhaka</x:v>
      </x:c>
      <x:c r="D54" s="111"/>
      <x:c r="E54" s="111"/>
      <x:c r="F54" s="122"/>
      <x:c r="G54" s="122"/>
    </x:row>
    <x:row r="55" ht="28" customHeight="1">
      <x:c r="A55" s="107" t="n">
        <x:v>1210</x:v>
      </x:c>
      <x:c r="B55" s="107" t="str">
        <x:v>Dhaka - Kaptai</x:v>
      </x:c>
      <x:c r="C55" s="107" t="str">
        <x:v>Kaptai - Dhaka</x:v>
      </x:c>
      <x:c r="D55" s="111"/>
      <x:c r="E55" s="111"/>
      <x:c r="F55" s="122"/>
      <x:c r="G55" s="122"/>
    </x:row>
    <x:row r="56" ht="28" customHeight="1">
      <x:c r="A56" s="107" t="n">
        <x:v>1211</x:v>
      </x:c>
      <x:c r="B56" s="107" t="str">
        <x:v>Dhaka - Kaptai</x:v>
      </x:c>
      <x:c r="C56" s="107" t="str">
        <x:v>Kaptai - Dhaka</x:v>
      </x:c>
      <x:c r="D56" s="111"/>
      <x:c r="E56" s="111"/>
      <x:c r="F56" s="122"/>
      <x:c r="G56" s="122"/>
    </x:row>
    <x:row r="57" ht="28" customHeight="1">
      <x:c r="A57" s="107" t="n">
        <x:v>1212</x:v>
      </x:c>
      <x:c r="B57" s="107" t="str">
        <x:v>Dhaka - Kaptai</x:v>
      </x:c>
      <x:c r="C57" s="107" t="str">
        <x:v>Kaptai - Dhaka</x:v>
      </x:c>
      <x:c r="D57" s="111"/>
      <x:c r="E57" s="111"/>
      <x:c r="F57" s="122"/>
      <x:c r="G57" s="122"/>
    </x:row>
    <x:row r="58" ht="28" customHeight="1">
      <x:c r="A58" s="107" t="n">
        <x:v>1213</x:v>
      </x:c>
      <x:c r="B58" s="107" t="str">
        <x:v>Dhaka - Kaptai</x:v>
      </x:c>
      <x:c r="C58" s="107" t="str">
        <x:v>Kaptai - Dhaka</x:v>
      </x:c>
      <x:c r="D58" s="111"/>
      <x:c r="E58" s="111"/>
      <x:c r="F58" s="122"/>
      <x:c r="G58" s="122"/>
    </x:row>
    <x:row r="59" ht="28" customHeight="1">
      <x:c r="A59" s="107" t="n">
        <x:v>1214</x:v>
      </x:c>
      <x:c r="B59" s="107" t="str">
        <x:v>Dhaka - Kaptai</x:v>
      </x:c>
      <x:c r="C59" s="107" t="str">
        <x:v>Kaptai - Dhaka</x:v>
      </x:c>
      <x:c r="D59" s="111"/>
      <x:c r="E59" s="111"/>
      <x:c r="F59" s="122"/>
      <x:c r="G59" s="122"/>
    </x:row>
    <x:row r="60" ht="28" customHeight="1">
      <x:c r="A60" s="107" t="n">
        <x:v>1215</x:v>
      </x:c>
      <x:c r="B60" s="107" t="str">
        <x:v>Dhaka - Kaptai</x:v>
      </x:c>
      <x:c r="C60" s="107" t="str">
        <x:v>Kaptai - Dhaka</x:v>
      </x:c>
      <x:c r="D60" s="111"/>
      <x:c r="E60" s="111"/>
      <x:c r="F60" s="122"/>
      <x:c r="G60" s="122"/>
    </x:row>
    <x:row r="61" ht="28" customHeight="1">
      <x:c r="A61" s="107" t="n">
        <x:v>1216</x:v>
      </x:c>
      <x:c r="B61" s="107" t="str">
        <x:v>Dhaka - Kaptai</x:v>
      </x:c>
      <x:c r="C61" s="107" t="str">
        <x:v>Kaptai - Dhaka</x:v>
      </x:c>
      <x:c r="D61" s="111"/>
      <x:c r="E61" s="111"/>
      <x:c r="F61" s="122"/>
      <x:c r="G61" s="122"/>
    </x:row>
    <x:row r="62" ht="28" customHeight="1">
      <x:c r="A62" s="107" t="n">
        <x:v>1217</x:v>
      </x:c>
      <x:c r="B62" s="107" t="str">
        <x:v>Dhaka - Kaptai</x:v>
      </x:c>
      <x:c r="C62" s="107" t="str">
        <x:v>Kaptai - Dhaka</x:v>
      </x:c>
      <x:c r="D62" s="111"/>
      <x:c r="E62" s="111"/>
      <x:c r="F62" s="122"/>
      <x:c r="G62" s="122"/>
    </x:row>
    <x:row r="63" ht="28" customHeight="1">
      <x:c r="A63" s="107" t="n">
        <x:v>1218</x:v>
      </x:c>
      <x:c r="B63" s="107" t="str">
        <x:v>Dhaka - Kaptai</x:v>
      </x:c>
      <x:c r="C63" s="107" t="str">
        <x:v>Kaptai - Dhaka</x:v>
      </x:c>
      <x:c r="D63" s="111"/>
      <x:c r="E63" s="111"/>
      <x:c r="F63" s="122"/>
      <x:c r="G63" s="122"/>
    </x:row>
    <x:row r="64" ht="28" customHeight="1">
      <x:c r="A64" s="107" t="n">
        <x:v>1219</x:v>
      </x:c>
      <x:c r="B64" s="107" t="str">
        <x:v>Dhaka - Kaptai</x:v>
      </x:c>
      <x:c r="C64" s="107" t="str">
        <x:v>Kaptai - Dhaka</x:v>
      </x:c>
      <x:c r="D64" s="111"/>
      <x:c r="E64" s="111"/>
      <x:c r="F64" s="122"/>
      <x:c r="G64" s="122"/>
    </x:row>
    <x:row r="65" ht="28" customHeight="1">
      <x:c r="A65" s="107" t="n">
        <x:v>1220</x:v>
      </x:c>
      <x:c r="B65" s="107" t="str">
        <x:v>Dhaka - Kaptai</x:v>
      </x:c>
      <x:c r="C65" s="107" t="str">
        <x:v>Kaptai - Dhaka</x:v>
      </x:c>
      <x:c r="D65" s="111"/>
      <x:c r="E65" s="111"/>
      <x:c r="F65" s="122"/>
      <x:c r="G65" s="122"/>
    </x:row>
    <x:row r="66" ht="28" customHeight="1">
      <x:c r="A66" s="107"/>
      <x:c r="B66" s="107"/>
      <x:c r="C66" s="107"/>
      <x:c r="D66" s="111"/>
      <x:c r="E66" s="111"/>
      <x:c r="F66" s="122"/>
      <x:c r="G66" s="122"/>
    </x:row>
    <x:row r="67" ht="28" customHeight="1">
      <x:c r="A67" s="107"/>
      <x:c r="B67" s="107"/>
      <x:c r="C67" s="107"/>
      <x:c r="D67" s="111"/>
      <x:c r="E67" s="111"/>
      <x:c r="F67" s="122"/>
      <x:c r="G67" s="122"/>
    </x:row>
    <x:row r="68" ht="28" customHeight="1">
      <x:c r="A68" s="107"/>
      <x:c r="B68" s="107"/>
      <x:c r="C68" s="107"/>
      <x:c r="D68" s="111"/>
      <x:c r="E68" s="111"/>
      <x:c r="F68" s="122"/>
      <x:c r="G68" s="122"/>
    </x:row>
    <x:row r="69" ht="28" customHeight="1">
      <x:c r="A69" s="107"/>
      <x:c r="B69" s="107"/>
      <x:c r="C69" s="107"/>
      <x:c r="D69" s="111"/>
      <x:c r="E69" s="111"/>
      <x:c r="F69" s="122"/>
      <x:c r="G69" s="122"/>
    </x:row>
    <x:row r="70" ht="28" customHeight="1">
      <x:c r="A70" s="107"/>
      <x:c r="B70" s="107"/>
      <x:c r="C70" s="107"/>
      <x:c r="D70" s="111"/>
      <x:c r="E70" s="111"/>
      <x:c r="F70" s="122"/>
      <x:c r="G70" s="122"/>
    </x:row>
    <x:row r="71" ht="28" customHeight="1">
      <x:c r="A71" s="107"/>
      <x:c r="B71" s="107"/>
      <x:c r="C71" s="107"/>
      <x:c r="D71" s="111"/>
      <x:c r="E71" s="111"/>
      <x:c r="F71" s="122"/>
      <x:c r="G71" s="122"/>
    </x:row>
    <x:row r="72" ht="28" customHeight="1">
      <x:c r="A72" s="107"/>
      <x:c r="B72" s="107"/>
      <x:c r="C72" s="107"/>
      <x:c r="D72" s="111"/>
      <x:c r="E72" s="111"/>
      <x:c r="F72" s="122"/>
      <x:c r="G72" s="122"/>
    </x:row>
    <x:row r="73" ht="28" customHeight="1">
      <x:c r="A73" s="107"/>
      <x:c r="B73" s="107"/>
      <x:c r="C73" s="107"/>
      <x:c r="D73" s="111"/>
      <x:c r="E73" s="111"/>
      <x:c r="F73" s="122"/>
      <x:c r="G73" s="122"/>
    </x:row>
    <x:row r="74" ht="28" customHeight="1">
      <x:c r="A74" s="107"/>
      <x:c r="B74" s="107"/>
      <x:c r="C74" s="107"/>
      <x:c r="D74" s="111"/>
      <x:c r="E74" s="111"/>
      <x:c r="F74" s="122"/>
      <x:c r="G74" s="122"/>
    </x:row>
    <x:row r="75" ht="28" customHeight="1">
      <x:c r="A75" s="107"/>
      <x:c r="B75" s="107"/>
      <x:c r="C75" s="107"/>
      <x:c r="D75" s="111"/>
      <x:c r="E75" s="111"/>
      <x:c r="F75" s="122"/>
      <x:c r="G75" s="122"/>
    </x:row>
    <x:row r="76" ht="28" customHeight="1">
      <x:c r="A76" s="107"/>
      <x:c r="B76" s="107"/>
      <x:c r="C76" s="107"/>
      <x:c r="D76" s="111"/>
      <x:c r="E76" s="111"/>
      <x:c r="F76" s="122"/>
      <x:c r="G76" s="122"/>
    </x:row>
    <x:row r="77" ht="28" customHeight="1">
      <x:c r="A77" s="107"/>
      <x:c r="B77" s="107"/>
      <x:c r="C77" s="107"/>
      <x:c r="D77" s="111"/>
      <x:c r="E77" s="111"/>
      <x:c r="F77" s="122"/>
      <x:c r="G77" s="122"/>
    </x:row>
    <x:row r="78" ht="28" customHeight="1">
      <x:c r="A78" s="107"/>
      <x:c r="B78" s="107"/>
      <x:c r="C78" s="107"/>
      <x:c r="D78" s="111"/>
      <x:c r="E78" s="111"/>
      <x:c r="F78" s="122"/>
      <x:c r="G78" s="122"/>
    </x:row>
    <x:row r="79" ht="28" customHeight="1">
      <x:c r="A79" s="107"/>
      <x:c r="B79" s="107"/>
      <x:c r="C79" s="107"/>
      <x:c r="D79" s="111"/>
      <x:c r="E79" s="111"/>
      <x:c r="F79" s="122"/>
      <x:c r="G79" s="122"/>
    </x:row>
    <x:row r="80" ht="28" customHeight="1">
      <x:c r="A80" s="107"/>
      <x:c r="B80" s="107"/>
      <x:c r="C80" s="107"/>
      <x:c r="D80" s="111"/>
      <x:c r="E80" s="111"/>
      <x:c r="F80" s="122"/>
      <x:c r="G80" s="122"/>
    </x:row>
    <x:row r="81" ht="28" customHeight="1">
      <x:c r="A81" s="107"/>
      <x:c r="B81" s="107"/>
      <x:c r="C81" s="107"/>
      <x:c r="D81" s="111"/>
      <x:c r="E81" s="111"/>
      <x:c r="F81" s="122"/>
      <x:c r="G81" s="122"/>
    </x:row>
    <x:row r="82" ht="28" customHeight="1">
      <x:c r="A82" s="107"/>
      <x:c r="B82" s="107"/>
      <x:c r="C82" s="107"/>
      <x:c r="D82" s="111"/>
      <x:c r="E82" s="111"/>
      <x:c r="F82" s="122"/>
      <x:c r="G82" s="122"/>
    </x:row>
    <x:row r="83" ht="28" customHeight="1">
      <x:c r="A83" s="107"/>
      <x:c r="B83" s="107"/>
      <x:c r="C83" s="107"/>
      <x:c r="D83" s="111"/>
      <x:c r="E83" s="111"/>
      <x:c r="F83" s="122"/>
      <x:c r="G83" s="122"/>
    </x:row>
    <x:row r="84" ht="28" customHeight="1">
      <x:c r="A84" s="107"/>
      <x:c r="B84" s="107"/>
      <x:c r="C84" s="107"/>
      <x:c r="D84" s="111"/>
      <x:c r="E84" s="111"/>
      <x:c r="F84" s="122"/>
      <x:c r="G84" s="122"/>
    </x:row>
    <x:row r="85" ht="28" customHeight="1">
      <x:c r="A85" s="107"/>
      <x:c r="B85" s="107"/>
      <x:c r="C85" s="107"/>
      <x:c r="D85" s="111"/>
      <x:c r="E85" s="111"/>
      <x:c r="F85" s="122"/>
      <x:c r="G85" s="122"/>
    </x:row>
    <x:row r="86" ht="28" customHeight="1">
      <x:c r="A86" s="107"/>
      <x:c r="B86" s="107"/>
      <x:c r="C86" s="107"/>
      <x:c r="D86" s="111"/>
      <x:c r="E86" s="111"/>
      <x:c r="F86" s="122"/>
      <x:c r="G86" s="122"/>
    </x:row>
    <x:row r="87" ht="28" customHeight="1">
      <x:c r="A87" s="107"/>
      <x:c r="B87" s="107"/>
      <x:c r="C87" s="107"/>
      <x:c r="D87" s="111"/>
      <x:c r="E87" s="111"/>
      <x:c r="F87" s="122"/>
      <x:c r="G87" s="122"/>
    </x:row>
    <x:row r="88" ht="28" customHeight="1">
      <x:c r="A88" s="107"/>
      <x:c r="B88" s="107"/>
      <x:c r="C88" s="107"/>
      <x:c r="D88" s="111"/>
      <x:c r="E88" s="111"/>
      <x:c r="F88" s="122"/>
      <x:c r="G88" s="122"/>
    </x:row>
    <x:row r="89" ht="28" customHeight="1">
      <x:c r="A89" s="107"/>
      <x:c r="B89" s="107"/>
      <x:c r="C89" s="107"/>
      <x:c r="D89" s="111"/>
      <x:c r="E89" s="111"/>
      <x:c r="F89" s="122"/>
      <x:c r="G89" s="122"/>
    </x:row>
    <x:row r="90" ht="28" customHeight="1">
      <x:c r="A90" s="107"/>
      <x:c r="B90" s="107"/>
      <x:c r="C90" s="107"/>
      <x:c r="D90" s="111"/>
      <x:c r="E90" s="111"/>
      <x:c r="F90" s="122"/>
      <x:c r="G90" s="122"/>
    </x:row>
    <x:row r="91" ht="28" customHeight="1">
      <x:c r="A91" s="107"/>
      <x:c r="B91" s="107"/>
      <x:c r="C91" s="107"/>
      <x:c r="D91" s="111"/>
      <x:c r="E91" s="111"/>
      <x:c r="F91" s="122"/>
      <x:c r="G91" s="122"/>
    </x:row>
    <x:row r="92" ht="28" customHeight="1">
      <x:c r="A92" s="107"/>
      <x:c r="B92" s="107"/>
      <x:c r="C92" s="107"/>
      <x:c r="D92" s="111"/>
      <x:c r="E92" s="111"/>
      <x:c r="F92" s="122"/>
      <x:c r="G92" s="122"/>
    </x:row>
    <x:row r="93" ht="28" customHeight="1">
      <x:c r="A93" s="107"/>
      <x:c r="B93" s="107"/>
      <x:c r="C93" s="107"/>
      <x:c r="D93" s="111"/>
      <x:c r="E93" s="111"/>
      <x:c r="F93" s="122"/>
      <x:c r="G93" s="122"/>
    </x:row>
    <x:row r="94" ht="28" customHeight="1">
      <x:c r="A94" s="107"/>
      <x:c r="B94" s="107"/>
      <x:c r="C94" s="107"/>
      <x:c r="D94" s="111"/>
      <x:c r="E94" s="111"/>
      <x:c r="F94" s="122"/>
      <x:c r="G94" s="122"/>
    </x:row>
    <x:row r="95" ht="28" customHeight="1">
      <x:c r="A95" s="107"/>
      <x:c r="B95" s="107"/>
      <x:c r="C95" s="107"/>
      <x:c r="D95" s="111"/>
      <x:c r="E95" s="111"/>
      <x:c r="F95" s="122"/>
      <x:c r="G95" s="122"/>
    </x:row>
    <x:row r="96" ht="28" customHeight="1">
      <x:c r="A96" s="107"/>
      <x:c r="B96" s="107"/>
      <x:c r="C96" s="107"/>
      <x:c r="D96" s="111"/>
      <x:c r="E96" s="111"/>
      <x:c r="F96" s="122"/>
      <x:c r="G96" s="122"/>
    </x:row>
    <x:row r="97" ht="28" customHeight="1">
      <x:c r="A97" s="107"/>
      <x:c r="B97" s="107"/>
      <x:c r="C97" s="107"/>
      <x:c r="D97" s="111"/>
      <x:c r="E97" s="111"/>
      <x:c r="F97" s="122"/>
      <x:c r="G97" s="122"/>
    </x:row>
    <x:row r="98" ht="28" customHeight="1">
      <x:c r="A98" s="107"/>
      <x:c r="B98" s="107"/>
      <x:c r="C98" s="107"/>
      <x:c r="D98" s="111"/>
      <x:c r="E98" s="111"/>
      <x:c r="F98" s="122"/>
      <x:c r="G98" s="122"/>
    </x:row>
    <x:row r="99" ht="28" customHeight="1">
      <x:c r="A99" s="107"/>
      <x:c r="B99" s="107"/>
      <x:c r="C99" s="107"/>
      <x:c r="D99" s="111"/>
      <x:c r="E99" s="111"/>
      <x:c r="F99" s="122"/>
      <x:c r="G99" s="122"/>
    </x:row>
    <x:row r="100" ht="28" customHeight="1">
      <x:c r="A100" s="107"/>
      <x:c r="B100" s="107"/>
      <x:c r="C100" s="107"/>
      <x:c r="D100" s="111"/>
      <x:c r="E100" s="111"/>
      <x:c r="F100" s="122"/>
      <x:c r="G100" s="122"/>
    </x:row>
    <x:row r="101" ht="28" customHeight="1">
      <x:c r="A101" s="107"/>
      <x:c r="B101" s="107"/>
      <x:c r="C101" s="107"/>
      <x:c r="D101" s="111"/>
      <x:c r="E101" s="111"/>
      <x:c r="F101" s="122"/>
      <x:c r="G101" s="122"/>
    </x:row>
    <x:row r="102" ht="28" customHeight="1">
      <x:c r="A102" s="107"/>
      <x:c r="B102" s="107"/>
      <x:c r="C102" s="107"/>
      <x:c r="D102" s="111"/>
      <x:c r="E102" s="111"/>
      <x:c r="F102" s="122"/>
      <x:c r="G102" s="122"/>
    </x:row>
    <x:row r="103" ht="28" customHeight="1">
      <x:c r="A103" s="107"/>
      <x:c r="B103" s="107"/>
      <x:c r="C103" s="107"/>
      <x:c r="D103" s="111"/>
      <x:c r="E103" s="111"/>
      <x:c r="F103" s="122"/>
      <x:c r="G103" s="122"/>
    </x:row>
    <x:row r="104" ht="28" customHeight="1">
      <x:c r="A104" s="107"/>
      <x:c r="B104" s="107"/>
      <x:c r="C104" s="107"/>
      <x:c r="D104" s="111"/>
      <x:c r="E104" s="111"/>
      <x:c r="F104" s="122"/>
      <x:c r="G104" s="122"/>
    </x:row>
    <x:row r="105" ht="28" customHeight="1">
      <x:c r="A105" s="107"/>
      <x:c r="B105" s="107"/>
      <x:c r="C105" s="107"/>
      <x:c r="D105" s="111"/>
      <x:c r="E105" s="111"/>
      <x:c r="F105" s="122"/>
      <x:c r="G105" s="122"/>
    </x:row>
    <x:row r="106" ht="28" customHeight="1">
      <x:c r="A106" s="107"/>
      <x:c r="B106" s="107"/>
      <x:c r="C106" s="107"/>
      <x:c r="D106" s="111"/>
      <x:c r="E106" s="111"/>
      <x:c r="F106" s="122"/>
      <x:c r="G106" s="122"/>
    </x:row>
    <x:row r="107" ht="28" customHeight="1">
      <x:c r="A107" s="107"/>
      <x:c r="B107" s="107"/>
      <x:c r="C107" s="107"/>
      <x:c r="D107" s="111"/>
      <x:c r="E107" s="111"/>
      <x:c r="F107" s="122"/>
      <x:c r="G107" s="122"/>
    </x:row>
    <x:row r="108" ht="28" customHeight="1">
      <x:c r="A108" s="107"/>
      <x:c r="B108" s="107"/>
      <x:c r="C108" s="107"/>
      <x:c r="D108" s="111"/>
      <x:c r="E108" s="111"/>
      <x:c r="F108" s="122"/>
      <x:c r="G108" s="122"/>
    </x:row>
    <x:row r="109" ht="28" customHeight="1">
      <x:c r="A109" s="107"/>
      <x:c r="B109" s="107"/>
      <x:c r="C109" s="107"/>
      <x:c r="D109" s="111"/>
      <x:c r="E109" s="111"/>
      <x:c r="F109" s="122"/>
      <x:c r="G109" s="122"/>
    </x:row>
    <x:row r="110" ht="28" customHeight="1">
      <x:c r="A110" s="107"/>
      <x:c r="B110" s="107"/>
      <x:c r="C110" s="107"/>
      <x:c r="D110" s="111"/>
      <x:c r="E110" s="111"/>
      <x:c r="F110" s="122"/>
      <x:c r="G110" s="122"/>
    </x:row>
    <x:row r="111" ht="28" customHeight="1">
      <x:c r="A111" s="107"/>
      <x:c r="B111" s="107"/>
      <x:c r="C111" s="107"/>
      <x:c r="D111" s="111"/>
      <x:c r="E111" s="111"/>
      <x:c r="F111" s="122"/>
      <x:c r="G111" s="122"/>
    </x:row>
    <x:row r="112" ht="28" customHeight="1">
      <x:c r="A112" s="107"/>
      <x:c r="B112" s="107"/>
      <x:c r="C112" s="107"/>
      <x:c r="D112" s="111"/>
      <x:c r="E112" s="111"/>
      <x:c r="F112" s="122"/>
      <x:c r="G112" s="122"/>
    </x:row>
    <x:row r="113" ht="28" customHeight="1">
      <x:c r="A113" s="107"/>
      <x:c r="B113" s="107"/>
      <x:c r="C113" s="107"/>
      <x:c r="D113" s="111"/>
      <x:c r="E113" s="111"/>
      <x:c r="F113" s="122"/>
      <x:c r="G113" s="122"/>
    </x:row>
    <x:row r="114" ht="28" customHeight="1">
      <x:c r="A114" s="107"/>
      <x:c r="B114" s="107"/>
      <x:c r="C114" s="107"/>
      <x:c r="D114" s="111"/>
      <x:c r="E114" s="111"/>
      <x:c r="F114" s="122"/>
      <x:c r="G114" s="122"/>
    </x:row>
    <x:row r="115" ht="28" customHeight="1">
      <x:c r="A115" s="107"/>
      <x:c r="B115" s="107"/>
      <x:c r="C115" s="107"/>
      <x:c r="D115" s="111"/>
      <x:c r="E115" s="111"/>
      <x:c r="F115" s="122"/>
      <x:c r="G115" s="122"/>
    </x:row>
    <x:row r="116" ht="28" customHeight="1">
      <x:c r="A116" s="107"/>
      <x:c r="B116" s="107"/>
      <x:c r="C116" s="107"/>
      <x:c r="D116" s="111"/>
      <x:c r="E116" s="111"/>
      <x:c r="F116" s="122"/>
      <x:c r="G116" s="122"/>
    </x:row>
    <x:row r="117" ht="28" customHeight="1">
      <x:c r="A117" s="107"/>
      <x:c r="B117" s="107"/>
      <x:c r="C117" s="107"/>
      <x:c r="D117" s="111"/>
      <x:c r="E117" s="111"/>
      <x:c r="F117" s="122"/>
      <x:c r="G117" s="122"/>
    </x:row>
    <x:row r="118" ht="28" customHeight="1">
      <x:c r="A118" s="107"/>
      <x:c r="B118" s="107"/>
      <x:c r="C118" s="107"/>
      <x:c r="D118" s="111"/>
      <x:c r="E118" s="111"/>
      <x:c r="F118" s="122"/>
      <x:c r="G118" s="122"/>
    </x:row>
    <x:row r="119" ht="28" customHeight="1">
      <x:c r="A119" s="107"/>
      <x:c r="B119" s="107"/>
      <x:c r="C119" s="107"/>
      <x:c r="D119" s="111"/>
      <x:c r="E119" s="111"/>
      <x:c r="F119" s="122"/>
      <x:c r="G119" s="122"/>
    </x:row>
    <x:row r="120" ht="28" customHeight="1">
      <x:c r="A120" s="107"/>
      <x:c r="B120" s="107"/>
      <x:c r="C120" s="107"/>
      <x:c r="D120" s="111"/>
      <x:c r="E120" s="111"/>
      <x:c r="F120" s="122"/>
      <x:c r="G120" s="122"/>
    </x:row>
    <x:row r="121" ht="28" customHeight="1">
      <x:c r="A121" s="107"/>
      <x:c r="B121" s="107"/>
      <x:c r="C121" s="107"/>
      <x:c r="D121" s="111"/>
      <x:c r="E121" s="111"/>
      <x:c r="F121" s="122"/>
      <x:c r="G121" s="122"/>
    </x:row>
    <x:row r="122" ht="28" customHeight="1">
      <x:c r="A122" s="107"/>
      <x:c r="B122" s="107"/>
      <x:c r="C122" s="107"/>
      <x:c r="D122" s="111"/>
      <x:c r="E122" s="111"/>
      <x:c r="F122" s="122"/>
      <x:c r="G122" s="122"/>
    </x:row>
    <x:row r="123" ht="28" customHeight="1">
      <x:c r="A123" s="107"/>
      <x:c r="B123" s="107"/>
      <x:c r="C123" s="107"/>
      <x:c r="D123" s="111"/>
      <x:c r="E123" s="111"/>
      <x:c r="F123" s="122"/>
      <x:c r="G123" s="122"/>
    </x:row>
    <x:row r="124" ht="28" customHeight="1">
      <x:c r="A124" s="107"/>
      <x:c r="B124" s="107"/>
      <x:c r="C124" s="107"/>
      <x:c r="D124" s="111"/>
      <x:c r="E124" s="111"/>
      <x:c r="F124" s="122"/>
      <x:c r="G124" s="122"/>
    </x:row>
    <x:row r="125" ht="28" customHeight="1">
      <x:c r="A125" s="107"/>
      <x:c r="B125" s="107"/>
      <x:c r="C125" s="107"/>
      <x:c r="D125" s="111"/>
      <x:c r="E125" s="111"/>
      <x:c r="F125" s="122"/>
      <x:c r="G125" s="122"/>
    </x:row>
    <x:row r="126" ht="28" customHeight="1">
      <x:c r="A126" s="107"/>
      <x:c r="B126" s="107"/>
      <x:c r="C126" s="107"/>
      <x:c r="D126" s="111"/>
      <x:c r="E126" s="111"/>
      <x:c r="F126" s="122"/>
      <x:c r="G126" s="122"/>
    </x:row>
    <x:row r="127" ht="28" customHeight="1">
      <x:c r="A127" s="107"/>
      <x:c r="B127" s="107"/>
      <x:c r="C127" s="107"/>
      <x:c r="D127" s="111"/>
      <x:c r="E127" s="111"/>
      <x:c r="F127" s="122"/>
      <x:c r="G127" s="122"/>
    </x:row>
    <x:row r="128" ht="28" customHeight="1">
      <x:c r="A128" s="107"/>
      <x:c r="B128" s="107"/>
      <x:c r="C128" s="107"/>
      <x:c r="D128" s="111"/>
      <x:c r="E128" s="111"/>
      <x:c r="F128" s="122"/>
      <x:c r="G128" s="122"/>
    </x:row>
    <x:row r="129" ht="28" customHeight="1">
      <x:c r="A129" s="107"/>
      <x:c r="B129" s="107"/>
      <x:c r="C129" s="107"/>
      <x:c r="D129" s="111"/>
      <x:c r="E129" s="111"/>
      <x:c r="F129" s="122"/>
      <x:c r="G129" s="122"/>
    </x:row>
    <x:row r="130" ht="28" customHeight="1">
      <x:c r="A130" s="107"/>
      <x:c r="B130" s="107"/>
      <x:c r="C130" s="107"/>
      <x:c r="D130" s="111"/>
      <x:c r="E130" s="111"/>
      <x:c r="F130" s="122"/>
      <x:c r="G130" s="122"/>
    </x:row>
    <x:row r="131" ht="28" customHeight="1">
      <x:c r="A131" s="107"/>
      <x:c r="B131" s="107"/>
      <x:c r="C131" s="107"/>
      <x:c r="D131" s="111"/>
      <x:c r="E131" s="111"/>
      <x:c r="F131" s="122"/>
      <x:c r="G131" s="122"/>
    </x:row>
    <x:row r="132" ht="28" customHeight="1">
      <x:c r="A132" s="107"/>
      <x:c r="B132" s="107"/>
      <x:c r="C132" s="107"/>
      <x:c r="D132" s="111"/>
      <x:c r="E132" s="111"/>
      <x:c r="F132" s="122"/>
      <x:c r="G132" s="122"/>
    </x:row>
    <x:row r="133" ht="28" customHeight="1">
      <x:c r="A133" s="107"/>
      <x:c r="B133" s="107"/>
      <x:c r="C133" s="107"/>
      <x:c r="D133" s="111"/>
      <x:c r="E133" s="111"/>
      <x:c r="F133" s="122"/>
      <x:c r="G133" s="122"/>
    </x:row>
    <x:row r="134" ht="28" customHeight="1">
      <x:c r="A134" s="107"/>
      <x:c r="B134" s="107"/>
      <x:c r="C134" s="107"/>
      <x:c r="D134" s="111"/>
      <x:c r="E134" s="111"/>
      <x:c r="F134" s="122"/>
      <x:c r="G134" s="122"/>
    </x:row>
    <x:row r="135" ht="28" customHeight="1">
      <x:c r="A135" s="107"/>
      <x:c r="B135" s="107"/>
      <x:c r="C135" s="107"/>
      <x:c r="D135" s="111"/>
      <x:c r="E135" s="111"/>
      <x:c r="F135" s="122"/>
      <x:c r="G135" s="122"/>
    </x:row>
    <x:row r="136" ht="28" customHeight="1">
      <x:c r="A136" s="107"/>
      <x:c r="B136" s="107"/>
      <x:c r="C136" s="107"/>
      <x:c r="D136" s="111"/>
      <x:c r="E136" s="111"/>
      <x:c r="F136" s="122"/>
      <x:c r="G136" s="122"/>
    </x:row>
    <x:row r="137" ht="28" customHeight="1">
      <x:c r="A137" s="107"/>
      <x:c r="B137" s="107"/>
      <x:c r="C137" s="107"/>
      <x:c r="D137" s="111"/>
      <x:c r="E137" s="111"/>
      <x:c r="F137" s="122"/>
      <x:c r="G137" s="122"/>
    </x:row>
    <x:row r="138" ht="28" customHeight="1">
      <x:c r="A138" s="107"/>
      <x:c r="B138" s="107"/>
      <x:c r="C138" s="107"/>
      <x:c r="D138" s="111"/>
      <x:c r="E138" s="111"/>
      <x:c r="F138" s="122"/>
      <x:c r="G138" s="122"/>
    </x:row>
    <x:row r="139" ht="28" customHeight="1">
      <x:c r="A139" s="107"/>
      <x:c r="B139" s="107"/>
      <x:c r="C139" s="107"/>
      <x:c r="D139" s="111"/>
      <x:c r="E139" s="111"/>
      <x:c r="F139" s="122"/>
      <x:c r="G139" s="122"/>
    </x:row>
    <x:row r="140" ht="28" customHeight="1">
      <x:c r="A140" s="107"/>
      <x:c r="B140" s="107"/>
      <x:c r="C140" s="107"/>
      <x:c r="D140" s="111"/>
      <x:c r="E140" s="111"/>
      <x:c r="F140" s="122"/>
      <x:c r="G140" s="122"/>
    </x:row>
    <x:row r="141" ht="28" customHeight="1">
      <x:c r="A141" s="107"/>
      <x:c r="B141" s="107"/>
      <x:c r="C141" s="107"/>
      <x:c r="D141" s="111"/>
      <x:c r="E141" s="111"/>
      <x:c r="F141" s="122"/>
      <x:c r="G141" s="122"/>
    </x:row>
    <x:row r="142" ht="28" customHeight="1">
      <x:c r="A142" s="107"/>
      <x:c r="B142" s="107"/>
      <x:c r="C142" s="107"/>
      <x:c r="D142" s="111"/>
      <x:c r="E142" s="111"/>
      <x:c r="F142" s="122"/>
      <x:c r="G142" s="122"/>
    </x:row>
    <x:row r="143" ht="28" customHeight="1">
      <x:c r="A143" s="107"/>
      <x:c r="B143" s="107"/>
      <x:c r="C143" s="107"/>
      <x:c r="D143" s="111"/>
      <x:c r="E143" s="111"/>
      <x:c r="F143" s="122"/>
      <x:c r="G143" s="122"/>
    </x:row>
    <x:row r="144" ht="28" customHeight="1">
      <x:c r="A144" s="107"/>
      <x:c r="B144" s="107"/>
      <x:c r="C144" s="107"/>
      <x:c r="D144" s="111"/>
      <x:c r="E144" s="111"/>
      <x:c r="F144" s="122"/>
      <x:c r="G144" s="122"/>
    </x:row>
    <x:row r="145" ht="28" customHeight="1">
      <x:c r="A145" s="107"/>
      <x:c r="B145" s="107"/>
      <x:c r="C145" s="107"/>
      <x:c r="D145" s="111"/>
      <x:c r="E145" s="111"/>
      <x:c r="F145" s="122"/>
      <x:c r="G145" s="122"/>
    </x:row>
    <x:row r="146" ht="28" customHeight="1">
      <x:c r="A146" s="107"/>
      <x:c r="B146" s="107"/>
      <x:c r="C146" s="107"/>
      <x:c r="D146" s="111"/>
      <x:c r="E146" s="111"/>
      <x:c r="F146" s="122"/>
      <x:c r="G146" s="122"/>
    </x:row>
    <x:row r="147" ht="28" customHeight="1">
      <x:c r="A147" s="107"/>
      <x:c r="B147" s="107"/>
      <x:c r="C147" s="107"/>
      <x:c r="D147" s="111"/>
      <x:c r="E147" s="111"/>
      <x:c r="F147" s="122"/>
      <x:c r="G147" s="122"/>
    </x:row>
    <x:row r="148" ht="28" customHeight="1">
      <x:c r="A148" s="107"/>
      <x:c r="B148" s="107"/>
      <x:c r="C148" s="107"/>
      <x:c r="D148" s="111"/>
      <x:c r="E148" s="111"/>
      <x:c r="F148" s="122"/>
      <x:c r="G148" s="122"/>
    </x:row>
    <x:row r="149" ht="28" customHeight="1">
      <x:c r="A149" s="107"/>
      <x:c r="B149" s="107"/>
      <x:c r="C149" s="107"/>
      <x:c r="D149" s="111"/>
      <x:c r="E149" s="111"/>
      <x:c r="F149" s="122"/>
      <x:c r="G149" s="122"/>
    </x:row>
    <x:row r="150" ht="28" customHeight="1">
      <x:c r="A150" s="107"/>
      <x:c r="B150" s="107"/>
      <x:c r="C150" s="107"/>
      <x:c r="D150" s="111"/>
      <x:c r="E150" s="111"/>
      <x:c r="F150" s="122"/>
      <x:c r="G150" s="122"/>
    </x:row>
    <x:row r="151" ht="28" customHeight="1">
      <x:c r="A151" s="107"/>
      <x:c r="B151" s="107"/>
      <x:c r="C151" s="107"/>
      <x:c r="D151" s="111"/>
      <x:c r="E151" s="111"/>
      <x:c r="F151" s="122"/>
      <x:c r="G151" s="122"/>
    </x:row>
    <x:row r="152" ht="28" customHeight="1">
      <x:c r="A152" s="107"/>
      <x:c r="B152" s="107"/>
      <x:c r="C152" s="107"/>
      <x:c r="D152" s="111"/>
      <x:c r="E152" s="111"/>
      <x:c r="F152" s="122"/>
      <x:c r="G152" s="122"/>
    </x:row>
    <x:row r="153" ht="28" customHeight="1">
      <x:c r="A153" s="107"/>
      <x:c r="B153" s="107"/>
      <x:c r="C153" s="107"/>
      <x:c r="D153" s="111"/>
      <x:c r="E153" s="111"/>
      <x:c r="F153" s="122"/>
      <x:c r="G153" s="122"/>
    </x:row>
    <x:row r="154" ht="28" customHeight="1">
      <x:c r="A154" s="107"/>
      <x:c r="B154" s="107"/>
      <x:c r="C154" s="107"/>
      <x:c r="D154" s="111"/>
      <x:c r="E154" s="111"/>
      <x:c r="F154" s="122"/>
      <x:c r="G154" s="122"/>
    </x:row>
    <x:row r="155" ht="28" customHeight="1">
      <x:c r="A155" s="107"/>
      <x:c r="B155" s="107"/>
      <x:c r="C155" s="107"/>
      <x:c r="D155" s="111"/>
      <x:c r="E155" s="111"/>
      <x:c r="F155" s="122"/>
      <x:c r="G155" s="122"/>
    </x:row>
    <x:row r="156" ht="28" customHeight="1">
      <x:c r="A156" s="107"/>
      <x:c r="B156" s="107"/>
      <x:c r="C156" s="107"/>
      <x:c r="D156" s="111"/>
      <x:c r="E156" s="111"/>
      <x:c r="F156" s="122"/>
      <x:c r="G156" s="122"/>
    </x:row>
    <x:row r="157" ht="28" customHeight="1">
      <x:c r="A157" s="107"/>
      <x:c r="B157" s="107"/>
      <x:c r="C157" s="107"/>
      <x:c r="D157" s="111"/>
      <x:c r="E157" s="111"/>
      <x:c r="F157" s="122"/>
      <x:c r="G157" s="122"/>
    </x:row>
    <x:row r="158" ht="28" customHeight="1">
      <x:c r="A158" s="107"/>
      <x:c r="B158" s="107"/>
      <x:c r="C158" s="107"/>
      <x:c r="D158" s="111"/>
      <x:c r="E158" s="111"/>
      <x:c r="F158" s="122"/>
      <x:c r="G158" s="122"/>
    </x:row>
    <x:row r="159" ht="28" customHeight="1">
      <x:c r="A159" s="107"/>
      <x:c r="B159" s="107"/>
      <x:c r="C159" s="107"/>
      <x:c r="D159" s="111"/>
      <x:c r="E159" s="111"/>
      <x:c r="F159" s="122"/>
      <x:c r="G159" s="122"/>
    </x:row>
    <x:row r="160" ht="28" customHeight="1">
      <x:c r="A160" s="107"/>
      <x:c r="B160" s="107"/>
      <x:c r="C160" s="107"/>
      <x:c r="D160" s="111"/>
      <x:c r="E160" s="111"/>
      <x:c r="F160" s="122"/>
      <x:c r="G160" s="122"/>
    </x:row>
    <x:row r="161" ht="28" customHeight="1">
      <x:c r="A161" s="107"/>
      <x:c r="B161" s="107"/>
      <x:c r="C161" s="107"/>
      <x:c r="D161" s="111"/>
      <x:c r="E161" s="111"/>
      <x:c r="F161" s="122"/>
      <x:c r="G161" s="122"/>
    </x:row>
    <x:row r="162" ht="28" customHeight="1">
      <x:c r="A162" s="107"/>
      <x:c r="B162" s="107"/>
      <x:c r="C162" s="107"/>
      <x:c r="D162" s="111"/>
      <x:c r="E162" s="111"/>
      <x:c r="F162" s="122"/>
      <x:c r="G162" s="122"/>
    </x:row>
    <x:row r="163" ht="28" customHeight="1">
      <x:c r="A163" s="107"/>
      <x:c r="B163" s="107"/>
      <x:c r="C163" s="107"/>
      <x:c r="D163" s="111"/>
      <x:c r="E163" s="111"/>
      <x:c r="F163" s="122"/>
      <x:c r="G163" s="122"/>
    </x:row>
    <x:row r="164" ht="28" customHeight="1">
      <x:c r="A164" s="107"/>
      <x:c r="B164" s="107"/>
      <x:c r="C164" s="107"/>
      <x:c r="D164" s="111"/>
      <x:c r="E164" s="111"/>
      <x:c r="F164" s="122"/>
      <x:c r="G164" s="122"/>
    </x:row>
    <x:row r="165" ht="28" customHeight="1">
      <x:c r="A165" s="107"/>
      <x:c r="B165" s="107"/>
      <x:c r="C165" s="107"/>
      <x:c r="D165" s="111"/>
      <x:c r="E165" s="111"/>
      <x:c r="F165" s="122"/>
      <x:c r="G165" s="122"/>
    </x:row>
    <x:row r="166" ht="28" customHeight="1">
      <x:c r="A166" s="107"/>
      <x:c r="B166" s="107"/>
      <x:c r="C166" s="107"/>
      <x:c r="D166" s="111"/>
      <x:c r="E166" s="111"/>
      <x:c r="F166" s="122"/>
      <x:c r="G166" s="122"/>
    </x:row>
    <x:row r="167" ht="28" customHeight="1">
      <x:c r="A167" s="107"/>
      <x:c r="B167" s="107"/>
      <x:c r="C167" s="107"/>
      <x:c r="D167" s="111"/>
      <x:c r="E167" s="111"/>
      <x:c r="F167" s="122"/>
      <x:c r="G167" s="122"/>
    </x:row>
    <x:row r="168" ht="28" customHeight="1">
      <x:c r="A168" s="107"/>
      <x:c r="B168" s="107"/>
      <x:c r="C168" s="107"/>
      <x:c r="D168" s="111"/>
      <x:c r="E168" s="111"/>
      <x:c r="F168" s="122"/>
      <x:c r="G168" s="122"/>
    </x:row>
    <x:row r="169" ht="28" customHeight="1">
      <x:c r="A169" s="107"/>
      <x:c r="B169" s="107"/>
      <x:c r="C169" s="107"/>
      <x:c r="D169" s="111"/>
      <x:c r="E169" s="111"/>
      <x:c r="F169" s="122"/>
      <x:c r="G169" s="122"/>
    </x:row>
    <x:row r="170" ht="28" customHeight="1">
      <x:c r="A170" s="107"/>
      <x:c r="B170" s="107"/>
      <x:c r="C170" s="107"/>
      <x:c r="D170" s="111"/>
      <x:c r="E170" s="111"/>
      <x:c r="F170" s="122"/>
      <x:c r="G170" s="122"/>
    </x:row>
    <x:row r="171" ht="28" customHeight="1">
      <x:c r="A171" s="107"/>
      <x:c r="B171" s="107"/>
      <x:c r="C171" s="107"/>
      <x:c r="D171" s="111"/>
      <x:c r="E171" s="111"/>
      <x:c r="F171" s="122"/>
      <x:c r="G171" s="122"/>
    </x:row>
    <x:row r="172" ht="28" customHeight="1">
      <x:c r="A172" s="107"/>
      <x:c r="B172" s="107"/>
      <x:c r="C172" s="107"/>
      <x:c r="D172" s="111"/>
      <x:c r="E172" s="111"/>
      <x:c r="F172" s="122"/>
      <x:c r="G172" s="122"/>
    </x:row>
    <x:row r="173" ht="28" customHeight="1">
      <x:c r="A173" s="107"/>
      <x:c r="B173" s="107"/>
      <x:c r="C173" s="107"/>
      <x:c r="D173" s="111"/>
      <x:c r="E173" s="111"/>
      <x:c r="F173" s="122"/>
      <x:c r="G173" s="122"/>
    </x:row>
    <x:row r="174" ht="28" customHeight="1">
      <x:c r="A174" s="107"/>
      <x:c r="B174" s="107"/>
      <x:c r="C174" s="107"/>
      <x:c r="D174" s="111"/>
      <x:c r="E174" s="111"/>
      <x:c r="F174" s="122"/>
      <x:c r="G174" s="122"/>
    </x:row>
    <x:row r="175" ht="28" customHeight="1">
      <x:c r="A175" s="107"/>
      <x:c r="B175" s="107"/>
      <x:c r="C175" s="107"/>
      <x:c r="D175" s="111"/>
      <x:c r="E175" s="111"/>
      <x:c r="F175" s="122"/>
      <x:c r="G175" s="122"/>
    </x:row>
    <x:row r="176" ht="28" customHeight="1">
      <x:c r="A176" s="107"/>
      <x:c r="B176" s="107"/>
      <x:c r="C176" s="107"/>
      <x:c r="D176" s="111"/>
      <x:c r="E176" s="111"/>
      <x:c r="F176" s="122"/>
      <x:c r="G176" s="122"/>
    </x:row>
    <x:row r="177" ht="28" customHeight="1">
      <x:c r="A177" s="107"/>
      <x:c r="B177" s="107"/>
      <x:c r="C177" s="107"/>
      <x:c r="D177" s="111"/>
      <x:c r="E177" s="111"/>
      <x:c r="F177" s="122"/>
      <x:c r="G177" s="122"/>
    </x:row>
    <x:row r="178" ht="28" customHeight="1">
      <x:c r="A178" s="107"/>
      <x:c r="B178" s="107"/>
      <x:c r="C178" s="107"/>
      <x:c r="D178" s="111"/>
      <x:c r="E178" s="111"/>
      <x:c r="F178" s="122"/>
      <x:c r="G178" s="122"/>
    </x:row>
    <x:row r="179" ht="28" customHeight="1">
      <x:c r="A179" s="107"/>
      <x:c r="B179" s="107"/>
      <x:c r="C179" s="107"/>
      <x:c r="D179" s="111"/>
      <x:c r="E179" s="111"/>
      <x:c r="F179" s="122"/>
      <x:c r="G179" s="122"/>
    </x:row>
    <x:row r="180" ht="28" customHeight="1">
      <x:c r="A180" s="107"/>
      <x:c r="B180" s="107"/>
      <x:c r="C180" s="107"/>
      <x:c r="D180" s="111"/>
      <x:c r="E180" s="111"/>
      <x:c r="F180" s="122"/>
      <x:c r="G180" s="122"/>
    </x:row>
    <x:row r="181" ht="28" customHeight="1">
      <x:c r="A181" s="107"/>
      <x:c r="B181" s="107"/>
      <x:c r="C181" s="107"/>
      <x:c r="D181" s="111"/>
      <x:c r="E181" s="111"/>
      <x:c r="F181" s="122"/>
      <x:c r="G181" s="122"/>
    </x:row>
    <x:row r="182" ht="28" customHeight="1">
      <x:c r="A182" s="107"/>
      <x:c r="B182" s="107"/>
      <x:c r="C182" s="107"/>
      <x:c r="D182" s="111"/>
      <x:c r="E182" s="111"/>
      <x:c r="F182" s="122"/>
      <x:c r="G182" s="122"/>
    </x:row>
    <x:row r="183" ht="28" customHeight="1">
      <x:c r="A183" s="107"/>
      <x:c r="B183" s="107"/>
      <x:c r="C183" s="107"/>
      <x:c r="D183" s="111"/>
      <x:c r="E183" s="111"/>
      <x:c r="F183" s="122"/>
      <x:c r="G183" s="122"/>
    </x:row>
    <x:row r="184" ht="28" customHeight="1">
      <x:c r="A184" s="107"/>
      <x:c r="B184" s="107"/>
      <x:c r="C184" s="107"/>
      <x:c r="D184" s="111"/>
      <x:c r="E184" s="111"/>
      <x:c r="F184" s="122"/>
      <x:c r="G184" s="122"/>
    </x:row>
    <x:row r="185" ht="28" customHeight="1">
      <x:c r="A185" s="107"/>
      <x:c r="B185" s="107"/>
      <x:c r="C185" s="107"/>
      <x:c r="D185" s="111"/>
      <x:c r="E185" s="111"/>
      <x:c r="F185" s="122"/>
      <x:c r="G185" s="122"/>
    </x:row>
    <x:row r="186" ht="28" customHeight="1">
      <x:c r="A186" s="107"/>
      <x:c r="B186" s="107"/>
      <x:c r="C186" s="107"/>
      <x:c r="D186" s="111"/>
      <x:c r="E186" s="111"/>
      <x:c r="F186" s="122"/>
      <x:c r="G186" s="122"/>
    </x:row>
    <x:row r="187" ht="28" customHeight="1">
      <x:c r="A187" s="107"/>
      <x:c r="B187" s="107"/>
      <x:c r="C187" s="107"/>
      <x:c r="D187" s="111"/>
      <x:c r="E187" s="111"/>
      <x:c r="F187" s="122"/>
      <x:c r="G187" s="122"/>
    </x:row>
    <x:row r="188" ht="28" customHeight="1">
      <x:c r="A188" s="107"/>
      <x:c r="B188" s="107"/>
      <x:c r="C188" s="107"/>
      <x:c r="D188" s="111"/>
      <x:c r="E188" s="111"/>
      <x:c r="F188" s="122"/>
      <x:c r="G188" s="122"/>
    </x:row>
    <x:row r="189" ht="28" customHeight="1">
      <x:c r="A189" s="107"/>
      <x:c r="B189" s="107"/>
      <x:c r="C189" s="107"/>
      <x:c r="D189" s="111"/>
      <x:c r="E189" s="111"/>
      <x:c r="F189" s="122"/>
      <x:c r="G189" s="122"/>
    </x:row>
    <x:row r="190" ht="28" customHeight="1">
      <x:c r="A190" s="107"/>
      <x:c r="B190" s="107"/>
      <x:c r="C190" s="107"/>
      <x:c r="D190" s="111"/>
      <x:c r="E190" s="111"/>
      <x:c r="F190" s="122"/>
      <x:c r="G190" s="122"/>
    </x:row>
    <x:row r="191" ht="28" customHeight="1">
      <x:c r="A191" s="107"/>
      <x:c r="B191" s="107"/>
      <x:c r="C191" s="107"/>
      <x:c r="D191" s="111"/>
      <x:c r="E191" s="111"/>
      <x:c r="F191" s="122"/>
      <x:c r="G191" s="122"/>
    </x:row>
    <x:row r="192" ht="28" customHeight="1">
      <x:c r="A192" s="107"/>
      <x:c r="B192" s="107"/>
      <x:c r="C192" s="107"/>
      <x:c r="D192" s="111"/>
      <x:c r="E192" s="111"/>
      <x:c r="F192" s="122"/>
      <x:c r="G192" s="122"/>
    </x:row>
    <x:row r="193" ht="28" customHeight="1">
      <x:c r="A193" s="107"/>
      <x:c r="B193" s="107"/>
      <x:c r="C193" s="107"/>
      <x:c r="D193" s="111"/>
      <x:c r="E193" s="111"/>
      <x:c r="F193" s="122"/>
      <x:c r="G193" s="122"/>
    </x:row>
    <x:row r="194" ht="28" customHeight="1">
      <x:c r="A194" s="107"/>
      <x:c r="B194" s="107"/>
      <x:c r="C194" s="107"/>
      <x:c r="D194" s="111"/>
      <x:c r="E194" s="111"/>
      <x:c r="F194" s="122"/>
      <x:c r="G194" s="122"/>
    </x:row>
    <x:row r="195" ht="28" customHeight="1">
      <x:c r="A195" s="107"/>
      <x:c r="B195" s="107"/>
      <x:c r="C195" s="107"/>
      <x:c r="D195" s="111"/>
      <x:c r="E195" s="111"/>
      <x:c r="F195" s="122"/>
      <x:c r="G195" s="122"/>
    </x:row>
    <x:row r="196" ht="28" customHeight="1">
      <x:c r="A196" s="107"/>
      <x:c r="B196" s="107"/>
      <x:c r="C196" s="107"/>
      <x:c r="D196" s="111"/>
      <x:c r="E196" s="111"/>
      <x:c r="F196" s="122"/>
      <x:c r="G196" s="122"/>
    </x:row>
    <x:row r="197" ht="28" customHeight="1">
      <x:c r="A197" s="107"/>
      <x:c r="B197" s="107"/>
      <x:c r="C197" s="107"/>
      <x:c r="D197" s="111"/>
      <x:c r="E197" s="111"/>
      <x:c r="F197" s="122"/>
      <x:c r="G197" s="122"/>
    </x:row>
    <x:row r="198" ht="28" customHeight="1">
      <x:c r="A198" s="107"/>
      <x:c r="B198" s="107"/>
      <x:c r="C198" s="107"/>
      <x:c r="D198" s="111"/>
      <x:c r="E198" s="111"/>
      <x:c r="F198" s="122"/>
      <x:c r="G198" s="122"/>
    </x:row>
    <x:row r="199" ht="28" customHeight="1">
      <x:c r="A199" s="107"/>
      <x:c r="B199" s="107"/>
      <x:c r="C199" s="107"/>
      <x:c r="D199" s="111"/>
      <x:c r="E199" s="111"/>
      <x:c r="F199" s="122"/>
      <x:c r="G199" s="122"/>
    </x:row>
    <x:row r="200" ht="28" customHeight="1">
      <x:c r="A200" s="107"/>
      <x:c r="B200" s="107"/>
      <x:c r="C200" s="107"/>
      <x:c r="D200" s="111"/>
      <x:c r="E200" s="111"/>
      <x:c r="F200" s="122"/>
      <x:c r="G200" s="122"/>
    </x:row>
    <x:row r="201" ht="28" customHeight="1">
      <x:c r="A201" s="107"/>
      <x:c r="B201" s="107"/>
      <x:c r="C201" s="107"/>
      <x:c r="D201" s="111"/>
      <x:c r="E201" s="111"/>
      <x:c r="F201" s="122"/>
      <x:c r="G201" s="122"/>
    </x:row>
    <x:row r="202" ht="28" customHeight="1">
      <x:c r="A202" s="107"/>
      <x:c r="B202" s="107"/>
      <x:c r="C202" s="107"/>
      <x:c r="D202" s="111"/>
      <x:c r="E202" s="111"/>
      <x:c r="F202" s="122"/>
      <x:c r="G202" s="122"/>
    </x:row>
    <x:row r="203" ht="28" customHeight="1">
      <x:c r="A203" s="107"/>
      <x:c r="B203" s="107"/>
      <x:c r="C203" s="107"/>
      <x:c r="D203" s="111"/>
      <x:c r="E203" s="111"/>
      <x:c r="F203" s="122"/>
      <x:c r="G203" s="122"/>
    </x:row>
    <x:row r="204" ht="28" customHeight="1">
      <x:c r="A204" s="107"/>
      <x:c r="B204" s="107"/>
      <x:c r="C204" s="107"/>
      <x:c r="D204" s="111"/>
      <x:c r="E204" s="111"/>
      <x:c r="F204" s="122"/>
      <x:c r="G204" s="122"/>
    </x:row>
    <x:row r="205" ht="28" customHeight="1">
      <x:c r="A205" s="107"/>
      <x:c r="B205" s="107"/>
      <x:c r="C205" s="107"/>
      <x:c r="D205" s="111"/>
      <x:c r="E205" s="111"/>
      <x:c r="F205" s="122"/>
      <x:c r="G205" s="122"/>
    </x:row>
    <x:row r="206" ht="28" customHeight="1">
      <x:c r="A206" s="107"/>
      <x:c r="B206" s="107"/>
      <x:c r="C206" s="107"/>
      <x:c r="D206" s="111"/>
      <x:c r="E206" s="111"/>
      <x:c r="F206" s="111"/>
      <x:c r="G206" s="111"/>
    </x:row>
    <x:row r="207" ht="28" customHeight="1">
      <x:c r="A207" s="107"/>
      <x:c r="B207" s="107"/>
      <x:c r="C207" s="107"/>
      <x:c r="D207" s="111"/>
      <x:c r="E207" s="111"/>
      <x:c r="F207" s="111"/>
      <x:c r="G207" s="111"/>
    </x:row>
    <x:row r="208" ht="28" customHeight="1">
      <x:c r="A208" s="107"/>
      <x:c r="B208" s="107"/>
      <x:c r="C208" s="107"/>
      <x:c r="D208" s="111"/>
      <x:c r="E208" s="111"/>
      <x:c r="F208" s="111"/>
      <x:c r="G208" s="111"/>
    </x:row>
    <x:row r="209" ht="28" customHeight="1">
      <x:c r="A209" s="107"/>
      <x:c r="B209" s="107"/>
      <x:c r="C209" s="107"/>
      <x:c r="D209" s="111"/>
      <x:c r="E209" s="111"/>
      <x:c r="F209" s="111"/>
      <x:c r="G209" s="111"/>
    </x:row>
    <x:row r="210" ht="28" customHeight="1">
      <x:c r="A210" s="107"/>
      <x:c r="B210" s="107"/>
      <x:c r="C210" s="107"/>
      <x:c r="D210" s="111"/>
      <x:c r="E210" s="111"/>
      <x:c r="F210" s="111"/>
      <x:c r="G210" s="111"/>
    </x:row>
    <x:row r="211" ht="28" customHeight="1">
      <x:c r="A211" s="107"/>
      <x:c r="B211" s="107"/>
      <x:c r="C211" s="107"/>
      <x:c r="D211" s="111"/>
      <x:c r="E211" s="111"/>
      <x:c r="F211" s="111"/>
      <x:c r="G211" s="111"/>
    </x:row>
    <x:row r="212" ht="28" customHeight="1">
      <x:c r="A212" s="107"/>
      <x:c r="B212" s="107"/>
      <x:c r="C212" s="107"/>
      <x:c r="D212" s="111"/>
      <x:c r="E212" s="111"/>
      <x:c r="F212" s="111"/>
      <x:c r="G212" s="111"/>
    </x:row>
    <x:row r="213" ht="28" customHeight="1">
      <x:c r="A213" s="107"/>
      <x:c r="B213" s="107"/>
      <x:c r="C213" s="107"/>
      <x:c r="D213" s="111"/>
      <x:c r="E213" s="111"/>
      <x:c r="F213" s="111"/>
      <x:c r="G213" s="111"/>
    </x:row>
    <x:row r="214" ht="28" customHeight="1">
      <x:c r="A214" s="107"/>
      <x:c r="B214" s="107"/>
      <x:c r="C214" s="107"/>
      <x:c r="D214" s="111"/>
      <x:c r="E214" s="111"/>
      <x:c r="F214" s="111"/>
      <x:c r="G214" s="111"/>
    </x:row>
    <x:row r="215" ht="28" customHeight="1">
      <x:c r="A215" s="107"/>
      <x:c r="B215" s="107"/>
      <x:c r="C215" s="107"/>
      <x:c r="D215" s="111"/>
      <x:c r="E215" s="111"/>
      <x:c r="F215" s="111"/>
      <x:c r="G215" s="111"/>
    </x:row>
    <x:row r="216" ht="28" customHeight="1">
      <x:c r="A216" s="107"/>
      <x:c r="B216" s="107"/>
      <x:c r="C216" s="107"/>
      <x:c r="D216" s="111"/>
      <x:c r="E216" s="111"/>
      <x:c r="F216" s="111"/>
      <x:c r="G216" s="111"/>
    </x:row>
    <x:row r="217" ht="28" customHeight="1">
      <x:c r="A217" s="107"/>
      <x:c r="B217" s="107"/>
      <x:c r="C217" s="107"/>
      <x:c r="D217" s="111"/>
      <x:c r="E217" s="111"/>
      <x:c r="F217" s="111"/>
      <x:c r="G217" s="111"/>
    </x:row>
    <x:row r="218" ht="28" customHeight="1">
      <x:c r="A218" s="107"/>
      <x:c r="B218" s="107"/>
      <x:c r="C218" s="107"/>
      <x:c r="D218" s="111"/>
      <x:c r="E218" s="111"/>
      <x:c r="F218" s="111"/>
      <x:c r="G218" s="111"/>
    </x:row>
    <x:row r="219" ht="28" customHeight="1">
      <x:c r="A219" s="107"/>
      <x:c r="B219" s="107"/>
      <x:c r="C219" s="107"/>
      <x:c r="D219" s="111"/>
      <x:c r="E219" s="111"/>
      <x:c r="F219" s="111"/>
      <x:c r="G219" s="111"/>
    </x:row>
    <x:row r="220" ht="28" customHeight="1">
      <x:c r="A220" s="107"/>
      <x:c r="B220" s="107"/>
      <x:c r="C220" s="107"/>
      <x:c r="D220" s="111"/>
      <x:c r="E220" s="111"/>
      <x:c r="F220" s="111"/>
      <x:c r="G220" s="111"/>
    </x:row>
    <x:row r="221" ht="28" customHeight="1">
      <x:c r="A221" s="107"/>
      <x:c r="B221" s="107"/>
      <x:c r="C221" s="107"/>
      <x:c r="D221" s="111"/>
      <x:c r="E221" s="111"/>
      <x:c r="F221" s="111"/>
      <x:c r="G221" s="111"/>
    </x:row>
    <x:row r="222" ht="28" customHeight="1">
      <x:c r="A222" s="107"/>
      <x:c r="B222" s="107"/>
      <x:c r="C222" s="107"/>
      <x:c r="D222" s="111"/>
      <x:c r="E222" s="111"/>
      <x:c r="F222" s="111"/>
      <x:c r="G222" s="111"/>
    </x:row>
    <x:row r="223" ht="28" customHeight="1">
      <x:c r="A223" s="107"/>
      <x:c r="B223" s="107"/>
      <x:c r="C223" s="107"/>
      <x:c r="D223" s="111"/>
      <x:c r="E223" s="111"/>
      <x:c r="F223" s="111"/>
      <x:c r="G223" s="111"/>
    </x:row>
    <x:row r="224" ht="28" customHeight="1">
      <x:c r="A224" s="107"/>
      <x:c r="B224" s="107"/>
      <x:c r="C224" s="107"/>
      <x:c r="D224" s="111"/>
      <x:c r="E224" s="111"/>
      <x:c r="F224" s="111"/>
      <x:c r="G224" s="111"/>
    </x:row>
    <x:row r="225" ht="28" customHeight="1">
      <x:c r="A225" s="107"/>
      <x:c r="B225" s="107"/>
      <x:c r="C225" s="107"/>
      <x:c r="D225" s="111"/>
      <x:c r="E225" s="111"/>
      <x:c r="F225" s="111"/>
      <x:c r="G225" s="111"/>
    </x:row>
    <x:row r="226" ht="28" customHeight="1">
      <x:c r="A226" s="107"/>
      <x:c r="B226" s="107"/>
      <x:c r="C226" s="107"/>
      <x:c r="D226" s="111"/>
      <x:c r="E226" s="111"/>
      <x:c r="F226" s="111"/>
      <x:c r="G226" s="111"/>
    </x:row>
    <x:row r="227" ht="28" customHeight="1">
      <x:c r="A227" s="107"/>
      <x:c r="B227" s="107"/>
      <x:c r="C227" s="107"/>
      <x:c r="D227" s="111"/>
      <x:c r="E227" s="111"/>
      <x:c r="F227" s="111"/>
      <x:c r="G227" s="111"/>
    </x:row>
    <x:row r="228" ht="28" customHeight="1">
      <x:c r="A228" s="107"/>
      <x:c r="B228" s="107"/>
      <x:c r="C228" s="107"/>
      <x:c r="D228" s="111"/>
      <x:c r="E228" s="111"/>
      <x:c r="F228" s="111"/>
      <x:c r="G228" s="111"/>
    </x:row>
    <x:row r="229" ht="28" customHeight="1">
      <x:c r="A229" s="107"/>
      <x:c r="B229" s="107"/>
      <x:c r="C229" s="107"/>
      <x:c r="D229" s="111"/>
      <x:c r="E229" s="111"/>
      <x:c r="F229" s="111"/>
      <x:c r="G229" s="111"/>
    </x:row>
    <x:row r="230" ht="28" customHeight="1">
      <x:c r="A230" s="107"/>
      <x:c r="B230" s="107"/>
      <x:c r="C230" s="107"/>
      <x:c r="D230" s="111"/>
      <x:c r="E230" s="111"/>
      <x:c r="F230" s="111"/>
      <x:c r="G230" s="111"/>
    </x:row>
    <x:row r="231" ht="28" customHeight="1">
      <x:c r="A231" s="107"/>
      <x:c r="B231" s="107"/>
      <x:c r="C231" s="107"/>
      <x:c r="D231" s="111"/>
      <x:c r="E231" s="111"/>
      <x:c r="F231" s="111"/>
      <x:c r="G231" s="111"/>
    </x:row>
    <x:row r="232" ht="28" customHeight="1">
      <x:c r="A232" s="107"/>
      <x:c r="B232" s="107"/>
      <x:c r="C232" s="107"/>
      <x:c r="D232" s="111"/>
      <x:c r="E232" s="111"/>
      <x:c r="F232" s="111"/>
      <x:c r="G232" s="111"/>
    </x:row>
    <x:row r="233" ht="28" customHeight="1">
      <x:c r="A233" s="107"/>
      <x:c r="B233" s="107"/>
      <x:c r="C233" s="107"/>
      <x:c r="D233" s="111"/>
      <x:c r="E233" s="111"/>
      <x:c r="F233" s="111"/>
      <x:c r="G233" s="111"/>
    </x:row>
    <x:row r="234" ht="28" customHeight="1">
      <x:c r="A234" s="107"/>
      <x:c r="B234" s="107"/>
      <x:c r="C234" s="107"/>
      <x:c r="D234" s="111"/>
      <x:c r="E234" s="111"/>
      <x:c r="F234" s="111"/>
      <x:c r="G234" s="111"/>
    </x:row>
    <x:row r="235" ht="28" customHeight="1">
      <x:c r="A235" s="107"/>
      <x:c r="B235" s="107"/>
      <x:c r="C235" s="107"/>
      <x:c r="D235" s="111"/>
      <x:c r="E235" s="111"/>
      <x:c r="F235" s="111"/>
      <x:c r="G235" s="111"/>
    </x:row>
    <x:row r="236" ht="28" customHeight="1">
      <x:c r="A236" s="107"/>
      <x:c r="B236" s="107"/>
      <x:c r="C236" s="107"/>
      <x:c r="D236" s="111"/>
      <x:c r="E236" s="111"/>
      <x:c r="F236" s="111"/>
      <x:c r="G236" s="111"/>
    </x:row>
    <x:row r="237" ht="28" customHeight="1">
      <x:c r="A237" s="107"/>
      <x:c r="B237" s="107"/>
      <x:c r="C237" s="107"/>
      <x:c r="D237" s="111"/>
      <x:c r="E237" s="111"/>
      <x:c r="F237" s="111"/>
      <x:c r="G237" s="111"/>
    </x:row>
    <x:row r="238" ht="28" customHeight="1">
      <x:c r="A238" s="107"/>
      <x:c r="B238" s="107"/>
      <x:c r="C238" s="107"/>
      <x:c r="D238" s="111"/>
      <x:c r="E238" s="111"/>
      <x:c r="F238" s="111"/>
      <x:c r="G238" s="111"/>
    </x:row>
    <x:row r="239" ht="28" customHeight="1">
      <x:c r="A239" s="107"/>
      <x:c r="B239" s="107"/>
      <x:c r="C239" s="107"/>
      <x:c r="D239" s="111"/>
      <x:c r="E239" s="111"/>
      <x:c r="F239" s="111"/>
      <x:c r="G239" s="111"/>
    </x:row>
    <x:row r="240" ht="28" customHeight="1">
      <x:c r="A240" s="107"/>
      <x:c r="B240" s="107"/>
      <x:c r="C240" s="107"/>
      <x:c r="D240" s="111"/>
      <x:c r="E240" s="111"/>
      <x:c r="F240" s="111"/>
      <x:c r="G240" s="111"/>
    </x:row>
    <x:row r="241" ht="28" customHeight="1">
      <x:c r="A241" s="107"/>
      <x:c r="B241" s="107"/>
      <x:c r="C241" s="107"/>
      <x:c r="D241" s="111"/>
      <x:c r="E241" s="111"/>
      <x:c r="F241" s="111"/>
      <x:c r="G241" s="111"/>
    </x:row>
    <x:row r="242" ht="28" customHeight="1">
      <x:c r="A242" s="107"/>
      <x:c r="B242" s="107"/>
      <x:c r="C242" s="107"/>
      <x:c r="D242" s="111"/>
      <x:c r="E242" s="111"/>
      <x:c r="F242" s="111"/>
      <x:c r="G242" s="111"/>
    </x:row>
    <x:row r="243" ht="28" customHeight="1">
      <x:c r="A243" s="107"/>
      <x:c r="B243" s="107"/>
      <x:c r="C243" s="107"/>
      <x:c r="D243" s="111"/>
      <x:c r="E243" s="111"/>
      <x:c r="F243" s="111"/>
      <x:c r="G243" s="111"/>
    </x:row>
    <x:row r="244" ht="28" customHeight="1">
      <x:c r="A244" s="107"/>
      <x:c r="B244" s="107"/>
      <x:c r="C244" s="107"/>
      <x:c r="D244" s="111"/>
      <x:c r="E244" s="111"/>
      <x:c r="F244" s="111"/>
      <x:c r="G244" s="111"/>
    </x:row>
    <x:row r="245" ht="28" customHeight="1">
      <x:c r="A245" s="107"/>
      <x:c r="B245" s="107"/>
      <x:c r="C245" s="107"/>
      <x:c r="D245" s="111"/>
      <x:c r="E245" s="111"/>
      <x:c r="F245" s="111"/>
      <x:c r="G245" s="111"/>
    </x:row>
    <x:row r="246" ht="28" customHeight="1">
      <x:c r="A246" s="107"/>
      <x:c r="B246" s="107"/>
      <x:c r="C246" s="107"/>
      <x:c r="D246" s="111"/>
      <x:c r="E246" s="111"/>
      <x:c r="F246" s="111"/>
      <x:c r="G246" s="111"/>
    </x:row>
    <x:row r="247" ht="28" customHeight="1">
      <x:c r="A247" s="107"/>
      <x:c r="B247" s="107"/>
      <x:c r="C247" s="107"/>
      <x:c r="D247" s="111"/>
      <x:c r="E247" s="111"/>
      <x:c r="F247" s="111"/>
      <x:c r="G247" s="111"/>
    </x:row>
    <x:row r="248" ht="28" customHeight="1">
      <x:c r="A248" s="107"/>
      <x:c r="B248" s="107"/>
      <x:c r="C248" s="107"/>
      <x:c r="D248" s="111"/>
      <x:c r="E248" s="111"/>
      <x:c r="F248" s="111"/>
      <x:c r="G248" s="111"/>
    </x:row>
    <x:row r="249" ht="28" customHeight="1">
      <x:c r="A249" s="107"/>
      <x:c r="B249" s="107"/>
      <x:c r="C249" s="107"/>
      <x:c r="D249" s="111"/>
      <x:c r="E249" s="111"/>
      <x:c r="F249" s="111"/>
      <x:c r="G249" s="111"/>
    </x:row>
    <x:row r="250" ht="28" customHeight="1">
      <x:c r="A250" s="107"/>
      <x:c r="B250" s="107"/>
      <x:c r="C250" s="107"/>
      <x:c r="D250" s="111"/>
      <x:c r="E250" s="111"/>
      <x:c r="F250" s="111"/>
      <x:c r="G250" s="111"/>
    </x:row>
    <x:row r="251" ht="28" customHeight="1">
      <x:c r="A251" s="107"/>
      <x:c r="B251" s="107"/>
      <x:c r="C251" s="107"/>
      <x:c r="D251" s="111"/>
      <x:c r="E251" s="111"/>
      <x:c r="F251" s="111"/>
      <x:c r="G251" s="111"/>
    </x:row>
    <x:row r="252" ht="28" customHeight="1">
      <x:c r="A252" s="107"/>
      <x:c r="B252" s="107"/>
      <x:c r="C252" s="107"/>
      <x:c r="D252" s="111"/>
      <x:c r="E252" s="111"/>
      <x:c r="F252" s="111"/>
      <x:c r="G252" s="111"/>
    </x:row>
    <x:row r="253" ht="28" customHeight="1">
      <x:c r="A253" s="107"/>
      <x:c r="B253" s="107"/>
      <x:c r="C253" s="107"/>
      <x:c r="D253" s="111"/>
      <x:c r="E253" s="111"/>
      <x:c r="F253" s="111"/>
      <x:c r="G253" s="111"/>
    </x:row>
    <x:row r="254" ht="28" customHeight="1">
      <x:c r="A254" s="107"/>
      <x:c r="B254" s="107"/>
      <x:c r="C254" s="107"/>
      <x:c r="D254" s="111"/>
      <x:c r="E254" s="111"/>
      <x:c r="F254" s="111"/>
      <x:c r="G254" s="111"/>
    </x:row>
    <x:row r="255" ht="28" customHeight="1">
      <x:c r="A255" s="107"/>
      <x:c r="B255" s="107"/>
      <x:c r="C255" s="107"/>
      <x:c r="D255" s="111"/>
      <x:c r="E255" s="111"/>
      <x:c r="F255" s="111"/>
      <x:c r="G255" s="111"/>
    </x:row>
    <x:row r="256" ht="28" customHeight="1">
      <x:c r="A256" s="107"/>
      <x:c r="B256" s="107"/>
      <x:c r="C256" s="107"/>
      <x:c r="D256" s="111"/>
      <x:c r="E256" s="111"/>
      <x:c r="F256" s="111"/>
      <x:c r="G256" s="111"/>
    </x:row>
    <x:row r="257" ht="28" customHeight="1">
      <x:c r="A257" s="107"/>
      <x:c r="B257" s="107"/>
      <x:c r="C257" s="107"/>
      <x:c r="D257" s="111"/>
      <x:c r="E257" s="111"/>
      <x:c r="F257" s="111"/>
      <x:c r="G257" s="111"/>
    </x:row>
    <x:row r="258" ht="28" customHeight="1">
      <x:c r="A258" s="107"/>
      <x:c r="B258" s="107"/>
      <x:c r="C258" s="107"/>
      <x:c r="D258" s="111"/>
      <x:c r="E258" s="111"/>
      <x:c r="F258" s="111"/>
      <x:c r="G258" s="111"/>
    </x:row>
    <x:row r="259" ht="28" customHeight="1">
      <x:c r="A259" s="107"/>
      <x:c r="B259" s="107"/>
      <x:c r="C259" s="107"/>
      <x:c r="D259" s="111"/>
      <x:c r="E259" s="111"/>
      <x:c r="F259" s="111"/>
      <x:c r="G259" s="111"/>
    </x:row>
    <x:row r="260" ht="28" customHeight="1">
      <x:c r="A260" s="107"/>
      <x:c r="B260" s="107"/>
      <x:c r="C260" s="107"/>
      <x:c r="D260" s="111"/>
      <x:c r="E260" s="111"/>
      <x:c r="F260" s="111"/>
      <x:c r="G260" s="111"/>
    </x:row>
    <x:row r="261" ht="28" customHeight="1">
      <x:c r="A261" s="107"/>
      <x:c r="B261" s="107"/>
      <x:c r="C261" s="107"/>
      <x:c r="D261" s="111"/>
      <x:c r="E261" s="111"/>
      <x:c r="F261" s="111"/>
      <x:c r="G261" s="111"/>
    </x:row>
    <x:row r="262" ht="28" customHeight="1">
      <x:c r="A262" s="107"/>
      <x:c r="B262" s="107"/>
      <x:c r="C262" s="107"/>
      <x:c r="D262" s="111"/>
      <x:c r="E262" s="111"/>
      <x:c r="F262" s="111"/>
      <x:c r="G262" s="111"/>
    </x:row>
    <x:row r="263" ht="28" customHeight="1">
      <x:c r="A263" s="107"/>
      <x:c r="B263" s="107"/>
      <x:c r="C263" s="107"/>
      <x:c r="D263" s="111"/>
      <x:c r="E263" s="111"/>
      <x:c r="F263" s="111"/>
      <x:c r="G263" s="111"/>
    </x:row>
    <x:row r="264" ht="28" customHeight="1">
      <x:c r="A264" s="107"/>
      <x:c r="B264" s="107"/>
      <x:c r="C264" s="107"/>
      <x:c r="D264" s="111"/>
      <x:c r="E264" s="111"/>
      <x:c r="F264" s="111"/>
      <x:c r="G264" s="111"/>
    </x:row>
    <x:row r="265" ht="28" customHeight="1">
      <x:c r="A265" s="107"/>
      <x:c r="B265" s="107"/>
      <x:c r="C265" s="107"/>
      <x:c r="D265" s="111"/>
      <x:c r="E265" s="111"/>
      <x:c r="F265" s="111"/>
      <x:c r="G265" s="111"/>
    </x:row>
    <x:row r="266" ht="28" customHeight="1">
      <x:c r="A266" s="107"/>
      <x:c r="B266" s="107"/>
      <x:c r="C266" s="107"/>
      <x:c r="D266" s="111"/>
      <x:c r="E266" s="111"/>
      <x:c r="F266" s="111"/>
      <x:c r="G266" s="111"/>
    </x:row>
    <x:row r="267" ht="28" customHeight="1">
      <x:c r="A267" s="107"/>
      <x:c r="B267" s="107"/>
      <x:c r="C267" s="107"/>
      <x:c r="D267" s="111"/>
      <x:c r="E267" s="111"/>
      <x:c r="F267" s="111"/>
      <x:c r="G267" s="111"/>
    </x:row>
    <x:row r="268" ht="28" customHeight="1">
      <x:c r="A268" s="107"/>
      <x:c r="B268" s="107"/>
      <x:c r="C268" s="107"/>
      <x:c r="D268" s="111"/>
      <x:c r="E268" s="111"/>
      <x:c r="F268" s="111"/>
      <x:c r="G268" s="111"/>
    </x:row>
    <x:row r="269" ht="28" customHeight="1">
      <x:c r="A269" s="107"/>
      <x:c r="B269" s="107"/>
      <x:c r="C269" s="107"/>
      <x:c r="D269" s="111"/>
      <x:c r="E269" s="111"/>
      <x:c r="F269" s="111"/>
      <x:c r="G269" s="111"/>
    </x:row>
    <x:row r="270" ht="28" customHeight="1">
      <x:c r="A270" s="107"/>
      <x:c r="B270" s="107"/>
      <x:c r="C270" s="107"/>
      <x:c r="D270" s="111"/>
      <x:c r="E270" s="111"/>
      <x:c r="F270" s="111"/>
      <x:c r="G270" s="111"/>
    </x:row>
    <x:row r="271" ht="28" customHeight="1">
      <x:c r="A271" s="107"/>
      <x:c r="B271" s="107"/>
      <x:c r="C271" s="107"/>
      <x:c r="D271" s="111"/>
      <x:c r="E271" s="111"/>
      <x:c r="F271" s="111"/>
      <x:c r="G271" s="111"/>
    </x:row>
    <x:row r="272" ht="28" customHeight="1">
      <x:c r="A272" s="107"/>
      <x:c r="B272" s="107"/>
      <x:c r="C272" s="107"/>
      <x:c r="D272" s="111"/>
      <x:c r="E272" s="111"/>
      <x:c r="F272" s="111"/>
      <x:c r="G272" s="111"/>
    </x:row>
    <x:row r="273" ht="28" customHeight="1">
      <x:c r="A273" s="107"/>
      <x:c r="B273" s="107"/>
      <x:c r="C273" s="107"/>
      <x:c r="D273" s="111"/>
      <x:c r="E273" s="111"/>
      <x:c r="F273" s="111"/>
      <x:c r="G273" s="111"/>
    </x:row>
    <x:row r="274" ht="28" customHeight="1">
      <x:c r="A274" s="107"/>
      <x:c r="B274" s="107"/>
      <x:c r="C274" s="107"/>
      <x:c r="D274" s="111"/>
      <x:c r="E274" s="111"/>
      <x:c r="F274" s="111"/>
      <x:c r="G274" s="111"/>
    </x:row>
    <x:row r="275" ht="28" customHeight="1">
      <x:c r="A275" s="107"/>
      <x:c r="B275" s="107"/>
      <x:c r="C275" s="107"/>
      <x:c r="D275" s="111"/>
      <x:c r="E275" s="111"/>
      <x:c r="F275" s="111"/>
      <x:c r="G275" s="111"/>
    </x:row>
    <x:row r="276" ht="28" customHeight="1">
      <x:c r="A276" s="107"/>
      <x:c r="B276" s="107"/>
      <x:c r="C276" s="107"/>
      <x:c r="D276" s="111"/>
      <x:c r="E276" s="111"/>
      <x:c r="F276" s="111"/>
      <x:c r="G276" s="111"/>
    </x:row>
    <x:row r="277" ht="28" customHeight="1">
      <x:c r="A277" s="107"/>
      <x:c r="B277" s="107"/>
      <x:c r="C277" s="107"/>
      <x:c r="D277" s="111"/>
      <x:c r="E277" s="111"/>
      <x:c r="F277" s="111"/>
      <x:c r="G277" s="111"/>
    </x:row>
    <x:row r="278" ht="28" customHeight="1">
      <x:c r="A278" s="107"/>
      <x:c r="B278" s="107"/>
      <x:c r="C278" s="107"/>
      <x:c r="D278" s="111"/>
      <x:c r="E278" s="111"/>
      <x:c r="F278" s="111"/>
      <x:c r="G278" s="111"/>
    </x:row>
    <x:row r="279" ht="28" customHeight="1">
      <x:c r="A279" s="107"/>
      <x:c r="B279" s="107"/>
      <x:c r="C279" s="107"/>
      <x:c r="D279" s="111"/>
      <x:c r="E279" s="111"/>
      <x:c r="F279" s="111"/>
      <x:c r="G279" s="111"/>
    </x:row>
    <x:row r="280" ht="28" customHeight="1">
      <x:c r="A280" s="107"/>
      <x:c r="B280" s="107"/>
      <x:c r="C280" s="107"/>
      <x:c r="D280" s="111"/>
      <x:c r="E280" s="111"/>
      <x:c r="F280" s="111"/>
      <x:c r="G280" s="111"/>
    </x:row>
    <x:row r="281" ht="28" customHeight="1">
      <x:c r="A281" s="107"/>
      <x:c r="B281" s="107"/>
      <x:c r="C281" s="107"/>
      <x:c r="D281" s="111"/>
      <x:c r="E281" s="111"/>
      <x:c r="F281" s="111"/>
      <x:c r="G281" s="111"/>
    </x:row>
    <x:row r="282" ht="28" customHeight="1">
      <x:c r="A282" s="107"/>
      <x:c r="B282" s="107"/>
      <x:c r="C282" s="107"/>
      <x:c r="D282" s="111"/>
      <x:c r="E282" s="111"/>
      <x:c r="F282" s="111"/>
      <x:c r="G282" s="111"/>
    </x:row>
    <x:row r="283" ht="28" customHeight="1">
      <x:c r="A283" s="107"/>
      <x:c r="B283" s="107"/>
      <x:c r="C283" s="107"/>
      <x:c r="D283" s="111"/>
      <x:c r="E283" s="111"/>
      <x:c r="F283" s="111"/>
      <x:c r="G283" s="111"/>
    </x:row>
    <x:row r="284" ht="28" customHeight="1">
      <x:c r="A284" s="107"/>
      <x:c r="B284" s="107"/>
      <x:c r="C284" s="107"/>
      <x:c r="D284" s="111"/>
      <x:c r="E284" s="111"/>
      <x:c r="F284" s="111"/>
      <x:c r="G284" s="111"/>
    </x:row>
    <x:row r="285" ht="28" customHeight="1">
      <x:c r="A285" s="107"/>
      <x:c r="B285" s="107"/>
      <x:c r="C285" s="107"/>
      <x:c r="D285" s="111"/>
      <x:c r="E285" s="111"/>
      <x:c r="F285" s="111"/>
      <x:c r="G285" s="111"/>
    </x:row>
    <x:row r="286" ht="28" customHeight="1">
      <x:c r="A286" s="107"/>
      <x:c r="B286" s="107"/>
      <x:c r="C286" s="107"/>
      <x:c r="D286" s="111"/>
      <x:c r="E286" s="111"/>
      <x:c r="F286" s="111"/>
      <x:c r="G286" s="111"/>
    </x:row>
    <x:row r="287" ht="28" customHeight="1">
      <x:c r="A287" s="107"/>
      <x:c r="B287" s="107"/>
      <x:c r="C287" s="107"/>
      <x:c r="D287" s="111"/>
      <x:c r="E287" s="111"/>
      <x:c r="F287" s="111"/>
      <x:c r="G287" s="111"/>
    </x:row>
    <x:row r="288" ht="28" customHeight="1">
      <x:c r="A288" s="107"/>
      <x:c r="B288" s="107"/>
      <x:c r="C288" s="107"/>
      <x:c r="D288" s="111"/>
      <x:c r="E288" s="111"/>
      <x:c r="F288" s="111"/>
      <x:c r="G288" s="111"/>
    </x:row>
    <x:row r="289" ht="28" customHeight="1">
      <x:c r="A289" s="107"/>
      <x:c r="B289" s="107"/>
      <x:c r="C289" s="107"/>
      <x:c r="D289" s="111"/>
      <x:c r="E289" s="111"/>
      <x:c r="F289" s="111"/>
      <x:c r="G289" s="111"/>
    </x:row>
    <x:row r="290" ht="28" customHeight="1">
      <x:c r="A290" s="107"/>
      <x:c r="B290" s="107"/>
      <x:c r="C290" s="107"/>
      <x:c r="D290" s="111"/>
      <x:c r="E290" s="111"/>
      <x:c r="F290" s="111"/>
      <x:c r="G290" s="111"/>
    </x:row>
    <x:row r="291" ht="28" customHeight="1">
      <x:c r="A291" s="107"/>
      <x:c r="B291" s="107"/>
      <x:c r="C291" s="107"/>
      <x:c r="D291" s="111"/>
      <x:c r="E291" s="111"/>
      <x:c r="F291" s="111"/>
      <x:c r="G291" s="111"/>
    </x:row>
    <x:row r="292" ht="28" customHeight="1">
      <x:c r="A292" s="107"/>
      <x:c r="B292" s="107"/>
      <x:c r="C292" s="107"/>
      <x:c r="D292" s="111"/>
      <x:c r="E292" s="111"/>
      <x:c r="F292" s="111"/>
      <x:c r="G292" s="111"/>
    </x:row>
    <x:row r="293" ht="28" customHeight="1">
      <x:c r="A293" s="107"/>
      <x:c r="B293" s="107"/>
      <x:c r="C293" s="107"/>
      <x:c r="D293" s="111"/>
      <x:c r="E293" s="111"/>
      <x:c r="F293" s="111"/>
      <x:c r="G293" s="111"/>
    </x:row>
    <x:row r="294" ht="28" customHeight="1">
      <x:c r="A294" s="107"/>
      <x:c r="B294" s="107"/>
      <x:c r="C294" s="107"/>
      <x:c r="D294" s="111"/>
      <x:c r="E294" s="111"/>
      <x:c r="F294" s="111"/>
      <x:c r="G294" s="111"/>
    </x:row>
    <x:row r="295" ht="28" customHeight="1">
      <x:c r="A295" s="107"/>
      <x:c r="B295" s="107"/>
      <x:c r="C295" s="107"/>
      <x:c r="D295" s="111"/>
      <x:c r="E295" s="111"/>
      <x:c r="F295" s="111"/>
      <x:c r="G295" s="111"/>
    </x:row>
    <x:row r="296" ht="28" customHeight="1">
      <x:c r="A296" s="107"/>
      <x:c r="B296" s="107"/>
      <x:c r="C296" s="107"/>
      <x:c r="D296" s="111"/>
      <x:c r="E296" s="111"/>
      <x:c r="F296" s="111"/>
      <x:c r="G296" s="111"/>
    </x:row>
    <x:row r="297" ht="28" customHeight="1">
      <x:c r="A297" s="107"/>
      <x:c r="B297" s="107"/>
      <x:c r="C297" s="107"/>
      <x:c r="D297" s="111"/>
      <x:c r="E297" s="111"/>
      <x:c r="F297" s="111"/>
      <x:c r="G297" s="111"/>
    </x:row>
    <x:row r="298" ht="28" customHeight="1">
      <x:c r="A298" s="107"/>
      <x:c r="B298" s="107"/>
      <x:c r="C298" s="107"/>
      <x:c r="D298" s="111"/>
      <x:c r="E298" s="111"/>
      <x:c r="F298" s="111"/>
      <x:c r="G298" s="111"/>
    </x:row>
    <x:row r="299" ht="28" customHeight="1">
      <x:c r="A299" s="107"/>
      <x:c r="B299" s="107"/>
      <x:c r="C299" s="107"/>
      <x:c r="D299" s="111"/>
      <x:c r="E299" s="111"/>
      <x:c r="F299" s="111"/>
      <x:c r="G299" s="111"/>
    </x:row>
    <x:row r="300" ht="28" customHeight="1">
      <x:c r="A300" s="107"/>
      <x:c r="B300" s="107"/>
      <x:c r="C300" s="107"/>
      <x:c r="D300" s="111"/>
      <x:c r="E300" s="111"/>
      <x:c r="F300" s="111"/>
      <x:c r="G300" s="111"/>
    </x:row>
    <x:row r="301" ht="28" customHeight="1">
      <x:c r="A301" s="107"/>
      <x:c r="B301" s="107"/>
      <x:c r="C301" s="107"/>
      <x:c r="D301" s="111"/>
      <x:c r="E301" s="111"/>
      <x:c r="F301" s="111"/>
      <x:c r="G301" s="111"/>
    </x:row>
    <x:row r="302" ht="28" customHeight="1">
      <x:c r="A302" s="107"/>
      <x:c r="B302" s="107"/>
      <x:c r="C302" s="107"/>
      <x:c r="D302" s="111"/>
      <x:c r="E302" s="111"/>
      <x:c r="F302" s="111"/>
      <x:c r="G302" s="111"/>
    </x:row>
    <x:row r="303" ht="28" customHeight="1">
      <x:c r="A303" s="107"/>
      <x:c r="B303" s="107"/>
      <x:c r="C303" s="107"/>
      <x:c r="D303" s="111"/>
      <x:c r="E303" s="111"/>
      <x:c r="F303" s="111"/>
      <x:c r="G303" s="111"/>
    </x:row>
    <x:row r="304" ht="28" customHeight="1">
      <x:c r="A304" s="107"/>
      <x:c r="B304" s="107"/>
      <x:c r="C304" s="107"/>
      <x:c r="D304" s="111"/>
      <x:c r="E304" s="111"/>
      <x:c r="F304" s="111"/>
      <x:c r="G304" s="111"/>
    </x:row>
    <x:row r="305" ht="28" customHeight="1">
      <x:c r="A305" s="107"/>
      <x:c r="B305" s="107"/>
      <x:c r="C305" s="107"/>
      <x:c r="D305" s="111"/>
      <x:c r="E305" s="111"/>
      <x:c r="F305" s="111"/>
      <x:c r="G305" s="11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6F7C8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</x:cols>
  <x:sheetData>
    <x:row r="1" ht="28" customHeight="1">
      <x:c r="A1" s="90"/>
      <x:c r="B1" s="90"/>
      <x:c r="C1" s="111"/>
      <x:c r="D1" s="111"/>
      <x:c r="E1" s="111"/>
      <x:c r="F1" s="111"/>
      <x:c r="G1" s="111"/>
      <x:c r="H1" s="111"/>
      <x:c r="I1" s="111"/>
      <x:c r="J1" s="111"/>
      <x:c r="K1" s="111"/>
      <x:c r="L1" s="111"/>
      <x:c r="M1" s="111"/>
      <x:c r="N1" s="111"/>
      <x:c r="O1" s="111"/>
      <x:c r="P1" s="111"/>
      <x:c r="Q1" s="111"/>
      <x:c r="R1" s="111"/>
      <x:c r="S1" s="111"/>
      <x:c r="T1" s="111"/>
    </x:row>
    <x:row r="2" ht="28" customHeight="1">
      <x:c r="A2" s="115" t="str">
        <x:v>Settings</x:v>
      </x:c>
      <x:c r="B2" s="90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1"/>
      <x:c r="P2" s="111"/>
      <x:c r="Q2" s="111"/>
      <x:c r="R2" s="111"/>
      <x:c r="S2" s="111"/>
      <x:c r="T2" s="111"/>
    </x:row>
    <x:row r="3" ht="28" customHeight="1">
      <x:c r="A3" s="90" t="str">
        <x:v>Enter records in yellow cells.</x:v>
      </x:c>
      <x:c r="B3" s="90"/>
      <x:c r="C3" s="111"/>
      <x:c r="D3" s="111"/>
      <x:c r="E3" s="111"/>
      <x:c r="F3" s="111"/>
      <x:c r="G3" s="111"/>
      <x:c r="H3" s="111"/>
      <x:c r="I3" s="111"/>
      <x:c r="J3" s="111"/>
      <x:c r="K3" s="111"/>
      <x:c r="L3" s="111"/>
      <x:c r="M3" s="111"/>
      <x:c r="N3" s="111"/>
      <x:c r="O3" s="111"/>
      <x:c r="P3" s="111"/>
      <x:c r="Q3" s="111"/>
      <x:c r="R3" s="111"/>
      <x:c r="S3" s="111"/>
      <x:c r="T3" s="111"/>
    </x:row>
    <x:row r="4" ht="28" customHeight="1">
      <x:c r="A4" s="90"/>
      <x:c r="B4" s="90"/>
      <x:c r="C4" s="111"/>
      <x:c r="D4" s="111"/>
      <x:c r="E4" s="111"/>
      <x:c r="F4" s="111"/>
      <x:c r="G4" s="111"/>
      <x:c r="H4" s="111"/>
      <x:c r="I4" s="111"/>
      <x:c r="J4" s="111"/>
      <x:c r="K4" s="111"/>
      <x:c r="L4" s="111"/>
      <x:c r="M4" s="111"/>
      <x:c r="N4" s="111"/>
      <x:c r="O4" s="111"/>
      <x:c r="P4" s="111"/>
      <x:c r="Q4" s="111"/>
      <x:c r="R4" s="111"/>
      <x:c r="S4" s="111"/>
      <x:c r="T4" s="111"/>
    </x:row>
    <x:row r="5" ht="28" customHeight="1">
      <x:c r="A5" s="116" t="str">
        <x:v>Setting</x:v>
      </x:c>
      <x:c r="B5" s="116" t="str">
        <x:v>Value</x:v>
      </x:c>
      <x:c r="C5" s="111"/>
      <x:c r="D5" s="111"/>
      <x:c r="E5" s="111"/>
      <x:c r="F5" s="121" t="str">
        <x:v>Coach numbers</x:v>
      </x:c>
      <x:c r="G5" s="121" t="str"/>
      <x:c r="H5" s="121" t="str">
        <x:v>Drivers</x:v>
      </x:c>
      <x:c r="I5" s="121" t="str">
        <x:v>Guides</x:v>
      </x:c>
      <x:c r="J5" s="121" t="str">
        <x:v>Conductors</x:v>
      </x:c>
      <x:c r="K5" s="111"/>
      <x:c r="L5" s="111"/>
      <x:c r="M5" s="111"/>
      <x:c r="N5" s="111"/>
      <x:c r="O5" s="111"/>
      <x:c r="P5" s="111"/>
      <x:c r="Q5" s="111"/>
      <x:c r="R5" s="111"/>
      <x:c r="S5" s="111"/>
      <x:c r="T5" s="111"/>
    </x:row>
    <x:row r="6" ht="28" customHeight="1">
      <x:c r="A6" s="90" t="str">
        <x:v>File date</x:v>
      </x:c>
      <x:c r="B6" s="123" t="d">
        <x:v>2026-10-12T00:00:00.000Z</x:v>
      </x:c>
      <x:c r="C6" s="111"/>
      <x:c r="D6" s="111"/>
      <x:c r="E6" s="111"/>
      <x:c r="F6" s="122" t="n">
        <x:f>IF('Route List'!A6="","",'Route List'!A6)</x:f>
        <x:v>701</x:v>
      </x:c>
      <x:c r="G6" s="121"/>
      <x:c r="H6" s="122" t="str">
        <x:f>IF(COUNT($K$6:$K$105)&lt;ROW()-5,"",INDEX(Crew!$A$6:$A$105,MATCH(ROW()-5,$K$6:$K$105,0)))</x:f>
      </x:c>
      <x:c r="I6" s="122" t="str">
        <x:f>IF(COUNT($L$6:$L$105)&lt;ROW()-5,"",INDEX(Crew!$A$6:$A$105,MATCH(ROW()-5,$L$6:$L$105,0)))</x:f>
      </x:c>
      <x:c r="J6" s="122" t="str">
        <x:f>IF(COUNT($M$6:$M$105)&lt;ROW()-5,"",INDEX(Crew!$A$6:$A$105,MATCH(ROW()-5,$M$6:$M$105,0)))</x:f>
      </x:c>
      <x:c r="K6" s="111" t="str">
        <x:f>IF(Crew!B6="Driver",COUNTIFS(Crew!$B$6:B6,"Driver"),"")</x:f>
      </x:c>
      <x:c r="L6" s="111" t="str">
        <x:f>IF(Crew!B6="Guide",COUNTIFS(Crew!$B$6:B6,"Guide"),"")</x:f>
      </x:c>
      <x:c r="M6" s="111" t="str">
        <x:f>IF(Crew!B6="Conductor",COUNTIFS(Crew!$B$6:B6,"Conductor"),"")</x:f>
      </x:c>
      <x:c r="N6" s="111"/>
      <x:c r="O6" s="111"/>
      <x:c r="P6" s="111"/>
      <x:c r="Q6" s="111"/>
      <x:c r="R6" s="111"/>
      <x:c r="S6" s="111"/>
      <x:c r="T6" s="111"/>
    </x:row>
    <x:row r="7" ht="28" customHeight="1">
      <x:c r="A7" s="90" t="str">
        <x:v>Allowed difference</x:v>
      </x:c>
      <x:c r="B7" s="107" t="n">
        <x:v>0</x:v>
      </x:c>
      <x:c r="C7" s="111"/>
      <x:c r="D7" s="111"/>
      <x:c r="E7" s="111"/>
      <x:c r="F7" s="122" t="n">
        <x:f>IF('Route List'!A7="","",'Route List'!A7)</x:f>
        <x:v>702</x:v>
      </x:c>
      <x:c r="G7" s="121"/>
      <x:c r="H7" s="122" t="str">
        <x:f>IF(COUNT($K$6:$K$105)&lt;ROW()-5,"",INDEX(Crew!$A$6:$A$105,MATCH(ROW()-5,$K$6:$K$105,0)))</x:f>
      </x:c>
      <x:c r="I7" s="122" t="str">
        <x:f>IF(COUNT($L$6:$L$105)&lt;ROW()-5,"",INDEX(Crew!$A$6:$A$105,MATCH(ROW()-5,$L$6:$L$105,0)))</x:f>
      </x:c>
      <x:c r="J7" s="122" t="str">
        <x:f>IF(COUNT($M$6:$M$105)&lt;ROW()-5,"",INDEX(Crew!$A$6:$A$105,MATCH(ROW()-5,$M$6:$M$105,0)))</x:f>
      </x:c>
      <x:c r="K7" s="111" t="str">
        <x:f>IF(Crew!B7="Driver",COUNTIFS(Crew!$B$6:B7,"Driver"),"")</x:f>
      </x:c>
      <x:c r="L7" s="111" t="str">
        <x:f>IF(Crew!B7="Guide",COUNTIFS(Crew!$B$6:B7,"Guide"),"")</x:f>
      </x:c>
      <x:c r="M7" s="111" t="str">
        <x:f>IF(Crew!B7="Conductor",COUNTIFS(Crew!$B$6:B7,"Conductor"),"")</x:f>
      </x:c>
      <x:c r="N7" s="111"/>
      <x:c r="O7" s="111"/>
      <x:c r="P7" s="111"/>
      <x:c r="Q7" s="111"/>
      <x:c r="R7" s="111"/>
      <x:c r="S7" s="111"/>
      <x:c r="T7" s="111"/>
    </x:row>
    <x:row r="8" ht="28" customHeight="1">
      <x:c r="A8" s="90" t="str">
        <x:v>Company name</x:v>
      </x:c>
      <x:c r="B8" s="107" t="str">
        <x:v>Demo Company</x:v>
      </x:c>
      <x:c r="C8" s="111"/>
      <x:c r="D8" s="111"/>
      <x:c r="E8" s="111"/>
      <x:c r="F8" s="122" t="n">
        <x:f>IF('Route List'!A8="","",'Route List'!A8)</x:f>
        <x:v>703</x:v>
      </x:c>
      <x:c r="G8" s="121"/>
      <x:c r="H8" s="122" t="str">
        <x:f>IF(COUNT($K$6:$K$105)&lt;ROW()-5,"",INDEX(Crew!$A$6:$A$105,MATCH(ROW()-5,$K$6:$K$105,0)))</x:f>
      </x:c>
      <x:c r="I8" s="122" t="str">
        <x:f>IF(COUNT($L$6:$L$105)&lt;ROW()-5,"",INDEX(Crew!$A$6:$A$105,MATCH(ROW()-5,$L$6:$L$105,0)))</x:f>
      </x:c>
      <x:c r="J8" s="122" t="str">
        <x:f>IF(COUNT($M$6:$M$105)&lt;ROW()-5,"",INDEX(Crew!$A$6:$A$105,MATCH(ROW()-5,$M$6:$M$105,0)))</x:f>
      </x:c>
      <x:c r="K8" s="111" t="str">
        <x:f>IF(Crew!B8="Driver",COUNTIFS(Crew!$B$6:B8,"Driver"),"")</x:f>
      </x:c>
      <x:c r="L8" s="111" t="str">
        <x:f>IF(Crew!B8="Guide",COUNTIFS(Crew!$B$6:B8,"Guide"),"")</x:f>
      </x:c>
      <x:c r="M8" s="111" t="str">
        <x:f>IF(Crew!B8="Conductor",COUNTIFS(Crew!$B$6:B8,"Conductor"),"")</x:f>
      </x:c>
      <x:c r="N8" s="111"/>
      <x:c r="O8" s="111"/>
      <x:c r="P8" s="111"/>
      <x:c r="Q8" s="111"/>
      <x:c r="R8" s="111"/>
      <x:c r="S8" s="111"/>
      <x:c r="T8" s="111"/>
    </x:row>
    <x:row r="9" ht="28" customHeight="1">
      <x:c r="A9" s="90" t="str">
        <x:v>Data type</x:v>
      </x:c>
      <x:c r="B9" s="90" t="str">
        <x:v>LIVE</x:v>
      </x:c>
      <x:c r="C9" s="111"/>
      <x:c r="D9" s="111"/>
      <x:c r="E9" s="111"/>
      <x:c r="F9" s="122" t="n">
        <x:f>IF('Route List'!A9="","",'Route List'!A9)</x:f>
        <x:v>704</x:v>
      </x:c>
      <x:c r="G9" s="121"/>
      <x:c r="H9" s="122" t="str">
        <x:f>IF(COUNT($K$6:$K$105)&lt;ROW()-5,"",INDEX(Crew!$A$6:$A$105,MATCH(ROW()-5,$K$6:$K$105,0)))</x:f>
      </x:c>
      <x:c r="I9" s="122" t="str">
        <x:f>IF(COUNT($L$6:$L$105)&lt;ROW()-5,"",INDEX(Crew!$A$6:$A$105,MATCH(ROW()-5,$L$6:$L$105,0)))</x:f>
      </x:c>
      <x:c r="J9" s="122" t="str">
        <x:f>IF(COUNT($M$6:$M$105)&lt;ROW()-5,"",INDEX(Crew!$A$6:$A$105,MATCH(ROW()-5,$M$6:$M$105,0)))</x:f>
      </x:c>
      <x:c r="K9" s="111" t="str">
        <x:f>IF(Crew!B9="Driver",COUNTIFS(Crew!$B$6:B9,"Driver"),"")</x:f>
      </x:c>
      <x:c r="L9" s="111" t="str">
        <x:f>IF(Crew!B9="Guide",COUNTIFS(Crew!$B$6:B9,"Guide"),"")</x:f>
      </x:c>
      <x:c r="M9" s="111" t="str">
        <x:f>IF(Crew!B9="Conductor",COUNTIFS(Crew!$B$6:B9,"Conductor"),"")</x:f>
      </x:c>
      <x:c r="N9" s="111"/>
      <x:c r="O9" s="111"/>
      <x:c r="P9" s="111"/>
      <x:c r="Q9" s="111"/>
      <x:c r="R9" s="111"/>
      <x:c r="S9" s="111"/>
      <x:c r="T9" s="111"/>
    </x:row>
    <x:row r="10" ht="28" customHeight="1">
      <x:c r="A10" s="90" t="str">
        <x:v>Default seats</x:v>
      </x:c>
      <x:c r="B10" s="90" t="n">
        <x:v>62</x:v>
      </x:c>
      <x:c r="C10" s="111"/>
      <x:c r="D10" s="111"/>
      <x:c r="E10" s="111"/>
      <x:c r="F10" s="122" t="n">
        <x:f>IF('Route List'!A10="","",'Route List'!A10)</x:f>
        <x:v>705</x:v>
      </x:c>
      <x:c r="G10" s="121"/>
      <x:c r="H10" s="122" t="str">
        <x:f>IF(COUNT($K$6:$K$105)&lt;ROW()-5,"",INDEX(Crew!$A$6:$A$105,MATCH(ROW()-5,$K$6:$K$105,0)))</x:f>
      </x:c>
      <x:c r="I10" s="122" t="str">
        <x:f>IF(COUNT($L$6:$L$105)&lt;ROW()-5,"",INDEX(Crew!$A$6:$A$105,MATCH(ROW()-5,$L$6:$L$105,0)))</x:f>
      </x:c>
      <x:c r="J10" s="122" t="str">
        <x:f>IF(COUNT($M$6:$M$105)&lt;ROW()-5,"",INDEX(Crew!$A$6:$A$105,MATCH(ROW()-5,$M$6:$M$105,0)))</x:f>
      </x:c>
      <x:c r="K10" s="111" t="str">
        <x:f>IF(Crew!B10="Driver",COUNTIFS(Crew!$B$6:B10,"Driver"),"")</x:f>
      </x:c>
      <x:c r="L10" s="111" t="str">
        <x:f>IF(Crew!B10="Guide",COUNTIFS(Crew!$B$6:B10,"Guide"),"")</x:f>
      </x:c>
      <x:c r="M10" s="111" t="str">
        <x:f>IF(Crew!B10="Conductor",COUNTIFS(Crew!$B$6:B10,"Conductor"),"")</x:f>
      </x:c>
      <x:c r="N10" s="111"/>
      <x:c r="O10" s="111"/>
      <x:c r="P10" s="111"/>
      <x:c r="Q10" s="111"/>
      <x:c r="R10" s="111"/>
      <x:c r="S10" s="111"/>
      <x:c r="T10" s="111"/>
    </x:row>
    <x:row r="11" ht="28" customHeight="1">
      <x:c r="A11" s="90" t="str">
        <x:v>Language</x:v>
      </x:c>
      <x:c r="B11" s="90" t="str">
        <x:v>en</x:v>
      </x:c>
      <x:c r="C11" s="111"/>
      <x:c r="D11" s="111"/>
      <x:c r="E11" s="111"/>
      <x:c r="F11" s="122" t="n">
        <x:f>IF('Route List'!A11="","",'Route List'!A11)</x:f>
        <x:v>706</x:v>
      </x:c>
      <x:c r="G11" s="121"/>
      <x:c r="H11" s="122" t="str">
        <x:f>IF(COUNT($K$6:$K$105)&lt;ROW()-5,"",INDEX(Crew!$A$6:$A$105,MATCH(ROW()-5,$K$6:$K$105,0)))</x:f>
      </x:c>
      <x:c r="I11" s="122" t="str">
        <x:f>IF(COUNT($L$6:$L$105)&lt;ROW()-5,"",INDEX(Crew!$A$6:$A$105,MATCH(ROW()-5,$L$6:$L$105,0)))</x:f>
      </x:c>
      <x:c r="J11" s="122" t="str">
        <x:f>IF(COUNT($M$6:$M$105)&lt;ROW()-5,"",INDEX(Crew!$A$6:$A$105,MATCH(ROW()-5,$M$6:$M$105,0)))</x:f>
      </x:c>
      <x:c r="K11" s="111" t="str">
        <x:f>IF(Crew!B11="Driver",COUNTIFS(Crew!$B$6:B11,"Driver"),"")</x:f>
      </x:c>
      <x:c r="L11" s="111" t="str">
        <x:f>IF(Crew!B11="Guide",COUNTIFS(Crew!$B$6:B11,"Guide"),"")</x:f>
      </x:c>
      <x:c r="M11" s="111" t="str">
        <x:f>IF(Crew!B11="Conductor",COUNTIFS(Crew!$B$6:B11,"Conductor"),"")</x:f>
      </x:c>
      <x:c r="N11" s="111"/>
      <x:c r="O11" s="111"/>
      <x:c r="P11" s="111"/>
      <x:c r="Q11" s="111"/>
      <x:c r="R11" s="111"/>
      <x:c r="S11" s="111"/>
      <x:c r="T11" s="111"/>
    </x:row>
    <x:row r="12" ht="28" customHeight="1">
      <x:c r="A12" s="90" t="str">
        <x:v>Format version</x:v>
      </x:c>
      <x:c r="B12" s="90" t="str">
        <x:v>AUTO_V6</x:v>
      </x:c>
      <x:c r="C12" s="111"/>
      <x:c r="D12" s="111"/>
      <x:c r="E12" s="111"/>
      <x:c r="F12" s="122" t="n">
        <x:f>IF('Route List'!A12="","",'Route List'!A12)</x:f>
        <x:v>707</x:v>
      </x:c>
      <x:c r="G12" s="121"/>
      <x:c r="H12" s="122" t="str">
        <x:f>IF(COUNT($K$6:$K$105)&lt;ROW()-5,"",INDEX(Crew!$A$6:$A$105,MATCH(ROW()-5,$K$6:$K$105,0)))</x:f>
      </x:c>
      <x:c r="I12" s="122" t="str">
        <x:f>IF(COUNT($L$6:$L$105)&lt;ROW()-5,"",INDEX(Crew!$A$6:$A$105,MATCH(ROW()-5,$L$6:$L$105,0)))</x:f>
      </x:c>
      <x:c r="J12" s="122" t="str">
        <x:f>IF(COUNT($M$6:$M$105)&lt;ROW()-5,"",INDEX(Crew!$A$6:$A$105,MATCH(ROW()-5,$M$6:$M$105,0)))</x:f>
      </x:c>
      <x:c r="K12" s="111" t="str">
        <x:f>IF(Crew!B12="Driver",COUNTIFS(Crew!$B$6:B12,"Driver"),"")</x:f>
      </x:c>
      <x:c r="L12" s="111" t="str">
        <x:f>IF(Crew!B12="Guide",COUNTIFS(Crew!$B$6:B12,"Guide"),"")</x:f>
      </x:c>
      <x:c r="M12" s="111" t="str">
        <x:f>IF(Crew!B12="Conductor",COUNTIFS(Crew!$B$6:B12,"Conductor"),"")</x:f>
      </x:c>
      <x:c r="N12" s="111"/>
      <x:c r="O12" s="111"/>
      <x:c r="P12" s="111"/>
      <x:c r="Q12" s="111"/>
      <x:c r="R12" s="111"/>
      <x:c r="S12" s="111"/>
      <x:c r="T12" s="111"/>
    </x:row>
    <x:row r="13" ht="28" customHeight="1">
      <x:c r="A13" s="90"/>
      <x:c r="B13" s="90"/>
      <x:c r="C13" s="111"/>
      <x:c r="D13" s="111"/>
      <x:c r="E13" s="111"/>
      <x:c r="F13" s="122" t="n">
        <x:f>IF('Route List'!A13="","",'Route List'!A13)</x:f>
        <x:v>708</x:v>
      </x:c>
      <x:c r="G13" s="121"/>
      <x:c r="H13" s="122" t="str">
        <x:f>IF(COUNT($K$6:$K$105)&lt;ROW()-5,"",INDEX(Crew!$A$6:$A$105,MATCH(ROW()-5,$K$6:$K$105,0)))</x:f>
      </x:c>
      <x:c r="I13" s="122" t="str">
        <x:f>IF(COUNT($L$6:$L$105)&lt;ROW()-5,"",INDEX(Crew!$A$6:$A$105,MATCH(ROW()-5,$L$6:$L$105,0)))</x:f>
      </x:c>
      <x:c r="J13" s="122" t="str">
        <x:f>IF(COUNT($M$6:$M$105)&lt;ROW()-5,"",INDEX(Crew!$A$6:$A$105,MATCH(ROW()-5,$M$6:$M$105,0)))</x:f>
      </x:c>
      <x:c r="K13" s="111" t="str">
        <x:f>IF(Crew!B13="Driver",COUNTIFS(Crew!$B$6:B13,"Driver"),"")</x:f>
      </x:c>
      <x:c r="L13" s="111" t="str">
        <x:f>IF(Crew!B13="Guide",COUNTIFS(Crew!$B$6:B13,"Guide"),"")</x:f>
      </x:c>
      <x:c r="M13" s="111" t="str">
        <x:f>IF(Crew!B13="Conductor",COUNTIFS(Crew!$B$6:B13,"Conductor"),"")</x:f>
      </x:c>
      <x:c r="N13" s="111"/>
      <x:c r="O13" s="111"/>
      <x:c r="P13" s="111"/>
      <x:c r="Q13" s="111"/>
      <x:c r="R13" s="111"/>
      <x:c r="S13" s="111"/>
      <x:c r="T13" s="111"/>
    </x:row>
    <x:row r="14" ht="28" customHeight="1">
      <x:c r="A14" s="90"/>
      <x:c r="B14" s="90"/>
      <x:c r="C14" s="111"/>
      <x:c r="D14" s="111"/>
      <x:c r="E14" s="111"/>
      <x:c r="F14" s="122" t="n">
        <x:f>IF('Route List'!A14="","",'Route List'!A14)</x:f>
        <x:v>709</x:v>
      </x:c>
      <x:c r="G14" s="121"/>
      <x:c r="H14" s="122" t="str">
        <x:f>IF(COUNT($K$6:$K$105)&lt;ROW()-5,"",INDEX(Crew!$A$6:$A$105,MATCH(ROW()-5,$K$6:$K$105,0)))</x:f>
      </x:c>
      <x:c r="I14" s="122" t="str">
        <x:f>IF(COUNT($L$6:$L$105)&lt;ROW()-5,"",INDEX(Crew!$A$6:$A$105,MATCH(ROW()-5,$L$6:$L$105,0)))</x:f>
      </x:c>
      <x:c r="J14" s="122" t="str">
        <x:f>IF(COUNT($M$6:$M$105)&lt;ROW()-5,"",INDEX(Crew!$A$6:$A$105,MATCH(ROW()-5,$M$6:$M$105,0)))</x:f>
      </x:c>
      <x:c r="K14" s="111" t="str">
        <x:f>IF(Crew!B14="Driver",COUNTIFS(Crew!$B$6:B14,"Driver"),"")</x:f>
      </x:c>
      <x:c r="L14" s="111" t="str">
        <x:f>IF(Crew!B14="Guide",COUNTIFS(Crew!$B$6:B14,"Guide"),"")</x:f>
      </x:c>
      <x:c r="M14" s="111" t="str">
        <x:f>IF(Crew!B14="Conductor",COUNTIFS(Crew!$B$6:B14,"Conductor"),"")</x:f>
      </x:c>
      <x:c r="N14" s="111"/>
      <x:c r="O14" s="111"/>
      <x:c r="P14" s="111"/>
      <x:c r="Q14" s="111"/>
      <x:c r="R14" s="111"/>
      <x:c r="S14" s="111"/>
      <x:c r="T14" s="111"/>
    </x:row>
    <x:row r="15" ht="28" customHeight="1">
      <x:c r="A15" s="90" t="str">
        <x:v>Commission counter fee / ticket</x:v>
      </x:c>
      <x:c r="B15" s="90" t="n">
        <x:v>50</x:v>
      </x:c>
      <x:c r="C15" s="111"/>
      <x:c r="D15" s="111"/>
      <x:c r="E15" s="111"/>
      <x:c r="F15" s="122" t="n">
        <x:f>IF('Route List'!A15="","",'Route List'!A15)</x:f>
        <x:v>710</x:v>
      </x:c>
      <x:c r="G15" s="121"/>
      <x:c r="H15" s="122" t="str">
        <x:f>IF(COUNT($K$6:$K$105)&lt;ROW()-5,"",INDEX(Crew!$A$6:$A$105,MATCH(ROW()-5,$K$6:$K$105,0)))</x:f>
      </x:c>
      <x:c r="I15" s="122" t="str">
        <x:f>IF(COUNT($L$6:$L$105)&lt;ROW()-5,"",INDEX(Crew!$A$6:$A$105,MATCH(ROW()-5,$L$6:$L$105,0)))</x:f>
      </x:c>
      <x:c r="J15" s="122" t="str">
        <x:f>IF(COUNT($M$6:$M$105)&lt;ROW()-5,"",INDEX(Crew!$A$6:$A$105,MATCH(ROW()-5,$M$6:$M$105,0)))</x:f>
      </x:c>
      <x:c r="K15" s="111" t="str">
        <x:f>IF(Crew!B15="Driver",COUNTIFS(Crew!$B$6:B15,"Driver"),"")</x:f>
      </x:c>
      <x:c r="L15" s="111" t="str">
        <x:f>IF(Crew!B15="Guide",COUNTIFS(Crew!$B$6:B15,"Guide"),"")</x:f>
      </x:c>
      <x:c r="M15" s="111" t="str">
        <x:f>IF(Crew!B15="Conductor",COUNTIFS(Crew!$B$6:B15,"Conductor"),"")</x:f>
      </x:c>
      <x:c r="N15" s="111"/>
      <x:c r="O15" s="111"/>
      <x:c r="P15" s="111"/>
      <x:c r="Q15" s="111"/>
      <x:c r="R15" s="111"/>
      <x:c r="S15" s="111"/>
      <x:c r="T15" s="111"/>
    </x:row>
    <x:row r="16" ht="28" customHeight="1">
      <x:c r="A16" s="90" t="str">
        <x:v>Own counter fee / ticket</x:v>
      </x:c>
      <x:c r="B16" s="90" t="n">
        <x:v>0</x:v>
      </x:c>
      <x:c r="C16" s="111"/>
      <x:c r="D16" s="111"/>
      <x:c r="E16" s="111"/>
      <x:c r="F16" s="122" t="n">
        <x:f>IF('Route List'!A16="","",'Route List'!A16)</x:f>
        <x:v>711</x:v>
      </x:c>
      <x:c r="G16" s="121"/>
      <x:c r="H16" s="122" t="str">
        <x:f>IF(COUNT($K$6:$K$105)&lt;ROW()-5,"",INDEX(Crew!$A$6:$A$105,MATCH(ROW()-5,$K$6:$K$105,0)))</x:f>
      </x:c>
      <x:c r="I16" s="122" t="str">
        <x:f>IF(COUNT($L$6:$L$105)&lt;ROW()-5,"",INDEX(Crew!$A$6:$A$105,MATCH(ROW()-5,$L$6:$L$105,0)))</x:f>
      </x:c>
      <x:c r="J16" s="122" t="str">
        <x:f>IF(COUNT($M$6:$M$105)&lt;ROW()-5,"",INDEX(Crew!$A$6:$A$105,MATCH(ROW()-5,$M$6:$M$105,0)))</x:f>
      </x:c>
      <x:c r="K16" s="111" t="str">
        <x:f>IF(Crew!B16="Driver",COUNTIFS(Crew!$B$6:B16,"Driver"),"")</x:f>
      </x:c>
      <x:c r="L16" s="111" t="str">
        <x:f>IF(Crew!B16="Guide",COUNTIFS(Crew!$B$6:B16,"Guide"),"")</x:f>
      </x:c>
      <x:c r="M16" s="111" t="str">
        <x:f>IF(Crew!B16="Conductor",COUNTIFS(Crew!$B$6:B16,"Conductor"),"")</x:f>
      </x:c>
      <x:c r="N16" s="111"/>
      <x:c r="O16" s="111"/>
      <x:c r="P16" s="111"/>
      <x:c r="Q16" s="111"/>
      <x:c r="R16" s="111"/>
      <x:c r="S16" s="111"/>
      <x:c r="T16" s="111"/>
    </x:row>
    <x:row r="17" ht="28" customHeight="1">
      <x:c r="A17" s="90" t="str">
        <x:v>Starting trip number</x:v>
      </x:c>
      <x:c r="B17" s="107" t="n">
        <x:v>1</x:v>
      </x:c>
      <x:c r="C17" s="111"/>
      <x:c r="D17" s="111"/>
      <x:c r="E17" s="111"/>
      <x:c r="F17" s="122" t="n">
        <x:f>IF('Route List'!A17="","",'Route List'!A17)</x:f>
        <x:v>712</x:v>
      </x:c>
      <x:c r="G17" s="121"/>
      <x:c r="H17" s="122" t="str">
        <x:f>IF(COUNT($K$6:$K$105)&lt;ROW()-5,"",INDEX(Crew!$A$6:$A$105,MATCH(ROW()-5,$K$6:$K$105,0)))</x:f>
      </x:c>
      <x:c r="I17" s="122" t="str">
        <x:f>IF(COUNT($L$6:$L$105)&lt;ROW()-5,"",INDEX(Crew!$A$6:$A$105,MATCH(ROW()-5,$L$6:$L$105,0)))</x:f>
      </x:c>
      <x:c r="J17" s="122" t="str">
        <x:f>IF(COUNT($M$6:$M$105)&lt;ROW()-5,"",INDEX(Crew!$A$6:$A$105,MATCH(ROW()-5,$M$6:$M$105,0)))</x:f>
      </x:c>
      <x:c r="K17" s="111" t="str">
        <x:f>IF(Crew!B17="Driver",COUNTIFS(Crew!$B$6:B17,"Driver"),"")</x:f>
      </x:c>
      <x:c r="L17" s="111" t="str">
        <x:f>IF(Crew!B17="Guide",COUNTIFS(Crew!$B$6:B17,"Guide"),"")</x:f>
      </x:c>
      <x:c r="M17" s="111" t="str">
        <x:f>IF(Crew!B17="Conductor",COUNTIFS(Crew!$B$6:B17,"Conductor"),"")</x:f>
      </x:c>
      <x:c r="N17" s="111"/>
      <x:c r="O17" s="111"/>
      <x:c r="P17" s="111"/>
      <x:c r="Q17" s="111"/>
      <x:c r="R17" s="111"/>
      <x:c r="S17" s="111"/>
      <x:c r="T17" s="111"/>
    </x:row>
    <x:row r="18" ht="28" customHeight="1">
      <x:c r="A18" s="90"/>
      <x:c r="B18" s="90"/>
      <x:c r="C18" s="111"/>
      <x:c r="D18" s="111"/>
      <x:c r="E18" s="111"/>
      <x:c r="F18" s="122" t="n">
        <x:f>IF('Route List'!A18="","",'Route List'!A18)</x:f>
        <x:v>713</x:v>
      </x:c>
      <x:c r="G18" s="121"/>
      <x:c r="H18" s="122" t="str">
        <x:f>IF(COUNT($K$6:$K$105)&lt;ROW()-5,"",INDEX(Crew!$A$6:$A$105,MATCH(ROW()-5,$K$6:$K$105,0)))</x:f>
      </x:c>
      <x:c r="I18" s="122" t="str">
        <x:f>IF(COUNT($L$6:$L$105)&lt;ROW()-5,"",INDEX(Crew!$A$6:$A$105,MATCH(ROW()-5,$L$6:$L$105,0)))</x:f>
      </x:c>
      <x:c r="J18" s="122" t="str">
        <x:f>IF(COUNT($M$6:$M$105)&lt;ROW()-5,"",INDEX(Crew!$A$6:$A$105,MATCH(ROW()-5,$M$6:$M$105,0)))</x:f>
      </x:c>
      <x:c r="K18" s="111" t="str">
        <x:f>IF(Crew!B18="Driver",COUNTIFS(Crew!$B$6:B18,"Driver"),"")</x:f>
      </x:c>
      <x:c r="L18" s="111" t="str">
        <x:f>IF(Crew!B18="Guide",COUNTIFS(Crew!$B$6:B18,"Guide"),"")</x:f>
      </x:c>
      <x:c r="M18" s="111" t="str">
        <x:f>IF(Crew!B18="Conductor",COUNTIFS(Crew!$B$6:B18,"Conductor"),"")</x:f>
      </x:c>
      <x:c r="N18" s="111"/>
      <x:c r="O18" s="111"/>
      <x:c r="P18" s="111"/>
      <x:c r="Q18" s="111"/>
      <x:c r="R18" s="111"/>
      <x:c r="S18" s="111"/>
      <x:c r="T18" s="111"/>
    </x:row>
    <x:row r="19" ht="28" customHeight="1">
      <x:c r="A19" s="90"/>
      <x:c r="B19" s="90"/>
      <x:c r="C19" s="111"/>
      <x:c r="D19" s="111"/>
      <x:c r="E19" s="111"/>
      <x:c r="F19" s="122" t="n">
        <x:f>IF('Route List'!A19="","",'Route List'!A19)</x:f>
        <x:v>714</x:v>
      </x:c>
      <x:c r="G19" s="121"/>
      <x:c r="H19" s="122" t="str">
        <x:f>IF(COUNT($K$6:$K$105)&lt;ROW()-5,"",INDEX(Crew!$A$6:$A$105,MATCH(ROW()-5,$K$6:$K$105,0)))</x:f>
      </x:c>
      <x:c r="I19" s="122" t="str">
        <x:f>IF(COUNT($L$6:$L$105)&lt;ROW()-5,"",INDEX(Crew!$A$6:$A$105,MATCH(ROW()-5,$L$6:$L$105,0)))</x:f>
      </x:c>
      <x:c r="J19" s="122" t="str">
        <x:f>IF(COUNT($M$6:$M$105)&lt;ROW()-5,"",INDEX(Crew!$A$6:$A$105,MATCH(ROW()-5,$M$6:$M$105,0)))</x:f>
      </x:c>
      <x:c r="K19" s="111" t="str">
        <x:f>IF(Crew!B19="Driver",COUNTIFS(Crew!$B$6:B19,"Driver"),"")</x:f>
      </x:c>
      <x:c r="L19" s="111" t="str">
        <x:f>IF(Crew!B19="Guide",COUNTIFS(Crew!$B$6:B19,"Guide"),"")</x:f>
      </x:c>
      <x:c r="M19" s="111" t="str">
        <x:f>IF(Crew!B19="Conductor",COUNTIFS(Crew!$B$6:B19,"Conductor"),"")</x:f>
      </x:c>
      <x:c r="N19" s="111"/>
      <x:c r="O19" s="111"/>
      <x:c r="P19" s="111"/>
      <x:c r="Q19" s="111"/>
      <x:c r="R19" s="111"/>
      <x:c r="S19" s="111"/>
      <x:c r="T19" s="111"/>
    </x:row>
    <x:row r="20" ht="28" customHeight="1">
      <x:c r="A20" s="90"/>
      <x:c r="B20" s="90"/>
      <x:c r="C20" s="111"/>
      <x:c r="D20" s="111"/>
      <x:c r="E20" s="111"/>
      <x:c r="F20" s="122" t="n">
        <x:f>IF('Route List'!A20="","",'Route List'!A20)</x:f>
        <x:v>715</x:v>
      </x:c>
      <x:c r="G20" s="121"/>
      <x:c r="H20" s="122" t="str">
        <x:f>IF(COUNT($K$6:$K$105)&lt;ROW()-5,"",INDEX(Crew!$A$6:$A$105,MATCH(ROW()-5,$K$6:$K$105,0)))</x:f>
      </x:c>
      <x:c r="I20" s="122" t="str">
        <x:f>IF(COUNT($L$6:$L$105)&lt;ROW()-5,"",INDEX(Crew!$A$6:$A$105,MATCH(ROW()-5,$L$6:$L$105,0)))</x:f>
      </x:c>
      <x:c r="J20" s="122" t="str">
        <x:f>IF(COUNT($M$6:$M$105)&lt;ROW()-5,"",INDEX(Crew!$A$6:$A$105,MATCH(ROW()-5,$M$6:$M$105,0)))</x:f>
      </x:c>
      <x:c r="K20" s="111" t="str">
        <x:f>IF(Crew!B20="Driver",COUNTIFS(Crew!$B$6:B20,"Driver"),"")</x:f>
      </x:c>
      <x:c r="L20" s="111" t="str">
        <x:f>IF(Crew!B20="Guide",COUNTIFS(Crew!$B$6:B20,"Guide"),"")</x:f>
      </x:c>
      <x:c r="M20" s="111" t="str">
        <x:f>IF(Crew!B20="Conductor",COUNTIFS(Crew!$B$6:B20,"Conductor"),"")</x:f>
      </x:c>
      <x:c r="N20" s="111"/>
      <x:c r="O20" s="111"/>
      <x:c r="P20" s="111"/>
      <x:c r="Q20" s="111"/>
      <x:c r="R20" s="111"/>
      <x:c r="S20" s="111"/>
      <x:c r="T20" s="111"/>
    </x:row>
    <x:row r="21" ht="28" customHeight="1">
      <x:c r="A21" s="90"/>
      <x:c r="B21" s="90"/>
      <x:c r="C21" s="111"/>
      <x:c r="D21" s="111"/>
      <x:c r="E21" s="111"/>
      <x:c r="F21" s="122" t="n">
        <x:f>IF('Route List'!A21="","",'Route List'!A21)</x:f>
        <x:v>716</x:v>
      </x:c>
      <x:c r="G21" s="121"/>
      <x:c r="H21" s="122" t="str">
        <x:f>IF(COUNT($K$6:$K$105)&lt;ROW()-5,"",INDEX(Crew!$A$6:$A$105,MATCH(ROW()-5,$K$6:$K$105,0)))</x:f>
      </x:c>
      <x:c r="I21" s="122" t="str">
        <x:f>IF(COUNT($L$6:$L$105)&lt;ROW()-5,"",INDEX(Crew!$A$6:$A$105,MATCH(ROW()-5,$L$6:$L$105,0)))</x:f>
      </x:c>
      <x:c r="J21" s="122" t="str">
        <x:f>IF(COUNT($M$6:$M$105)&lt;ROW()-5,"",INDEX(Crew!$A$6:$A$105,MATCH(ROW()-5,$M$6:$M$105,0)))</x:f>
      </x:c>
      <x:c r="K21" s="111" t="str">
        <x:f>IF(Crew!B21="Driver",COUNTIFS(Crew!$B$6:B21,"Driver"),"")</x:f>
      </x:c>
      <x:c r="L21" s="111" t="str">
        <x:f>IF(Crew!B21="Guide",COUNTIFS(Crew!$B$6:B21,"Guide"),"")</x:f>
      </x:c>
      <x:c r="M21" s="111" t="str">
        <x:f>IF(Crew!B21="Conductor",COUNTIFS(Crew!$B$6:B21,"Conductor"),"")</x:f>
      </x:c>
      <x:c r="N21" s="111"/>
      <x:c r="O21" s="111"/>
      <x:c r="P21" s="111"/>
      <x:c r="Q21" s="111"/>
      <x:c r="R21" s="111"/>
      <x:c r="S21" s="111"/>
      <x:c r="T21" s="111"/>
    </x:row>
    <x:row r="22" ht="28" customHeight="1">
      <x:c r="A22" s="90"/>
      <x:c r="B22" s="90"/>
      <x:c r="C22" s="111"/>
      <x:c r="D22" s="111"/>
      <x:c r="E22" s="111"/>
      <x:c r="F22" s="122" t="n">
        <x:f>IF('Route List'!A22="","",'Route List'!A22)</x:f>
        <x:v>717</x:v>
      </x:c>
      <x:c r="G22" s="121"/>
      <x:c r="H22" s="122" t="str">
        <x:f>IF(COUNT($K$6:$K$105)&lt;ROW()-5,"",INDEX(Crew!$A$6:$A$105,MATCH(ROW()-5,$K$6:$K$105,0)))</x:f>
      </x:c>
      <x:c r="I22" s="122" t="str">
        <x:f>IF(COUNT($L$6:$L$105)&lt;ROW()-5,"",INDEX(Crew!$A$6:$A$105,MATCH(ROW()-5,$L$6:$L$105,0)))</x:f>
      </x:c>
      <x:c r="J22" s="122" t="str">
        <x:f>IF(COUNT($M$6:$M$105)&lt;ROW()-5,"",INDEX(Crew!$A$6:$A$105,MATCH(ROW()-5,$M$6:$M$105,0)))</x:f>
      </x:c>
      <x:c r="K22" s="111" t="str">
        <x:f>IF(Crew!B22="Driver",COUNTIFS(Crew!$B$6:B22,"Driver"),"")</x:f>
      </x:c>
      <x:c r="L22" s="111" t="str">
        <x:f>IF(Crew!B22="Guide",COUNTIFS(Crew!$B$6:B22,"Guide"),"")</x:f>
      </x:c>
      <x:c r="M22" s="111" t="str">
        <x:f>IF(Crew!B22="Conductor",COUNTIFS(Crew!$B$6:B22,"Conductor"),"")</x:f>
      </x:c>
      <x:c r="N22" s="111"/>
      <x:c r="O22" s="111"/>
      <x:c r="P22" s="111"/>
      <x:c r="Q22" s="111"/>
      <x:c r="R22" s="111"/>
      <x:c r="S22" s="111"/>
      <x:c r="T22" s="111"/>
    </x:row>
    <x:row r="23" ht="28" customHeight="1">
      <x:c r="A23" s="90"/>
      <x:c r="B23" s="90"/>
      <x:c r="C23" s="111"/>
      <x:c r="D23" s="111"/>
      <x:c r="E23" s="111"/>
      <x:c r="F23" s="122" t="n">
        <x:f>IF('Route List'!A23="","",'Route List'!A23)</x:f>
        <x:v>718</x:v>
      </x:c>
      <x:c r="G23" s="121"/>
      <x:c r="H23" s="122" t="str">
        <x:f>IF(COUNT($K$6:$K$105)&lt;ROW()-5,"",INDEX(Crew!$A$6:$A$105,MATCH(ROW()-5,$K$6:$K$105,0)))</x:f>
      </x:c>
      <x:c r="I23" s="122" t="str">
        <x:f>IF(COUNT($L$6:$L$105)&lt;ROW()-5,"",INDEX(Crew!$A$6:$A$105,MATCH(ROW()-5,$L$6:$L$105,0)))</x:f>
      </x:c>
      <x:c r="J23" s="122" t="str">
        <x:f>IF(COUNT($M$6:$M$105)&lt;ROW()-5,"",INDEX(Crew!$A$6:$A$105,MATCH(ROW()-5,$M$6:$M$105,0)))</x:f>
      </x:c>
      <x:c r="K23" s="111" t="str">
        <x:f>IF(Crew!B23="Driver",COUNTIFS(Crew!$B$6:B23,"Driver"),"")</x:f>
      </x:c>
      <x:c r="L23" s="111" t="str">
        <x:f>IF(Crew!B23="Guide",COUNTIFS(Crew!$B$6:B23,"Guide"),"")</x:f>
      </x:c>
      <x:c r="M23" s="111" t="str">
        <x:f>IF(Crew!B23="Conductor",COUNTIFS(Crew!$B$6:B23,"Conductor"),"")</x:f>
      </x:c>
      <x:c r="N23" s="111"/>
      <x:c r="O23" s="111"/>
      <x:c r="P23" s="111"/>
      <x:c r="Q23" s="111"/>
      <x:c r="R23" s="111"/>
      <x:c r="S23" s="111"/>
      <x:c r="T23" s="111"/>
    </x:row>
    <x:row r="24" ht="28" customHeight="1">
      <x:c r="A24" s="90"/>
      <x:c r="B24" s="90"/>
      <x:c r="C24" s="111"/>
      <x:c r="D24" s="111"/>
      <x:c r="E24" s="111"/>
      <x:c r="F24" s="122" t="n">
        <x:f>IF('Route List'!A24="","",'Route List'!A24)</x:f>
        <x:v>719</x:v>
      </x:c>
      <x:c r="G24" s="121"/>
      <x:c r="H24" s="122" t="str">
        <x:f>IF(COUNT($K$6:$K$105)&lt;ROW()-5,"",INDEX(Crew!$A$6:$A$105,MATCH(ROW()-5,$K$6:$K$105,0)))</x:f>
      </x:c>
      <x:c r="I24" s="122" t="str">
        <x:f>IF(COUNT($L$6:$L$105)&lt;ROW()-5,"",INDEX(Crew!$A$6:$A$105,MATCH(ROW()-5,$L$6:$L$105,0)))</x:f>
      </x:c>
      <x:c r="J24" s="122" t="str">
        <x:f>IF(COUNT($M$6:$M$105)&lt;ROW()-5,"",INDEX(Crew!$A$6:$A$105,MATCH(ROW()-5,$M$6:$M$105,0)))</x:f>
      </x:c>
      <x:c r="K24" s="111" t="str">
        <x:f>IF(Crew!B24="Driver",COUNTIFS(Crew!$B$6:B24,"Driver"),"")</x:f>
      </x:c>
      <x:c r="L24" s="111" t="str">
        <x:f>IF(Crew!B24="Guide",COUNTIFS(Crew!$B$6:B24,"Guide"),"")</x:f>
      </x:c>
      <x:c r="M24" s="111" t="str">
        <x:f>IF(Crew!B24="Conductor",COUNTIFS(Crew!$B$6:B24,"Conductor"),"")</x:f>
      </x:c>
      <x:c r="N24" s="111"/>
      <x:c r="O24" s="111"/>
      <x:c r="P24" s="111"/>
      <x:c r="Q24" s="111"/>
      <x:c r="R24" s="111"/>
      <x:c r="S24" s="111"/>
      <x:c r="T24" s="111"/>
    </x:row>
    <x:row r="25" ht="28" customHeight="1">
      <x:c r="A25" s="111"/>
      <x:c r="B25" s="111"/>
      <x:c r="C25" s="111"/>
      <x:c r="D25" s="111"/>
      <x:c r="E25" s="111"/>
      <x:c r="F25" s="122" t="n">
        <x:f>IF('Route List'!A25="","",'Route List'!A25)</x:f>
        <x:v>720</x:v>
      </x:c>
      <x:c r="G25" s="121"/>
      <x:c r="H25" s="122" t="str">
        <x:f>IF(COUNT($K$6:$K$105)&lt;ROW()-5,"",INDEX(Crew!$A$6:$A$105,MATCH(ROW()-5,$K$6:$K$105,0)))</x:f>
      </x:c>
      <x:c r="I25" s="122" t="str">
        <x:f>IF(COUNT($L$6:$L$105)&lt;ROW()-5,"",INDEX(Crew!$A$6:$A$105,MATCH(ROW()-5,$L$6:$L$105,0)))</x:f>
      </x:c>
      <x:c r="J25" s="122" t="str">
        <x:f>IF(COUNT($M$6:$M$105)&lt;ROW()-5,"",INDEX(Crew!$A$6:$A$105,MATCH(ROW()-5,$M$6:$M$105,0)))</x:f>
      </x:c>
      <x:c r="K25" s="111" t="str">
        <x:f>IF(Crew!B25="Driver",COUNTIFS(Crew!$B$6:B25,"Driver"),"")</x:f>
      </x:c>
      <x:c r="L25" s="111" t="str">
        <x:f>IF(Crew!B25="Guide",COUNTIFS(Crew!$B$6:B25,"Guide"),"")</x:f>
      </x:c>
      <x:c r="M25" s="111" t="str">
        <x:f>IF(Crew!B25="Conductor",COUNTIFS(Crew!$B$6:B25,"Conductor"),"")</x:f>
      </x:c>
      <x:c r="N25" s="111"/>
      <x:c r="O25" s="111"/>
      <x:c r="P25" s="111"/>
      <x:c r="Q25" s="111"/>
      <x:c r="R25" s="111"/>
      <x:c r="S25" s="111"/>
      <x:c r="T25" s="111"/>
    </x:row>
    <x:row r="26" ht="28" customHeight="1">
      <x:c r="A26" s="111"/>
      <x:c r="B26" s="111"/>
      <x:c r="C26" s="111"/>
      <x:c r="D26" s="111"/>
      <x:c r="E26" s="111"/>
      <x:c r="F26" s="122" t="n">
        <x:f>IF('Route List'!A26="","",'Route List'!A26)</x:f>
        <x:v>801</x:v>
      </x:c>
      <x:c r="G26" s="121"/>
      <x:c r="H26" s="122" t="str">
        <x:f>IF(COUNT($K$6:$K$105)&lt;ROW()-5,"",INDEX(Crew!$A$6:$A$105,MATCH(ROW()-5,$K$6:$K$105,0)))</x:f>
      </x:c>
      <x:c r="I26" s="122" t="str">
        <x:f>IF(COUNT($L$6:$L$105)&lt;ROW()-5,"",INDEX(Crew!$A$6:$A$105,MATCH(ROW()-5,$L$6:$L$105,0)))</x:f>
      </x:c>
      <x:c r="J26" s="122" t="str">
        <x:f>IF(COUNT($M$6:$M$105)&lt;ROW()-5,"",INDEX(Crew!$A$6:$A$105,MATCH(ROW()-5,$M$6:$M$105,0)))</x:f>
      </x:c>
      <x:c r="K26" s="111" t="str">
        <x:f>IF(Crew!B26="Driver",COUNTIFS(Crew!$B$6:B26,"Driver"),"")</x:f>
      </x:c>
      <x:c r="L26" s="111" t="str">
        <x:f>IF(Crew!B26="Guide",COUNTIFS(Crew!$B$6:B26,"Guide"),"")</x:f>
      </x:c>
      <x:c r="M26" s="111" t="str">
        <x:f>IF(Crew!B26="Conductor",COUNTIFS(Crew!$B$6:B26,"Conductor"),"")</x:f>
      </x:c>
      <x:c r="N26" s="111"/>
      <x:c r="O26" s="111"/>
      <x:c r="P26" s="111"/>
      <x:c r="Q26" s="111"/>
      <x:c r="R26" s="111"/>
      <x:c r="S26" s="111"/>
      <x:c r="T26" s="111"/>
    </x:row>
    <x:row r="27" ht="28" customHeight="1">
      <x:c r="A27" s="111"/>
      <x:c r="B27" s="111"/>
      <x:c r="C27" s="111"/>
      <x:c r="D27" s="111"/>
      <x:c r="E27" s="111"/>
      <x:c r="F27" s="122" t="n">
        <x:f>IF('Route List'!A27="","",'Route List'!A27)</x:f>
        <x:v>802</x:v>
      </x:c>
      <x:c r="G27" s="121"/>
      <x:c r="H27" s="122" t="str">
        <x:f>IF(COUNT($K$6:$K$105)&lt;ROW()-5,"",INDEX(Crew!$A$6:$A$105,MATCH(ROW()-5,$K$6:$K$105,0)))</x:f>
      </x:c>
      <x:c r="I27" s="122" t="str">
        <x:f>IF(COUNT($L$6:$L$105)&lt;ROW()-5,"",INDEX(Crew!$A$6:$A$105,MATCH(ROW()-5,$L$6:$L$105,0)))</x:f>
      </x:c>
      <x:c r="J27" s="122" t="str">
        <x:f>IF(COUNT($M$6:$M$105)&lt;ROW()-5,"",INDEX(Crew!$A$6:$A$105,MATCH(ROW()-5,$M$6:$M$105,0)))</x:f>
      </x:c>
      <x:c r="K27" s="111" t="str">
        <x:f>IF(Crew!B27="Driver",COUNTIFS(Crew!$B$6:B27,"Driver"),"")</x:f>
      </x:c>
      <x:c r="L27" s="111" t="str">
        <x:f>IF(Crew!B27="Guide",COUNTIFS(Crew!$B$6:B27,"Guide"),"")</x:f>
      </x:c>
      <x:c r="M27" s="111" t="str">
        <x:f>IF(Crew!B27="Conductor",COUNTIFS(Crew!$B$6:B27,"Conductor"),"")</x:f>
      </x:c>
      <x:c r="N27" s="111"/>
      <x:c r="O27" s="111"/>
      <x:c r="P27" s="111"/>
      <x:c r="Q27" s="111"/>
      <x:c r="R27" s="111"/>
      <x:c r="S27" s="111"/>
      <x:c r="T27" s="111"/>
    </x:row>
    <x:row r="28" ht="28" customHeight="1">
      <x:c r="A28" s="111"/>
      <x:c r="B28" s="111"/>
      <x:c r="C28" s="111"/>
      <x:c r="D28" s="111"/>
      <x:c r="E28" s="111"/>
      <x:c r="F28" s="122" t="n">
        <x:f>IF('Route List'!A28="","",'Route List'!A28)</x:f>
        <x:v>803</x:v>
      </x:c>
      <x:c r="G28" s="121"/>
      <x:c r="H28" s="122" t="str">
        <x:f>IF(COUNT($K$6:$K$105)&lt;ROW()-5,"",INDEX(Crew!$A$6:$A$105,MATCH(ROW()-5,$K$6:$K$105,0)))</x:f>
      </x:c>
      <x:c r="I28" s="122" t="str">
        <x:f>IF(COUNT($L$6:$L$105)&lt;ROW()-5,"",INDEX(Crew!$A$6:$A$105,MATCH(ROW()-5,$L$6:$L$105,0)))</x:f>
      </x:c>
      <x:c r="J28" s="122" t="str">
        <x:f>IF(COUNT($M$6:$M$105)&lt;ROW()-5,"",INDEX(Crew!$A$6:$A$105,MATCH(ROW()-5,$M$6:$M$105,0)))</x:f>
      </x:c>
      <x:c r="K28" s="111" t="str">
        <x:f>IF(Crew!B28="Driver",COUNTIFS(Crew!$B$6:B28,"Driver"),"")</x:f>
      </x:c>
      <x:c r="L28" s="111" t="str">
        <x:f>IF(Crew!B28="Guide",COUNTIFS(Crew!$B$6:B28,"Guide"),"")</x:f>
      </x:c>
      <x:c r="M28" s="111" t="str">
        <x:f>IF(Crew!B28="Conductor",COUNTIFS(Crew!$B$6:B28,"Conductor"),"")</x:f>
      </x:c>
      <x:c r="N28" s="111"/>
      <x:c r="O28" s="111"/>
      <x:c r="P28" s="111"/>
      <x:c r="Q28" s="111"/>
      <x:c r="R28" s="111"/>
      <x:c r="S28" s="111"/>
      <x:c r="T28" s="111"/>
    </x:row>
    <x:row r="29" ht="28" customHeight="1">
      <x:c r="A29" s="111"/>
      <x:c r="B29" s="111"/>
      <x:c r="C29" s="111"/>
      <x:c r="D29" s="111"/>
      <x:c r="E29" s="111"/>
      <x:c r="F29" s="122" t="n">
        <x:f>IF('Route List'!A29="","",'Route List'!A29)</x:f>
        <x:v>804</x:v>
      </x:c>
      <x:c r="G29" s="121"/>
      <x:c r="H29" s="122" t="str">
        <x:f>IF(COUNT($K$6:$K$105)&lt;ROW()-5,"",INDEX(Crew!$A$6:$A$105,MATCH(ROW()-5,$K$6:$K$105,0)))</x:f>
      </x:c>
      <x:c r="I29" s="122" t="str">
        <x:f>IF(COUNT($L$6:$L$105)&lt;ROW()-5,"",INDEX(Crew!$A$6:$A$105,MATCH(ROW()-5,$L$6:$L$105,0)))</x:f>
      </x:c>
      <x:c r="J29" s="122" t="str">
        <x:f>IF(COUNT($M$6:$M$105)&lt;ROW()-5,"",INDEX(Crew!$A$6:$A$105,MATCH(ROW()-5,$M$6:$M$105,0)))</x:f>
      </x:c>
      <x:c r="K29" s="111" t="str">
        <x:f>IF(Crew!B29="Driver",COUNTIFS(Crew!$B$6:B29,"Driver"),"")</x:f>
      </x:c>
      <x:c r="L29" s="111" t="str">
        <x:f>IF(Crew!B29="Guide",COUNTIFS(Crew!$B$6:B29,"Guide"),"")</x:f>
      </x:c>
      <x:c r="M29" s="111" t="str">
        <x:f>IF(Crew!B29="Conductor",COUNTIFS(Crew!$B$6:B29,"Conductor"),"")</x:f>
      </x:c>
      <x:c r="N29" s="111"/>
      <x:c r="O29" s="111"/>
      <x:c r="P29" s="111"/>
      <x:c r="Q29" s="111"/>
      <x:c r="R29" s="111"/>
      <x:c r="S29" s="111"/>
      <x:c r="T29" s="111"/>
    </x:row>
    <x:row r="30" ht="28" customHeight="1">
      <x:c r="A30" s="111"/>
      <x:c r="B30" s="111"/>
      <x:c r="C30" s="111"/>
      <x:c r="D30" s="111"/>
      <x:c r="E30" s="111"/>
      <x:c r="F30" s="122" t="n">
        <x:f>IF('Route List'!A30="","",'Route List'!A30)</x:f>
        <x:v>805</x:v>
      </x:c>
      <x:c r="G30" s="121"/>
      <x:c r="H30" s="122" t="str">
        <x:f>IF(COUNT($K$6:$K$105)&lt;ROW()-5,"",INDEX(Crew!$A$6:$A$105,MATCH(ROW()-5,$K$6:$K$105,0)))</x:f>
      </x:c>
      <x:c r="I30" s="122" t="str">
        <x:f>IF(COUNT($L$6:$L$105)&lt;ROW()-5,"",INDEX(Crew!$A$6:$A$105,MATCH(ROW()-5,$L$6:$L$105,0)))</x:f>
      </x:c>
      <x:c r="J30" s="122" t="str">
        <x:f>IF(COUNT($M$6:$M$105)&lt;ROW()-5,"",INDEX(Crew!$A$6:$A$105,MATCH(ROW()-5,$M$6:$M$105,0)))</x:f>
      </x:c>
      <x:c r="K30" s="111" t="str">
        <x:f>IF(Crew!B30="Driver",COUNTIFS(Crew!$B$6:B30,"Driver"),"")</x:f>
      </x:c>
      <x:c r="L30" s="111" t="str">
        <x:f>IF(Crew!B30="Guide",COUNTIFS(Crew!$B$6:B30,"Guide"),"")</x:f>
      </x:c>
      <x:c r="M30" s="111" t="str">
        <x:f>IF(Crew!B30="Conductor",COUNTIFS(Crew!$B$6:B30,"Conductor"),"")</x:f>
      </x:c>
      <x:c r="N30" s="111"/>
      <x:c r="O30" s="111"/>
      <x:c r="P30" s="111"/>
      <x:c r="Q30" s="111"/>
      <x:c r="R30" s="111"/>
      <x:c r="S30" s="111"/>
      <x:c r="T30" s="111"/>
    </x:row>
    <x:row r="31" ht="28" customHeight="1">
      <x:c r="A31" s="111"/>
      <x:c r="B31" s="111"/>
      <x:c r="C31" s="111"/>
      <x:c r="D31" s="111"/>
      <x:c r="E31" s="111"/>
      <x:c r="F31" s="122" t="n">
        <x:f>IF('Route List'!A31="","",'Route List'!A31)</x:f>
        <x:v>806</x:v>
      </x:c>
      <x:c r="G31" s="121"/>
      <x:c r="H31" s="122" t="str">
        <x:f>IF(COUNT($K$6:$K$105)&lt;ROW()-5,"",INDEX(Crew!$A$6:$A$105,MATCH(ROW()-5,$K$6:$K$105,0)))</x:f>
      </x:c>
      <x:c r="I31" s="122" t="str">
        <x:f>IF(COUNT($L$6:$L$105)&lt;ROW()-5,"",INDEX(Crew!$A$6:$A$105,MATCH(ROW()-5,$L$6:$L$105,0)))</x:f>
      </x:c>
      <x:c r="J31" s="122" t="str">
        <x:f>IF(COUNT($M$6:$M$105)&lt;ROW()-5,"",INDEX(Crew!$A$6:$A$105,MATCH(ROW()-5,$M$6:$M$105,0)))</x:f>
      </x:c>
      <x:c r="K31" s="111" t="str">
        <x:f>IF(Crew!B31="Driver",COUNTIFS(Crew!$B$6:B31,"Driver"),"")</x:f>
      </x:c>
      <x:c r="L31" s="111" t="str">
        <x:f>IF(Crew!B31="Guide",COUNTIFS(Crew!$B$6:B31,"Guide"),"")</x:f>
      </x:c>
      <x:c r="M31" s="111" t="str">
        <x:f>IF(Crew!B31="Conductor",COUNTIFS(Crew!$B$6:B31,"Conductor"),"")</x:f>
      </x:c>
      <x:c r="N31" s="111"/>
      <x:c r="O31" s="111"/>
      <x:c r="P31" s="111"/>
      <x:c r="Q31" s="111"/>
      <x:c r="R31" s="111"/>
      <x:c r="S31" s="111"/>
      <x:c r="T31" s="111"/>
    </x:row>
    <x:row r="32" ht="28" customHeight="1">
      <x:c r="A32" s="111"/>
      <x:c r="B32" s="111"/>
      <x:c r="C32" s="111"/>
      <x:c r="D32" s="111"/>
      <x:c r="E32" s="111"/>
      <x:c r="F32" s="122" t="n">
        <x:f>IF('Route List'!A32="","",'Route List'!A32)</x:f>
        <x:v>807</x:v>
      </x:c>
      <x:c r="G32" s="121"/>
      <x:c r="H32" s="122" t="str">
        <x:f>IF(COUNT($K$6:$K$105)&lt;ROW()-5,"",INDEX(Crew!$A$6:$A$105,MATCH(ROW()-5,$K$6:$K$105,0)))</x:f>
      </x:c>
      <x:c r="I32" s="122" t="str">
        <x:f>IF(COUNT($L$6:$L$105)&lt;ROW()-5,"",INDEX(Crew!$A$6:$A$105,MATCH(ROW()-5,$L$6:$L$105,0)))</x:f>
      </x:c>
      <x:c r="J32" s="122" t="str">
        <x:f>IF(COUNT($M$6:$M$105)&lt;ROW()-5,"",INDEX(Crew!$A$6:$A$105,MATCH(ROW()-5,$M$6:$M$105,0)))</x:f>
      </x:c>
      <x:c r="K32" s="111" t="str">
        <x:f>IF(Crew!B32="Driver",COUNTIFS(Crew!$B$6:B32,"Driver"),"")</x:f>
      </x:c>
      <x:c r="L32" s="111" t="str">
        <x:f>IF(Crew!B32="Guide",COUNTIFS(Crew!$B$6:B32,"Guide"),"")</x:f>
      </x:c>
      <x:c r="M32" s="111" t="str">
        <x:f>IF(Crew!B32="Conductor",COUNTIFS(Crew!$B$6:B32,"Conductor"),"")</x:f>
      </x:c>
      <x:c r="N32" s="111"/>
      <x:c r="O32" s="111"/>
      <x:c r="P32" s="111"/>
      <x:c r="Q32" s="111"/>
      <x:c r="R32" s="111"/>
      <x:c r="S32" s="111"/>
      <x:c r="T32" s="111"/>
    </x:row>
    <x:row r="33" ht="28" customHeight="1">
      <x:c r="A33" s="111"/>
      <x:c r="B33" s="111"/>
      <x:c r="C33" s="111"/>
      <x:c r="D33" s="111"/>
      <x:c r="E33" s="111"/>
      <x:c r="F33" s="122" t="n">
        <x:f>IF('Route List'!A33="","",'Route List'!A33)</x:f>
        <x:v>808</x:v>
      </x:c>
      <x:c r="G33" s="121"/>
      <x:c r="H33" s="122" t="str">
        <x:f>IF(COUNT($K$6:$K$105)&lt;ROW()-5,"",INDEX(Crew!$A$6:$A$105,MATCH(ROW()-5,$K$6:$K$105,0)))</x:f>
      </x:c>
      <x:c r="I33" s="122" t="str">
        <x:f>IF(COUNT($L$6:$L$105)&lt;ROW()-5,"",INDEX(Crew!$A$6:$A$105,MATCH(ROW()-5,$L$6:$L$105,0)))</x:f>
      </x:c>
      <x:c r="J33" s="122" t="str">
        <x:f>IF(COUNT($M$6:$M$105)&lt;ROW()-5,"",INDEX(Crew!$A$6:$A$105,MATCH(ROW()-5,$M$6:$M$105,0)))</x:f>
      </x:c>
      <x:c r="K33" s="111" t="str">
        <x:f>IF(Crew!B33="Driver",COUNTIFS(Crew!$B$6:B33,"Driver"),"")</x:f>
      </x:c>
      <x:c r="L33" s="111" t="str">
        <x:f>IF(Crew!B33="Guide",COUNTIFS(Crew!$B$6:B33,"Guide"),"")</x:f>
      </x:c>
      <x:c r="M33" s="111" t="str">
        <x:f>IF(Crew!B33="Conductor",COUNTIFS(Crew!$B$6:B33,"Conductor"),"")</x:f>
      </x:c>
      <x:c r="N33" s="111"/>
      <x:c r="O33" s="111"/>
      <x:c r="P33" s="111"/>
      <x:c r="Q33" s="111"/>
      <x:c r="R33" s="111"/>
      <x:c r="S33" s="111"/>
      <x:c r="T33" s="111"/>
    </x:row>
    <x:row r="34" ht="28" customHeight="1">
      <x:c r="A34" s="111"/>
      <x:c r="B34" s="111"/>
      <x:c r="C34" s="111"/>
      <x:c r="D34" s="111"/>
      <x:c r="E34" s="111"/>
      <x:c r="F34" s="122" t="n">
        <x:f>IF('Route List'!A34="","",'Route List'!A34)</x:f>
        <x:v>809</x:v>
      </x:c>
      <x:c r="G34" s="121"/>
      <x:c r="H34" s="122" t="str">
        <x:f>IF(COUNT($K$6:$K$105)&lt;ROW()-5,"",INDEX(Crew!$A$6:$A$105,MATCH(ROW()-5,$K$6:$K$105,0)))</x:f>
      </x:c>
      <x:c r="I34" s="122" t="str">
        <x:f>IF(COUNT($L$6:$L$105)&lt;ROW()-5,"",INDEX(Crew!$A$6:$A$105,MATCH(ROW()-5,$L$6:$L$105,0)))</x:f>
      </x:c>
      <x:c r="J34" s="122" t="str">
        <x:f>IF(COUNT($M$6:$M$105)&lt;ROW()-5,"",INDEX(Crew!$A$6:$A$105,MATCH(ROW()-5,$M$6:$M$105,0)))</x:f>
      </x:c>
      <x:c r="K34" s="111" t="str">
        <x:f>IF(Crew!B34="Driver",COUNTIFS(Crew!$B$6:B34,"Driver"),"")</x:f>
      </x:c>
      <x:c r="L34" s="111" t="str">
        <x:f>IF(Crew!B34="Guide",COUNTIFS(Crew!$B$6:B34,"Guide"),"")</x:f>
      </x:c>
      <x:c r="M34" s="111" t="str">
        <x:f>IF(Crew!B34="Conductor",COUNTIFS(Crew!$B$6:B34,"Conductor"),"")</x:f>
      </x:c>
      <x:c r="N34" s="111"/>
      <x:c r="O34" s="111"/>
      <x:c r="P34" s="111"/>
      <x:c r="Q34" s="111"/>
      <x:c r="R34" s="111"/>
      <x:c r="S34" s="111"/>
      <x:c r="T34" s="111"/>
    </x:row>
    <x:row r="35" ht="28" customHeight="1">
      <x:c r="A35" s="111"/>
      <x:c r="B35" s="111"/>
      <x:c r="C35" s="111"/>
      <x:c r="D35" s="111"/>
      <x:c r="E35" s="111"/>
      <x:c r="F35" s="122" t="n">
        <x:f>IF('Route List'!A35="","",'Route List'!A35)</x:f>
        <x:v>810</x:v>
      </x:c>
      <x:c r="G35" s="121"/>
      <x:c r="H35" s="122" t="str">
        <x:f>IF(COUNT($K$6:$K$105)&lt;ROW()-5,"",INDEX(Crew!$A$6:$A$105,MATCH(ROW()-5,$K$6:$K$105,0)))</x:f>
      </x:c>
      <x:c r="I35" s="122" t="str">
        <x:f>IF(COUNT($L$6:$L$105)&lt;ROW()-5,"",INDEX(Crew!$A$6:$A$105,MATCH(ROW()-5,$L$6:$L$105,0)))</x:f>
      </x:c>
      <x:c r="J35" s="122" t="str">
        <x:f>IF(COUNT($M$6:$M$105)&lt;ROW()-5,"",INDEX(Crew!$A$6:$A$105,MATCH(ROW()-5,$M$6:$M$105,0)))</x:f>
      </x:c>
      <x:c r="K35" s="111" t="str">
        <x:f>IF(Crew!B35="Driver",COUNTIFS(Crew!$B$6:B35,"Driver"),"")</x:f>
      </x:c>
      <x:c r="L35" s="111" t="str">
        <x:f>IF(Crew!B35="Guide",COUNTIFS(Crew!$B$6:B35,"Guide"),"")</x:f>
      </x:c>
      <x:c r="M35" s="111" t="str">
        <x:f>IF(Crew!B35="Conductor",COUNTIFS(Crew!$B$6:B35,"Conductor"),"")</x:f>
      </x:c>
      <x:c r="N35" s="111"/>
      <x:c r="O35" s="111"/>
      <x:c r="P35" s="111"/>
      <x:c r="Q35" s="111"/>
      <x:c r="R35" s="111"/>
      <x:c r="S35" s="111"/>
      <x:c r="T35" s="111"/>
    </x:row>
    <x:row r="36" ht="28" customHeight="1">
      <x:c r="A36" s="111"/>
      <x:c r="B36" s="111"/>
      <x:c r="C36" s="111"/>
      <x:c r="D36" s="111"/>
      <x:c r="E36" s="111"/>
      <x:c r="F36" s="122" t="n">
        <x:f>IF('Route List'!A36="","",'Route List'!A36)</x:f>
        <x:v>811</x:v>
      </x:c>
      <x:c r="G36" s="121"/>
      <x:c r="H36" s="122" t="str">
        <x:f>IF(COUNT($K$6:$K$105)&lt;ROW()-5,"",INDEX(Crew!$A$6:$A$105,MATCH(ROW()-5,$K$6:$K$105,0)))</x:f>
      </x:c>
      <x:c r="I36" s="122" t="str">
        <x:f>IF(COUNT($L$6:$L$105)&lt;ROW()-5,"",INDEX(Crew!$A$6:$A$105,MATCH(ROW()-5,$L$6:$L$105,0)))</x:f>
      </x:c>
      <x:c r="J36" s="122" t="str">
        <x:f>IF(COUNT($M$6:$M$105)&lt;ROW()-5,"",INDEX(Crew!$A$6:$A$105,MATCH(ROW()-5,$M$6:$M$105,0)))</x:f>
      </x:c>
      <x:c r="K36" s="111" t="str">
        <x:f>IF(Crew!B36="Driver",COUNTIFS(Crew!$B$6:B36,"Driver"),"")</x:f>
      </x:c>
      <x:c r="L36" s="111" t="str">
        <x:f>IF(Crew!B36="Guide",COUNTIFS(Crew!$B$6:B36,"Guide"),"")</x:f>
      </x:c>
      <x:c r="M36" s="111" t="str">
        <x:f>IF(Crew!B36="Conductor",COUNTIFS(Crew!$B$6:B36,"Conductor"),"")</x:f>
      </x:c>
      <x:c r="N36" s="111"/>
      <x:c r="O36" s="111"/>
      <x:c r="P36" s="111"/>
      <x:c r="Q36" s="111"/>
      <x:c r="R36" s="111"/>
      <x:c r="S36" s="111"/>
      <x:c r="T36" s="111"/>
    </x:row>
    <x:row r="37" ht="28" customHeight="1">
      <x:c r="A37" s="111"/>
      <x:c r="B37" s="111"/>
      <x:c r="C37" s="111"/>
      <x:c r="D37" s="111"/>
      <x:c r="E37" s="111"/>
      <x:c r="F37" s="122" t="n">
        <x:f>IF('Route List'!A37="","",'Route List'!A37)</x:f>
        <x:v>812</x:v>
      </x:c>
      <x:c r="G37" s="121"/>
      <x:c r="H37" s="122" t="str">
        <x:f>IF(COUNT($K$6:$K$105)&lt;ROW()-5,"",INDEX(Crew!$A$6:$A$105,MATCH(ROW()-5,$K$6:$K$105,0)))</x:f>
      </x:c>
      <x:c r="I37" s="122" t="str">
        <x:f>IF(COUNT($L$6:$L$105)&lt;ROW()-5,"",INDEX(Crew!$A$6:$A$105,MATCH(ROW()-5,$L$6:$L$105,0)))</x:f>
      </x:c>
      <x:c r="J37" s="122" t="str">
        <x:f>IF(COUNT($M$6:$M$105)&lt;ROW()-5,"",INDEX(Crew!$A$6:$A$105,MATCH(ROW()-5,$M$6:$M$105,0)))</x:f>
      </x:c>
      <x:c r="K37" s="111" t="str">
        <x:f>IF(Crew!B37="Driver",COUNTIFS(Crew!$B$6:B37,"Driver"),"")</x:f>
      </x:c>
      <x:c r="L37" s="111" t="str">
        <x:f>IF(Crew!B37="Guide",COUNTIFS(Crew!$B$6:B37,"Guide"),"")</x:f>
      </x:c>
      <x:c r="M37" s="111" t="str">
        <x:f>IF(Crew!B37="Conductor",COUNTIFS(Crew!$B$6:B37,"Conductor"),"")</x:f>
      </x:c>
      <x:c r="N37" s="111"/>
      <x:c r="O37" s="111"/>
      <x:c r="P37" s="111"/>
      <x:c r="Q37" s="111"/>
      <x:c r="R37" s="111"/>
      <x:c r="S37" s="111"/>
      <x:c r="T37" s="111"/>
    </x:row>
    <x:row r="38" ht="28" customHeight="1">
      <x:c r="A38" s="111"/>
      <x:c r="B38" s="111"/>
      <x:c r="C38" s="111"/>
      <x:c r="D38" s="111"/>
      <x:c r="E38" s="111"/>
      <x:c r="F38" s="122" t="n">
        <x:f>IF('Route List'!A38="","",'Route List'!A38)</x:f>
        <x:v>813</x:v>
      </x:c>
      <x:c r="G38" s="121"/>
      <x:c r="H38" s="122" t="str">
        <x:f>IF(COUNT($K$6:$K$105)&lt;ROW()-5,"",INDEX(Crew!$A$6:$A$105,MATCH(ROW()-5,$K$6:$K$105,0)))</x:f>
      </x:c>
      <x:c r="I38" s="122" t="str">
        <x:f>IF(COUNT($L$6:$L$105)&lt;ROW()-5,"",INDEX(Crew!$A$6:$A$105,MATCH(ROW()-5,$L$6:$L$105,0)))</x:f>
      </x:c>
      <x:c r="J38" s="122" t="str">
        <x:f>IF(COUNT($M$6:$M$105)&lt;ROW()-5,"",INDEX(Crew!$A$6:$A$105,MATCH(ROW()-5,$M$6:$M$105,0)))</x:f>
      </x:c>
      <x:c r="K38" s="111" t="str">
        <x:f>IF(Crew!B38="Driver",COUNTIFS(Crew!$B$6:B38,"Driver"),"")</x:f>
      </x:c>
      <x:c r="L38" s="111" t="str">
        <x:f>IF(Crew!B38="Guide",COUNTIFS(Crew!$B$6:B38,"Guide"),"")</x:f>
      </x:c>
      <x:c r="M38" s="111" t="str">
        <x:f>IF(Crew!B38="Conductor",COUNTIFS(Crew!$B$6:B38,"Conductor"),"")</x:f>
      </x:c>
      <x:c r="N38" s="111"/>
      <x:c r="O38" s="111"/>
      <x:c r="P38" s="111"/>
      <x:c r="Q38" s="111"/>
      <x:c r="R38" s="111"/>
      <x:c r="S38" s="111"/>
      <x:c r="T38" s="111"/>
    </x:row>
    <x:row r="39" ht="28" customHeight="1">
      <x:c r="A39" s="111"/>
      <x:c r="B39" s="111"/>
      <x:c r="C39" s="111"/>
      <x:c r="D39" s="111"/>
      <x:c r="E39" s="111"/>
      <x:c r="F39" s="122" t="n">
        <x:f>IF('Route List'!A39="","",'Route List'!A39)</x:f>
        <x:v>814</x:v>
      </x:c>
      <x:c r="G39" s="121"/>
      <x:c r="H39" s="122" t="str">
        <x:f>IF(COUNT($K$6:$K$105)&lt;ROW()-5,"",INDEX(Crew!$A$6:$A$105,MATCH(ROW()-5,$K$6:$K$105,0)))</x:f>
      </x:c>
      <x:c r="I39" s="122" t="str">
        <x:f>IF(COUNT($L$6:$L$105)&lt;ROW()-5,"",INDEX(Crew!$A$6:$A$105,MATCH(ROW()-5,$L$6:$L$105,0)))</x:f>
      </x:c>
      <x:c r="J39" s="122" t="str">
        <x:f>IF(COUNT($M$6:$M$105)&lt;ROW()-5,"",INDEX(Crew!$A$6:$A$105,MATCH(ROW()-5,$M$6:$M$105,0)))</x:f>
      </x:c>
      <x:c r="K39" s="111" t="str">
        <x:f>IF(Crew!B39="Driver",COUNTIFS(Crew!$B$6:B39,"Driver"),"")</x:f>
      </x:c>
      <x:c r="L39" s="111" t="str">
        <x:f>IF(Crew!B39="Guide",COUNTIFS(Crew!$B$6:B39,"Guide"),"")</x:f>
      </x:c>
      <x:c r="M39" s="111" t="str">
        <x:f>IF(Crew!B39="Conductor",COUNTIFS(Crew!$B$6:B39,"Conductor"),"")</x:f>
      </x:c>
      <x:c r="N39" s="111"/>
      <x:c r="O39" s="111"/>
      <x:c r="P39" s="111"/>
      <x:c r="Q39" s="111"/>
      <x:c r="R39" s="111"/>
      <x:c r="S39" s="111"/>
      <x:c r="T39" s="111"/>
    </x:row>
    <x:row r="40" ht="28" customHeight="1">
      <x:c r="A40" s="111"/>
      <x:c r="B40" s="111"/>
      <x:c r="C40" s="111"/>
      <x:c r="D40" s="111"/>
      <x:c r="E40" s="111"/>
      <x:c r="F40" s="122" t="n">
        <x:f>IF('Route List'!A40="","",'Route List'!A40)</x:f>
        <x:v>815</x:v>
      </x:c>
      <x:c r="G40" s="121"/>
      <x:c r="H40" s="122" t="str">
        <x:f>IF(COUNT($K$6:$K$105)&lt;ROW()-5,"",INDEX(Crew!$A$6:$A$105,MATCH(ROW()-5,$K$6:$K$105,0)))</x:f>
      </x:c>
      <x:c r="I40" s="122" t="str">
        <x:f>IF(COUNT($L$6:$L$105)&lt;ROW()-5,"",INDEX(Crew!$A$6:$A$105,MATCH(ROW()-5,$L$6:$L$105,0)))</x:f>
      </x:c>
      <x:c r="J40" s="122" t="str">
        <x:f>IF(COUNT($M$6:$M$105)&lt;ROW()-5,"",INDEX(Crew!$A$6:$A$105,MATCH(ROW()-5,$M$6:$M$105,0)))</x:f>
      </x:c>
      <x:c r="K40" s="111" t="str">
        <x:f>IF(Crew!B40="Driver",COUNTIFS(Crew!$B$6:B40,"Driver"),"")</x:f>
      </x:c>
      <x:c r="L40" s="111" t="str">
        <x:f>IF(Crew!B40="Guide",COUNTIFS(Crew!$B$6:B40,"Guide"),"")</x:f>
      </x:c>
      <x:c r="M40" s="111" t="str">
        <x:f>IF(Crew!B40="Conductor",COUNTIFS(Crew!$B$6:B40,"Conductor"),"")</x:f>
      </x:c>
      <x:c r="N40" s="111"/>
      <x:c r="O40" s="111"/>
      <x:c r="P40" s="111"/>
      <x:c r="Q40" s="111"/>
      <x:c r="R40" s="111"/>
      <x:c r="S40" s="111"/>
      <x:c r="T40" s="111"/>
    </x:row>
    <x:row r="41" ht="28" customHeight="1">
      <x:c r="A41" s="111"/>
      <x:c r="B41" s="111"/>
      <x:c r="C41" s="111"/>
      <x:c r="D41" s="111"/>
      <x:c r="E41" s="111"/>
      <x:c r="F41" s="122" t="n">
        <x:f>IF('Route List'!A41="","",'Route List'!A41)</x:f>
        <x:v>816</x:v>
      </x:c>
      <x:c r="G41" s="121"/>
      <x:c r="H41" s="122" t="str">
        <x:f>IF(COUNT($K$6:$K$105)&lt;ROW()-5,"",INDEX(Crew!$A$6:$A$105,MATCH(ROW()-5,$K$6:$K$105,0)))</x:f>
      </x:c>
      <x:c r="I41" s="122" t="str">
        <x:f>IF(COUNT($L$6:$L$105)&lt;ROW()-5,"",INDEX(Crew!$A$6:$A$105,MATCH(ROW()-5,$L$6:$L$105,0)))</x:f>
      </x:c>
      <x:c r="J41" s="122" t="str">
        <x:f>IF(COUNT($M$6:$M$105)&lt;ROW()-5,"",INDEX(Crew!$A$6:$A$105,MATCH(ROW()-5,$M$6:$M$105,0)))</x:f>
      </x:c>
      <x:c r="K41" s="111" t="str">
        <x:f>IF(Crew!B41="Driver",COUNTIFS(Crew!$B$6:B41,"Driver"),"")</x:f>
      </x:c>
      <x:c r="L41" s="111" t="str">
        <x:f>IF(Crew!B41="Guide",COUNTIFS(Crew!$B$6:B41,"Guide"),"")</x:f>
      </x:c>
      <x:c r="M41" s="111" t="str">
        <x:f>IF(Crew!B41="Conductor",COUNTIFS(Crew!$B$6:B41,"Conductor"),"")</x:f>
      </x:c>
      <x:c r="N41" s="111"/>
      <x:c r="O41" s="111"/>
      <x:c r="P41" s="111"/>
      <x:c r="Q41" s="111"/>
      <x:c r="R41" s="111"/>
      <x:c r="S41" s="111"/>
      <x:c r="T41" s="111"/>
    </x:row>
    <x:row r="42" ht="28" customHeight="1">
      <x:c r="A42" s="111"/>
      <x:c r="B42" s="111"/>
      <x:c r="C42" s="111"/>
      <x:c r="D42" s="111"/>
      <x:c r="E42" s="111"/>
      <x:c r="F42" s="122" t="n">
        <x:f>IF('Route List'!A42="","",'Route List'!A42)</x:f>
        <x:v>817</x:v>
      </x:c>
      <x:c r="G42" s="121"/>
      <x:c r="H42" s="122" t="str">
        <x:f>IF(COUNT($K$6:$K$105)&lt;ROW()-5,"",INDEX(Crew!$A$6:$A$105,MATCH(ROW()-5,$K$6:$K$105,0)))</x:f>
      </x:c>
      <x:c r="I42" s="122" t="str">
        <x:f>IF(COUNT($L$6:$L$105)&lt;ROW()-5,"",INDEX(Crew!$A$6:$A$105,MATCH(ROW()-5,$L$6:$L$105,0)))</x:f>
      </x:c>
      <x:c r="J42" s="122" t="str">
        <x:f>IF(COUNT($M$6:$M$105)&lt;ROW()-5,"",INDEX(Crew!$A$6:$A$105,MATCH(ROW()-5,$M$6:$M$105,0)))</x:f>
      </x:c>
      <x:c r="K42" s="111" t="str">
        <x:f>IF(Crew!B42="Driver",COUNTIFS(Crew!$B$6:B42,"Driver"),"")</x:f>
      </x:c>
      <x:c r="L42" s="111" t="str">
        <x:f>IF(Crew!B42="Guide",COUNTIFS(Crew!$B$6:B42,"Guide"),"")</x:f>
      </x:c>
      <x:c r="M42" s="111" t="str">
        <x:f>IF(Crew!B42="Conductor",COUNTIFS(Crew!$B$6:B42,"Conductor"),"")</x:f>
      </x:c>
      <x:c r="N42" s="111"/>
      <x:c r="O42" s="111"/>
      <x:c r="P42" s="111"/>
      <x:c r="Q42" s="111"/>
      <x:c r="R42" s="111"/>
      <x:c r="S42" s="111"/>
      <x:c r="T42" s="111"/>
    </x:row>
    <x:row r="43" ht="28" customHeight="1">
      <x:c r="A43" s="111"/>
      <x:c r="B43" s="111"/>
      <x:c r="C43" s="111"/>
      <x:c r="D43" s="111"/>
      <x:c r="E43" s="111"/>
      <x:c r="F43" s="122" t="n">
        <x:f>IF('Route List'!A43="","",'Route List'!A43)</x:f>
        <x:v>818</x:v>
      </x:c>
      <x:c r="G43" s="121"/>
      <x:c r="H43" s="122" t="str">
        <x:f>IF(COUNT($K$6:$K$105)&lt;ROW()-5,"",INDEX(Crew!$A$6:$A$105,MATCH(ROW()-5,$K$6:$K$105,0)))</x:f>
      </x:c>
      <x:c r="I43" s="122" t="str">
        <x:f>IF(COUNT($L$6:$L$105)&lt;ROW()-5,"",INDEX(Crew!$A$6:$A$105,MATCH(ROW()-5,$L$6:$L$105,0)))</x:f>
      </x:c>
      <x:c r="J43" s="122" t="str">
        <x:f>IF(COUNT($M$6:$M$105)&lt;ROW()-5,"",INDEX(Crew!$A$6:$A$105,MATCH(ROW()-5,$M$6:$M$105,0)))</x:f>
      </x:c>
      <x:c r="K43" s="111" t="str">
        <x:f>IF(Crew!B43="Driver",COUNTIFS(Crew!$B$6:B43,"Driver"),"")</x:f>
      </x:c>
      <x:c r="L43" s="111" t="str">
        <x:f>IF(Crew!B43="Guide",COUNTIFS(Crew!$B$6:B43,"Guide"),"")</x:f>
      </x:c>
      <x:c r="M43" s="111" t="str">
        <x:f>IF(Crew!B43="Conductor",COUNTIFS(Crew!$B$6:B43,"Conductor"),"")</x:f>
      </x:c>
      <x:c r="N43" s="111"/>
      <x:c r="O43" s="111"/>
      <x:c r="P43" s="111"/>
      <x:c r="Q43" s="111"/>
      <x:c r="R43" s="111"/>
      <x:c r="S43" s="111"/>
      <x:c r="T43" s="111"/>
    </x:row>
    <x:row r="44" ht="28" customHeight="1">
      <x:c r="A44" s="111"/>
      <x:c r="B44" s="111"/>
      <x:c r="C44" s="111"/>
      <x:c r="D44" s="111"/>
      <x:c r="E44" s="111"/>
      <x:c r="F44" s="122" t="n">
        <x:f>IF('Route List'!A44="","",'Route List'!A44)</x:f>
        <x:v>819</x:v>
      </x:c>
      <x:c r="G44" s="121"/>
      <x:c r="H44" s="122" t="str">
        <x:f>IF(COUNT($K$6:$K$105)&lt;ROW()-5,"",INDEX(Crew!$A$6:$A$105,MATCH(ROW()-5,$K$6:$K$105,0)))</x:f>
      </x:c>
      <x:c r="I44" s="122" t="str">
        <x:f>IF(COUNT($L$6:$L$105)&lt;ROW()-5,"",INDEX(Crew!$A$6:$A$105,MATCH(ROW()-5,$L$6:$L$105,0)))</x:f>
      </x:c>
      <x:c r="J44" s="122" t="str">
        <x:f>IF(COUNT($M$6:$M$105)&lt;ROW()-5,"",INDEX(Crew!$A$6:$A$105,MATCH(ROW()-5,$M$6:$M$105,0)))</x:f>
      </x:c>
      <x:c r="K44" s="111" t="str">
        <x:f>IF(Crew!B44="Driver",COUNTIFS(Crew!$B$6:B44,"Driver"),"")</x:f>
      </x:c>
      <x:c r="L44" s="111" t="str">
        <x:f>IF(Crew!B44="Guide",COUNTIFS(Crew!$B$6:B44,"Guide"),"")</x:f>
      </x:c>
      <x:c r="M44" s="111" t="str">
        <x:f>IF(Crew!B44="Conductor",COUNTIFS(Crew!$B$6:B44,"Conductor"),"")</x:f>
      </x:c>
      <x:c r="N44" s="111"/>
      <x:c r="O44" s="111"/>
      <x:c r="P44" s="111"/>
      <x:c r="Q44" s="111"/>
      <x:c r="R44" s="111"/>
      <x:c r="S44" s="111"/>
      <x:c r="T44" s="111"/>
    </x:row>
    <x:row r="45" ht="28" customHeight="1">
      <x:c r="A45" s="111"/>
      <x:c r="B45" s="111"/>
      <x:c r="C45" s="111"/>
      <x:c r="D45" s="111"/>
      <x:c r="E45" s="111"/>
      <x:c r="F45" s="122" t="n">
        <x:f>IF('Route List'!A45="","",'Route List'!A45)</x:f>
        <x:v>820</x:v>
      </x:c>
      <x:c r="G45" s="121"/>
      <x:c r="H45" s="122" t="str">
        <x:f>IF(COUNT($K$6:$K$105)&lt;ROW()-5,"",INDEX(Crew!$A$6:$A$105,MATCH(ROW()-5,$K$6:$K$105,0)))</x:f>
      </x:c>
      <x:c r="I45" s="122" t="str">
        <x:f>IF(COUNT($L$6:$L$105)&lt;ROW()-5,"",INDEX(Crew!$A$6:$A$105,MATCH(ROW()-5,$L$6:$L$105,0)))</x:f>
      </x:c>
      <x:c r="J45" s="122" t="str">
        <x:f>IF(COUNT($M$6:$M$105)&lt;ROW()-5,"",INDEX(Crew!$A$6:$A$105,MATCH(ROW()-5,$M$6:$M$105,0)))</x:f>
      </x:c>
      <x:c r="K45" s="111" t="str">
        <x:f>IF(Crew!B45="Driver",COUNTIFS(Crew!$B$6:B45,"Driver"),"")</x:f>
      </x:c>
      <x:c r="L45" s="111" t="str">
        <x:f>IF(Crew!B45="Guide",COUNTIFS(Crew!$B$6:B45,"Guide"),"")</x:f>
      </x:c>
      <x:c r="M45" s="111" t="str">
        <x:f>IF(Crew!B45="Conductor",COUNTIFS(Crew!$B$6:B45,"Conductor"),"")</x:f>
      </x:c>
      <x:c r="N45" s="111"/>
      <x:c r="O45" s="111"/>
      <x:c r="P45" s="111"/>
      <x:c r="Q45" s="111"/>
      <x:c r="R45" s="111"/>
      <x:c r="S45" s="111"/>
      <x:c r="T45" s="111"/>
    </x:row>
    <x:row r="46" ht="28" customHeight="1">
      <x:c r="A46" s="111"/>
      <x:c r="B46" s="111"/>
      <x:c r="C46" s="111"/>
      <x:c r="D46" s="111"/>
      <x:c r="E46" s="111"/>
      <x:c r="F46" s="122" t="n">
        <x:f>IF('Route List'!A46="","",'Route List'!A46)</x:f>
        <x:v>1201</x:v>
      </x:c>
      <x:c r="G46" s="121"/>
      <x:c r="H46" s="122" t="str">
        <x:f>IF(COUNT($K$6:$K$105)&lt;ROW()-5,"",INDEX(Crew!$A$6:$A$105,MATCH(ROW()-5,$K$6:$K$105,0)))</x:f>
      </x:c>
      <x:c r="I46" s="122" t="str">
        <x:f>IF(COUNT($L$6:$L$105)&lt;ROW()-5,"",INDEX(Crew!$A$6:$A$105,MATCH(ROW()-5,$L$6:$L$105,0)))</x:f>
      </x:c>
      <x:c r="J46" s="122" t="str">
        <x:f>IF(COUNT($M$6:$M$105)&lt;ROW()-5,"",INDEX(Crew!$A$6:$A$105,MATCH(ROW()-5,$M$6:$M$105,0)))</x:f>
      </x:c>
      <x:c r="K46" s="111" t="str">
        <x:f>IF(Crew!B46="Driver",COUNTIFS(Crew!$B$6:B46,"Driver"),"")</x:f>
      </x:c>
      <x:c r="L46" s="111" t="str">
        <x:f>IF(Crew!B46="Guide",COUNTIFS(Crew!$B$6:B46,"Guide"),"")</x:f>
      </x:c>
      <x:c r="M46" s="111" t="str">
        <x:f>IF(Crew!B46="Conductor",COUNTIFS(Crew!$B$6:B46,"Conductor"),"")</x:f>
      </x:c>
      <x:c r="N46" s="111"/>
      <x:c r="O46" s="111"/>
      <x:c r="P46" s="111"/>
      <x:c r="Q46" s="111"/>
      <x:c r="R46" s="111"/>
      <x:c r="S46" s="111"/>
      <x:c r="T46" s="111"/>
    </x:row>
    <x:row r="47" ht="28" customHeight="1">
      <x:c r="A47" s="111"/>
      <x:c r="B47" s="111"/>
      <x:c r="C47" s="111"/>
      <x:c r="D47" s="111"/>
      <x:c r="E47" s="111"/>
      <x:c r="F47" s="122" t="n">
        <x:f>IF('Route List'!A47="","",'Route List'!A47)</x:f>
        <x:v>1202</x:v>
      </x:c>
      <x:c r="G47" s="121"/>
      <x:c r="H47" s="122" t="str">
        <x:f>IF(COUNT($K$6:$K$105)&lt;ROW()-5,"",INDEX(Crew!$A$6:$A$105,MATCH(ROW()-5,$K$6:$K$105,0)))</x:f>
      </x:c>
      <x:c r="I47" s="122" t="str">
        <x:f>IF(COUNT($L$6:$L$105)&lt;ROW()-5,"",INDEX(Crew!$A$6:$A$105,MATCH(ROW()-5,$L$6:$L$105,0)))</x:f>
      </x:c>
      <x:c r="J47" s="122" t="str">
        <x:f>IF(COUNT($M$6:$M$105)&lt;ROW()-5,"",INDEX(Crew!$A$6:$A$105,MATCH(ROW()-5,$M$6:$M$105,0)))</x:f>
      </x:c>
      <x:c r="K47" s="111" t="str">
        <x:f>IF(Crew!B47="Driver",COUNTIFS(Crew!$B$6:B47,"Driver"),"")</x:f>
      </x:c>
      <x:c r="L47" s="111" t="str">
        <x:f>IF(Crew!B47="Guide",COUNTIFS(Crew!$B$6:B47,"Guide"),"")</x:f>
      </x:c>
      <x:c r="M47" s="111" t="str">
        <x:f>IF(Crew!B47="Conductor",COUNTIFS(Crew!$B$6:B47,"Conductor"),"")</x:f>
      </x:c>
      <x:c r="N47" s="111"/>
      <x:c r="O47" s="111"/>
      <x:c r="P47" s="111"/>
      <x:c r="Q47" s="111"/>
      <x:c r="R47" s="111"/>
      <x:c r="S47" s="111"/>
      <x:c r="T47" s="111"/>
    </x:row>
    <x:row r="48" ht="28" customHeight="1">
      <x:c r="A48" s="111"/>
      <x:c r="B48" s="111"/>
      <x:c r="C48" s="111"/>
      <x:c r="D48" s="111"/>
      <x:c r="E48" s="111"/>
      <x:c r="F48" s="122" t="n">
        <x:f>IF('Route List'!A48="","",'Route List'!A48)</x:f>
        <x:v>1203</x:v>
      </x:c>
      <x:c r="G48" s="121"/>
      <x:c r="H48" s="122" t="str">
        <x:f>IF(COUNT($K$6:$K$105)&lt;ROW()-5,"",INDEX(Crew!$A$6:$A$105,MATCH(ROW()-5,$K$6:$K$105,0)))</x:f>
      </x:c>
      <x:c r="I48" s="122" t="str">
        <x:f>IF(COUNT($L$6:$L$105)&lt;ROW()-5,"",INDEX(Crew!$A$6:$A$105,MATCH(ROW()-5,$L$6:$L$105,0)))</x:f>
      </x:c>
      <x:c r="J48" s="122" t="str">
        <x:f>IF(COUNT($M$6:$M$105)&lt;ROW()-5,"",INDEX(Crew!$A$6:$A$105,MATCH(ROW()-5,$M$6:$M$105,0)))</x:f>
      </x:c>
      <x:c r="K48" s="111" t="str">
        <x:f>IF(Crew!B48="Driver",COUNTIFS(Crew!$B$6:B48,"Driver"),"")</x:f>
      </x:c>
      <x:c r="L48" s="111" t="str">
        <x:f>IF(Crew!B48="Guide",COUNTIFS(Crew!$B$6:B48,"Guide"),"")</x:f>
      </x:c>
      <x:c r="M48" s="111" t="str">
        <x:f>IF(Crew!B48="Conductor",COUNTIFS(Crew!$B$6:B48,"Conductor"),"")</x:f>
      </x:c>
      <x:c r="N48" s="111"/>
      <x:c r="O48" s="111"/>
      <x:c r="P48" s="111"/>
      <x:c r="Q48" s="111"/>
      <x:c r="R48" s="111"/>
      <x:c r="S48" s="111"/>
      <x:c r="T48" s="111"/>
    </x:row>
    <x:row r="49" ht="28" customHeight="1">
      <x:c r="A49" s="111"/>
      <x:c r="B49" s="111"/>
      <x:c r="C49" s="111"/>
      <x:c r="D49" s="111"/>
      <x:c r="E49" s="111"/>
      <x:c r="F49" s="122" t="n">
        <x:f>IF('Route List'!A49="","",'Route List'!A49)</x:f>
        <x:v>1204</x:v>
      </x:c>
      <x:c r="G49" s="121"/>
      <x:c r="H49" s="122" t="str">
        <x:f>IF(COUNT($K$6:$K$105)&lt;ROW()-5,"",INDEX(Crew!$A$6:$A$105,MATCH(ROW()-5,$K$6:$K$105,0)))</x:f>
      </x:c>
      <x:c r="I49" s="122" t="str">
        <x:f>IF(COUNT($L$6:$L$105)&lt;ROW()-5,"",INDEX(Crew!$A$6:$A$105,MATCH(ROW()-5,$L$6:$L$105,0)))</x:f>
      </x:c>
      <x:c r="J49" s="122" t="str">
        <x:f>IF(COUNT($M$6:$M$105)&lt;ROW()-5,"",INDEX(Crew!$A$6:$A$105,MATCH(ROW()-5,$M$6:$M$105,0)))</x:f>
      </x:c>
      <x:c r="K49" s="111" t="str">
        <x:f>IF(Crew!B49="Driver",COUNTIFS(Crew!$B$6:B49,"Driver"),"")</x:f>
      </x:c>
      <x:c r="L49" s="111" t="str">
        <x:f>IF(Crew!B49="Guide",COUNTIFS(Crew!$B$6:B49,"Guide"),"")</x:f>
      </x:c>
      <x:c r="M49" s="111" t="str">
        <x:f>IF(Crew!B49="Conductor",COUNTIFS(Crew!$B$6:B49,"Conductor"),"")</x:f>
      </x:c>
      <x:c r="N49" s="111"/>
      <x:c r="O49" s="111"/>
      <x:c r="P49" s="111"/>
      <x:c r="Q49" s="111"/>
      <x:c r="R49" s="111"/>
      <x:c r="S49" s="111"/>
      <x:c r="T49" s="111"/>
    </x:row>
    <x:row r="50" ht="28" customHeight="1">
      <x:c r="A50" s="111"/>
      <x:c r="B50" s="111"/>
      <x:c r="C50" s="111"/>
      <x:c r="D50" s="111"/>
      <x:c r="E50" s="111"/>
      <x:c r="F50" s="122" t="n">
        <x:f>IF('Route List'!A50="","",'Route List'!A50)</x:f>
        <x:v>1205</x:v>
      </x:c>
      <x:c r="G50" s="121"/>
      <x:c r="H50" s="122" t="str">
        <x:f>IF(COUNT($K$6:$K$105)&lt;ROW()-5,"",INDEX(Crew!$A$6:$A$105,MATCH(ROW()-5,$K$6:$K$105,0)))</x:f>
      </x:c>
      <x:c r="I50" s="122" t="str">
        <x:f>IF(COUNT($L$6:$L$105)&lt;ROW()-5,"",INDEX(Crew!$A$6:$A$105,MATCH(ROW()-5,$L$6:$L$105,0)))</x:f>
      </x:c>
      <x:c r="J50" s="122" t="str">
        <x:f>IF(COUNT($M$6:$M$105)&lt;ROW()-5,"",INDEX(Crew!$A$6:$A$105,MATCH(ROW()-5,$M$6:$M$105,0)))</x:f>
      </x:c>
      <x:c r="K50" s="111" t="str">
        <x:f>IF(Crew!B50="Driver",COUNTIFS(Crew!$B$6:B50,"Driver"),"")</x:f>
      </x:c>
      <x:c r="L50" s="111" t="str">
        <x:f>IF(Crew!B50="Guide",COUNTIFS(Crew!$B$6:B50,"Guide"),"")</x:f>
      </x:c>
      <x:c r="M50" s="111" t="str">
        <x:f>IF(Crew!B50="Conductor",COUNTIFS(Crew!$B$6:B50,"Conductor"),"")</x:f>
      </x:c>
      <x:c r="N50" s="111"/>
      <x:c r="O50" s="111"/>
      <x:c r="P50" s="111"/>
      <x:c r="Q50" s="111"/>
      <x:c r="R50" s="111"/>
      <x:c r="S50" s="111"/>
      <x:c r="T50" s="111"/>
    </x:row>
    <x:row r="51" ht="28" customHeight="1">
      <x:c r="A51" s="111"/>
      <x:c r="B51" s="111"/>
      <x:c r="C51" s="111"/>
      <x:c r="D51" s="111"/>
      <x:c r="E51" s="111"/>
      <x:c r="F51" s="122" t="n">
        <x:f>IF('Route List'!A51="","",'Route List'!A51)</x:f>
        <x:v>1206</x:v>
      </x:c>
      <x:c r="G51" s="121"/>
      <x:c r="H51" s="122" t="str">
        <x:f>IF(COUNT($K$6:$K$105)&lt;ROW()-5,"",INDEX(Crew!$A$6:$A$105,MATCH(ROW()-5,$K$6:$K$105,0)))</x:f>
      </x:c>
      <x:c r="I51" s="122" t="str">
        <x:f>IF(COUNT($L$6:$L$105)&lt;ROW()-5,"",INDEX(Crew!$A$6:$A$105,MATCH(ROW()-5,$L$6:$L$105,0)))</x:f>
      </x:c>
      <x:c r="J51" s="122" t="str">
        <x:f>IF(COUNT($M$6:$M$105)&lt;ROW()-5,"",INDEX(Crew!$A$6:$A$105,MATCH(ROW()-5,$M$6:$M$105,0)))</x:f>
      </x:c>
      <x:c r="K51" s="111" t="str">
        <x:f>IF(Crew!B51="Driver",COUNTIFS(Crew!$B$6:B51,"Driver"),"")</x:f>
      </x:c>
      <x:c r="L51" s="111" t="str">
        <x:f>IF(Crew!B51="Guide",COUNTIFS(Crew!$B$6:B51,"Guide"),"")</x:f>
      </x:c>
      <x:c r="M51" s="111" t="str">
        <x:f>IF(Crew!B51="Conductor",COUNTIFS(Crew!$B$6:B51,"Conductor"),"")</x:f>
      </x:c>
      <x:c r="N51" s="111"/>
      <x:c r="O51" s="111"/>
      <x:c r="P51" s="111"/>
      <x:c r="Q51" s="111"/>
      <x:c r="R51" s="111"/>
      <x:c r="S51" s="111"/>
      <x:c r="T51" s="111"/>
    </x:row>
    <x:row r="52" ht="28" customHeight="1">
      <x:c r="A52" s="111"/>
      <x:c r="B52" s="111"/>
      <x:c r="C52" s="111"/>
      <x:c r="D52" s="111"/>
      <x:c r="E52" s="111"/>
      <x:c r="F52" s="122" t="n">
        <x:f>IF('Route List'!A52="","",'Route List'!A52)</x:f>
        <x:v>1207</x:v>
      </x:c>
      <x:c r="G52" s="121"/>
      <x:c r="H52" s="122" t="str">
        <x:f>IF(COUNT($K$6:$K$105)&lt;ROW()-5,"",INDEX(Crew!$A$6:$A$105,MATCH(ROW()-5,$K$6:$K$105,0)))</x:f>
      </x:c>
      <x:c r="I52" s="122" t="str">
        <x:f>IF(COUNT($L$6:$L$105)&lt;ROW()-5,"",INDEX(Crew!$A$6:$A$105,MATCH(ROW()-5,$L$6:$L$105,0)))</x:f>
      </x:c>
      <x:c r="J52" s="122" t="str">
        <x:f>IF(COUNT($M$6:$M$105)&lt;ROW()-5,"",INDEX(Crew!$A$6:$A$105,MATCH(ROW()-5,$M$6:$M$105,0)))</x:f>
      </x:c>
      <x:c r="K52" s="111" t="str">
        <x:f>IF(Crew!B52="Driver",COUNTIFS(Crew!$B$6:B52,"Driver"),"")</x:f>
      </x:c>
      <x:c r="L52" s="111" t="str">
        <x:f>IF(Crew!B52="Guide",COUNTIFS(Crew!$B$6:B52,"Guide"),"")</x:f>
      </x:c>
      <x:c r="M52" s="111" t="str">
        <x:f>IF(Crew!B52="Conductor",COUNTIFS(Crew!$B$6:B52,"Conductor"),"")</x:f>
      </x:c>
      <x:c r="N52" s="111"/>
      <x:c r="O52" s="111"/>
      <x:c r="P52" s="111"/>
      <x:c r="Q52" s="111"/>
      <x:c r="R52" s="111"/>
      <x:c r="S52" s="111"/>
      <x:c r="T52" s="111"/>
    </x:row>
    <x:row r="53" ht="28" customHeight="1">
      <x:c r="A53" s="111"/>
      <x:c r="B53" s="111"/>
      <x:c r="C53" s="111"/>
      <x:c r="D53" s="111"/>
      <x:c r="E53" s="111"/>
      <x:c r="F53" s="122" t="n">
        <x:f>IF('Route List'!A53="","",'Route List'!A53)</x:f>
        <x:v>1208</x:v>
      </x:c>
      <x:c r="G53" s="121"/>
      <x:c r="H53" s="122" t="str">
        <x:f>IF(COUNT($K$6:$K$105)&lt;ROW()-5,"",INDEX(Crew!$A$6:$A$105,MATCH(ROW()-5,$K$6:$K$105,0)))</x:f>
      </x:c>
      <x:c r="I53" s="122" t="str">
        <x:f>IF(COUNT($L$6:$L$105)&lt;ROW()-5,"",INDEX(Crew!$A$6:$A$105,MATCH(ROW()-5,$L$6:$L$105,0)))</x:f>
      </x:c>
      <x:c r="J53" s="122" t="str">
        <x:f>IF(COUNT($M$6:$M$105)&lt;ROW()-5,"",INDEX(Crew!$A$6:$A$105,MATCH(ROW()-5,$M$6:$M$105,0)))</x:f>
      </x:c>
      <x:c r="K53" s="111" t="str">
        <x:f>IF(Crew!B53="Driver",COUNTIFS(Crew!$B$6:B53,"Driver"),"")</x:f>
      </x:c>
      <x:c r="L53" s="111" t="str">
        <x:f>IF(Crew!B53="Guide",COUNTIFS(Crew!$B$6:B53,"Guide"),"")</x:f>
      </x:c>
      <x:c r="M53" s="111" t="str">
        <x:f>IF(Crew!B53="Conductor",COUNTIFS(Crew!$B$6:B53,"Conductor"),"")</x:f>
      </x:c>
      <x:c r="N53" s="111"/>
      <x:c r="O53" s="111"/>
      <x:c r="P53" s="111"/>
      <x:c r="Q53" s="111"/>
      <x:c r="R53" s="111"/>
      <x:c r="S53" s="111"/>
      <x:c r="T53" s="111"/>
    </x:row>
    <x:row r="54" ht="28" customHeight="1">
      <x:c r="A54" s="111"/>
      <x:c r="B54" s="111"/>
      <x:c r="C54" s="111"/>
      <x:c r="D54" s="111"/>
      <x:c r="E54" s="111"/>
      <x:c r="F54" s="122" t="n">
        <x:f>IF('Route List'!A54="","",'Route List'!A54)</x:f>
        <x:v>1209</x:v>
      </x:c>
      <x:c r="G54" s="121"/>
      <x:c r="H54" s="122" t="str">
        <x:f>IF(COUNT($K$6:$K$105)&lt;ROW()-5,"",INDEX(Crew!$A$6:$A$105,MATCH(ROW()-5,$K$6:$K$105,0)))</x:f>
      </x:c>
      <x:c r="I54" s="122" t="str">
        <x:f>IF(COUNT($L$6:$L$105)&lt;ROW()-5,"",INDEX(Crew!$A$6:$A$105,MATCH(ROW()-5,$L$6:$L$105,0)))</x:f>
      </x:c>
      <x:c r="J54" s="122" t="str">
        <x:f>IF(COUNT($M$6:$M$105)&lt;ROW()-5,"",INDEX(Crew!$A$6:$A$105,MATCH(ROW()-5,$M$6:$M$105,0)))</x:f>
      </x:c>
      <x:c r="K54" s="111" t="str">
        <x:f>IF(Crew!B54="Driver",COUNTIFS(Crew!$B$6:B54,"Driver"),"")</x:f>
      </x:c>
      <x:c r="L54" s="111" t="str">
        <x:f>IF(Crew!B54="Guide",COUNTIFS(Crew!$B$6:B54,"Guide"),"")</x:f>
      </x:c>
      <x:c r="M54" s="111" t="str">
        <x:f>IF(Crew!B54="Conductor",COUNTIFS(Crew!$B$6:B54,"Conductor"),"")</x:f>
      </x:c>
      <x:c r="N54" s="111"/>
      <x:c r="O54" s="111"/>
      <x:c r="P54" s="111"/>
      <x:c r="Q54" s="111"/>
      <x:c r="R54" s="111"/>
      <x:c r="S54" s="111"/>
      <x:c r="T54" s="111"/>
    </x:row>
    <x:row r="55" ht="28" customHeight="1">
      <x:c r="A55" s="111"/>
      <x:c r="B55" s="111"/>
      <x:c r="C55" s="111"/>
      <x:c r="D55" s="111"/>
      <x:c r="E55" s="111"/>
      <x:c r="F55" s="122" t="n">
        <x:f>IF('Route List'!A55="","",'Route List'!A55)</x:f>
        <x:v>1210</x:v>
      </x:c>
      <x:c r="G55" s="121"/>
      <x:c r="H55" s="122" t="str">
        <x:f>IF(COUNT($K$6:$K$105)&lt;ROW()-5,"",INDEX(Crew!$A$6:$A$105,MATCH(ROW()-5,$K$6:$K$105,0)))</x:f>
      </x:c>
      <x:c r="I55" s="122" t="str">
        <x:f>IF(COUNT($L$6:$L$105)&lt;ROW()-5,"",INDEX(Crew!$A$6:$A$105,MATCH(ROW()-5,$L$6:$L$105,0)))</x:f>
      </x:c>
      <x:c r="J55" s="122" t="str">
        <x:f>IF(COUNT($M$6:$M$105)&lt;ROW()-5,"",INDEX(Crew!$A$6:$A$105,MATCH(ROW()-5,$M$6:$M$105,0)))</x:f>
      </x:c>
      <x:c r="K55" s="111" t="str">
        <x:f>IF(Crew!B55="Driver",COUNTIFS(Crew!$B$6:B55,"Driver"),"")</x:f>
      </x:c>
      <x:c r="L55" s="111" t="str">
        <x:f>IF(Crew!B55="Guide",COUNTIFS(Crew!$B$6:B55,"Guide"),"")</x:f>
      </x:c>
      <x:c r="M55" s="111" t="str">
        <x:f>IF(Crew!B55="Conductor",COUNTIFS(Crew!$B$6:B55,"Conductor"),"")</x:f>
      </x:c>
      <x:c r="N55" s="111"/>
      <x:c r="O55" s="111"/>
      <x:c r="P55" s="111"/>
      <x:c r="Q55" s="111"/>
      <x:c r="R55" s="111"/>
      <x:c r="S55" s="111"/>
      <x:c r="T55" s="111"/>
    </x:row>
    <x:row r="56" ht="28" customHeight="1">
      <x:c r="A56" s="111"/>
      <x:c r="B56" s="111"/>
      <x:c r="C56" s="111"/>
      <x:c r="D56" s="111"/>
      <x:c r="E56" s="111"/>
      <x:c r="F56" s="122" t="n">
        <x:f>IF('Route List'!A56="","",'Route List'!A56)</x:f>
        <x:v>1211</x:v>
      </x:c>
      <x:c r="G56" s="121"/>
      <x:c r="H56" s="122" t="str">
        <x:f>IF(COUNT($K$6:$K$105)&lt;ROW()-5,"",INDEX(Crew!$A$6:$A$105,MATCH(ROW()-5,$K$6:$K$105,0)))</x:f>
      </x:c>
      <x:c r="I56" s="122" t="str">
        <x:f>IF(COUNT($L$6:$L$105)&lt;ROW()-5,"",INDEX(Crew!$A$6:$A$105,MATCH(ROW()-5,$L$6:$L$105,0)))</x:f>
      </x:c>
      <x:c r="J56" s="122" t="str">
        <x:f>IF(COUNT($M$6:$M$105)&lt;ROW()-5,"",INDEX(Crew!$A$6:$A$105,MATCH(ROW()-5,$M$6:$M$105,0)))</x:f>
      </x:c>
      <x:c r="K56" s="111" t="str">
        <x:f>IF(Crew!B56="Driver",COUNTIFS(Crew!$B$6:B56,"Driver"),"")</x:f>
      </x:c>
      <x:c r="L56" s="111" t="str">
        <x:f>IF(Crew!B56="Guide",COUNTIFS(Crew!$B$6:B56,"Guide"),"")</x:f>
      </x:c>
      <x:c r="M56" s="111" t="str">
        <x:f>IF(Crew!B56="Conductor",COUNTIFS(Crew!$B$6:B56,"Conductor"),"")</x:f>
      </x:c>
      <x:c r="N56" s="111"/>
      <x:c r="O56" s="111"/>
      <x:c r="P56" s="111"/>
      <x:c r="Q56" s="111"/>
      <x:c r="R56" s="111"/>
      <x:c r="S56" s="111"/>
      <x:c r="T56" s="111"/>
    </x:row>
    <x:row r="57" ht="28" customHeight="1">
      <x:c r="A57" s="111"/>
      <x:c r="B57" s="111"/>
      <x:c r="C57" s="111"/>
      <x:c r="D57" s="111"/>
      <x:c r="E57" s="111"/>
      <x:c r="F57" s="122" t="n">
        <x:f>IF('Route List'!A57="","",'Route List'!A57)</x:f>
        <x:v>1212</x:v>
      </x:c>
      <x:c r="G57" s="121"/>
      <x:c r="H57" s="122" t="str">
        <x:f>IF(COUNT($K$6:$K$105)&lt;ROW()-5,"",INDEX(Crew!$A$6:$A$105,MATCH(ROW()-5,$K$6:$K$105,0)))</x:f>
      </x:c>
      <x:c r="I57" s="122" t="str">
        <x:f>IF(COUNT($L$6:$L$105)&lt;ROW()-5,"",INDEX(Crew!$A$6:$A$105,MATCH(ROW()-5,$L$6:$L$105,0)))</x:f>
      </x:c>
      <x:c r="J57" s="122" t="str">
        <x:f>IF(COUNT($M$6:$M$105)&lt;ROW()-5,"",INDEX(Crew!$A$6:$A$105,MATCH(ROW()-5,$M$6:$M$105,0)))</x:f>
      </x:c>
      <x:c r="K57" s="111" t="str">
        <x:f>IF(Crew!B57="Driver",COUNTIFS(Crew!$B$6:B57,"Driver"),"")</x:f>
      </x:c>
      <x:c r="L57" s="111" t="str">
        <x:f>IF(Crew!B57="Guide",COUNTIFS(Crew!$B$6:B57,"Guide"),"")</x:f>
      </x:c>
      <x:c r="M57" s="111" t="str">
        <x:f>IF(Crew!B57="Conductor",COUNTIFS(Crew!$B$6:B57,"Conductor"),"")</x:f>
      </x:c>
      <x:c r="N57" s="111"/>
      <x:c r="O57" s="111"/>
      <x:c r="P57" s="111"/>
      <x:c r="Q57" s="111"/>
      <x:c r="R57" s="111"/>
      <x:c r="S57" s="111"/>
      <x:c r="T57" s="111"/>
    </x:row>
    <x:row r="58" ht="28" customHeight="1">
      <x:c r="A58" s="111"/>
      <x:c r="B58" s="111"/>
      <x:c r="C58" s="111"/>
      <x:c r="D58" s="111"/>
      <x:c r="E58" s="111"/>
      <x:c r="F58" s="122" t="n">
        <x:f>IF('Route List'!A58="","",'Route List'!A58)</x:f>
        <x:v>1213</x:v>
      </x:c>
      <x:c r="G58" s="121"/>
      <x:c r="H58" s="122" t="str">
        <x:f>IF(COUNT($K$6:$K$105)&lt;ROW()-5,"",INDEX(Crew!$A$6:$A$105,MATCH(ROW()-5,$K$6:$K$105,0)))</x:f>
      </x:c>
      <x:c r="I58" s="122" t="str">
        <x:f>IF(COUNT($L$6:$L$105)&lt;ROW()-5,"",INDEX(Crew!$A$6:$A$105,MATCH(ROW()-5,$L$6:$L$105,0)))</x:f>
      </x:c>
      <x:c r="J58" s="122" t="str">
        <x:f>IF(COUNT($M$6:$M$105)&lt;ROW()-5,"",INDEX(Crew!$A$6:$A$105,MATCH(ROW()-5,$M$6:$M$105,0)))</x:f>
      </x:c>
      <x:c r="K58" s="111" t="str">
        <x:f>IF(Crew!B58="Driver",COUNTIFS(Crew!$B$6:B58,"Driver"),"")</x:f>
      </x:c>
      <x:c r="L58" s="111" t="str">
        <x:f>IF(Crew!B58="Guide",COUNTIFS(Crew!$B$6:B58,"Guide"),"")</x:f>
      </x:c>
      <x:c r="M58" s="111" t="str">
        <x:f>IF(Crew!B58="Conductor",COUNTIFS(Crew!$B$6:B58,"Conductor"),"")</x:f>
      </x:c>
      <x:c r="N58" s="111"/>
      <x:c r="O58" s="111"/>
      <x:c r="P58" s="111"/>
      <x:c r="Q58" s="111"/>
      <x:c r="R58" s="111"/>
      <x:c r="S58" s="111"/>
      <x:c r="T58" s="111"/>
    </x:row>
    <x:row r="59" ht="28" customHeight="1">
      <x:c r="A59" s="111"/>
      <x:c r="B59" s="111"/>
      <x:c r="C59" s="111"/>
      <x:c r="D59" s="111"/>
      <x:c r="E59" s="111"/>
      <x:c r="F59" s="122" t="n">
        <x:f>IF('Route List'!A59="","",'Route List'!A59)</x:f>
        <x:v>1214</x:v>
      </x:c>
      <x:c r="G59" s="121"/>
      <x:c r="H59" s="122" t="str">
        <x:f>IF(COUNT($K$6:$K$105)&lt;ROW()-5,"",INDEX(Crew!$A$6:$A$105,MATCH(ROW()-5,$K$6:$K$105,0)))</x:f>
      </x:c>
      <x:c r="I59" s="122" t="str">
        <x:f>IF(COUNT($L$6:$L$105)&lt;ROW()-5,"",INDEX(Crew!$A$6:$A$105,MATCH(ROW()-5,$L$6:$L$105,0)))</x:f>
      </x:c>
      <x:c r="J59" s="122" t="str">
        <x:f>IF(COUNT($M$6:$M$105)&lt;ROW()-5,"",INDEX(Crew!$A$6:$A$105,MATCH(ROW()-5,$M$6:$M$105,0)))</x:f>
      </x:c>
      <x:c r="K59" s="111" t="str">
        <x:f>IF(Crew!B59="Driver",COUNTIFS(Crew!$B$6:B59,"Driver"),"")</x:f>
      </x:c>
      <x:c r="L59" s="111" t="str">
        <x:f>IF(Crew!B59="Guide",COUNTIFS(Crew!$B$6:B59,"Guide"),"")</x:f>
      </x:c>
      <x:c r="M59" s="111" t="str">
        <x:f>IF(Crew!B59="Conductor",COUNTIFS(Crew!$B$6:B59,"Conductor"),"")</x:f>
      </x:c>
      <x:c r="N59" s="111"/>
      <x:c r="O59" s="111"/>
      <x:c r="P59" s="111"/>
      <x:c r="Q59" s="111"/>
      <x:c r="R59" s="111"/>
      <x:c r="S59" s="111"/>
      <x:c r="T59" s="111"/>
    </x:row>
    <x:row r="60" ht="28" customHeight="1">
      <x:c r="A60" s="111"/>
      <x:c r="B60" s="111"/>
      <x:c r="C60" s="111"/>
      <x:c r="D60" s="111"/>
      <x:c r="E60" s="111"/>
      <x:c r="F60" s="122" t="n">
        <x:f>IF('Route List'!A60="","",'Route List'!A60)</x:f>
        <x:v>1215</x:v>
      </x:c>
      <x:c r="G60" s="121"/>
      <x:c r="H60" s="122" t="str">
        <x:f>IF(COUNT($K$6:$K$105)&lt;ROW()-5,"",INDEX(Crew!$A$6:$A$105,MATCH(ROW()-5,$K$6:$K$105,0)))</x:f>
      </x:c>
      <x:c r="I60" s="122" t="str">
        <x:f>IF(COUNT($L$6:$L$105)&lt;ROW()-5,"",INDEX(Crew!$A$6:$A$105,MATCH(ROW()-5,$L$6:$L$105,0)))</x:f>
      </x:c>
      <x:c r="J60" s="122" t="str">
        <x:f>IF(COUNT($M$6:$M$105)&lt;ROW()-5,"",INDEX(Crew!$A$6:$A$105,MATCH(ROW()-5,$M$6:$M$105,0)))</x:f>
      </x:c>
      <x:c r="K60" s="111" t="str">
        <x:f>IF(Crew!B60="Driver",COUNTIFS(Crew!$B$6:B60,"Driver"),"")</x:f>
      </x:c>
      <x:c r="L60" s="111" t="str">
        <x:f>IF(Crew!B60="Guide",COUNTIFS(Crew!$B$6:B60,"Guide"),"")</x:f>
      </x:c>
      <x:c r="M60" s="111" t="str">
        <x:f>IF(Crew!B60="Conductor",COUNTIFS(Crew!$B$6:B60,"Conductor"),"")</x:f>
      </x:c>
      <x:c r="N60" s="111"/>
      <x:c r="O60" s="111"/>
      <x:c r="P60" s="111"/>
      <x:c r="Q60" s="111"/>
      <x:c r="R60" s="111"/>
      <x:c r="S60" s="111"/>
      <x:c r="T60" s="111"/>
    </x:row>
    <x:row r="61" ht="28" customHeight="1">
      <x:c r="A61" s="111"/>
      <x:c r="B61" s="111"/>
      <x:c r="C61" s="111"/>
      <x:c r="D61" s="111"/>
      <x:c r="E61" s="111"/>
      <x:c r="F61" s="122" t="n">
        <x:f>IF('Route List'!A61="","",'Route List'!A61)</x:f>
        <x:v>1216</x:v>
      </x:c>
      <x:c r="G61" s="121"/>
      <x:c r="H61" s="122" t="str">
        <x:f>IF(COUNT($K$6:$K$105)&lt;ROW()-5,"",INDEX(Crew!$A$6:$A$105,MATCH(ROW()-5,$K$6:$K$105,0)))</x:f>
      </x:c>
      <x:c r="I61" s="122" t="str">
        <x:f>IF(COUNT($L$6:$L$105)&lt;ROW()-5,"",INDEX(Crew!$A$6:$A$105,MATCH(ROW()-5,$L$6:$L$105,0)))</x:f>
      </x:c>
      <x:c r="J61" s="122" t="str">
        <x:f>IF(COUNT($M$6:$M$105)&lt;ROW()-5,"",INDEX(Crew!$A$6:$A$105,MATCH(ROW()-5,$M$6:$M$105,0)))</x:f>
      </x:c>
      <x:c r="K61" s="111" t="str">
        <x:f>IF(Crew!B61="Driver",COUNTIFS(Crew!$B$6:B61,"Driver"),"")</x:f>
      </x:c>
      <x:c r="L61" s="111" t="str">
        <x:f>IF(Crew!B61="Guide",COUNTIFS(Crew!$B$6:B61,"Guide"),"")</x:f>
      </x:c>
      <x:c r="M61" s="111" t="str">
        <x:f>IF(Crew!B61="Conductor",COUNTIFS(Crew!$B$6:B61,"Conductor"),"")</x:f>
      </x:c>
      <x:c r="N61" s="111"/>
      <x:c r="O61" s="111"/>
      <x:c r="P61" s="111"/>
      <x:c r="Q61" s="111"/>
      <x:c r="R61" s="111"/>
      <x:c r="S61" s="111"/>
      <x:c r="T61" s="111"/>
    </x:row>
    <x:row r="62" ht="28" customHeight="1">
      <x:c r="A62" s="111"/>
      <x:c r="B62" s="111"/>
      <x:c r="C62" s="111"/>
      <x:c r="D62" s="111"/>
      <x:c r="E62" s="111"/>
      <x:c r="F62" s="122" t="n">
        <x:f>IF('Route List'!A62="","",'Route List'!A62)</x:f>
        <x:v>1217</x:v>
      </x:c>
      <x:c r="G62" s="121"/>
      <x:c r="H62" s="122" t="str">
        <x:f>IF(COUNT($K$6:$K$105)&lt;ROW()-5,"",INDEX(Crew!$A$6:$A$105,MATCH(ROW()-5,$K$6:$K$105,0)))</x:f>
      </x:c>
      <x:c r="I62" s="122" t="str">
        <x:f>IF(COUNT($L$6:$L$105)&lt;ROW()-5,"",INDEX(Crew!$A$6:$A$105,MATCH(ROW()-5,$L$6:$L$105,0)))</x:f>
      </x:c>
      <x:c r="J62" s="122" t="str">
        <x:f>IF(COUNT($M$6:$M$105)&lt;ROW()-5,"",INDEX(Crew!$A$6:$A$105,MATCH(ROW()-5,$M$6:$M$105,0)))</x:f>
      </x:c>
      <x:c r="K62" s="111" t="str">
        <x:f>IF(Crew!B62="Driver",COUNTIFS(Crew!$B$6:B62,"Driver"),"")</x:f>
      </x:c>
      <x:c r="L62" s="111" t="str">
        <x:f>IF(Crew!B62="Guide",COUNTIFS(Crew!$B$6:B62,"Guide"),"")</x:f>
      </x:c>
      <x:c r="M62" s="111" t="str">
        <x:f>IF(Crew!B62="Conductor",COUNTIFS(Crew!$B$6:B62,"Conductor"),"")</x:f>
      </x:c>
      <x:c r="N62" s="111"/>
      <x:c r="O62" s="111"/>
      <x:c r="P62" s="111"/>
      <x:c r="Q62" s="111"/>
      <x:c r="R62" s="111"/>
      <x:c r="S62" s="111"/>
      <x:c r="T62" s="111"/>
    </x:row>
    <x:row r="63" ht="28" customHeight="1">
      <x:c r="A63" s="111"/>
      <x:c r="B63" s="111"/>
      <x:c r="C63" s="111"/>
      <x:c r="D63" s="111"/>
      <x:c r="E63" s="111"/>
      <x:c r="F63" s="122" t="n">
        <x:f>IF('Route List'!A63="","",'Route List'!A63)</x:f>
        <x:v>1218</x:v>
      </x:c>
      <x:c r="G63" s="121"/>
      <x:c r="H63" s="122" t="str">
        <x:f>IF(COUNT($K$6:$K$105)&lt;ROW()-5,"",INDEX(Crew!$A$6:$A$105,MATCH(ROW()-5,$K$6:$K$105,0)))</x:f>
      </x:c>
      <x:c r="I63" s="122" t="str">
        <x:f>IF(COUNT($L$6:$L$105)&lt;ROW()-5,"",INDEX(Crew!$A$6:$A$105,MATCH(ROW()-5,$L$6:$L$105,0)))</x:f>
      </x:c>
      <x:c r="J63" s="122" t="str">
        <x:f>IF(COUNT($M$6:$M$105)&lt;ROW()-5,"",INDEX(Crew!$A$6:$A$105,MATCH(ROW()-5,$M$6:$M$105,0)))</x:f>
      </x:c>
      <x:c r="K63" s="111" t="str">
        <x:f>IF(Crew!B63="Driver",COUNTIFS(Crew!$B$6:B63,"Driver"),"")</x:f>
      </x:c>
      <x:c r="L63" s="111" t="str">
        <x:f>IF(Crew!B63="Guide",COUNTIFS(Crew!$B$6:B63,"Guide"),"")</x:f>
      </x:c>
      <x:c r="M63" s="111" t="str">
        <x:f>IF(Crew!B63="Conductor",COUNTIFS(Crew!$B$6:B63,"Conductor"),"")</x:f>
      </x:c>
      <x:c r="N63" s="111"/>
      <x:c r="O63" s="111"/>
      <x:c r="P63" s="111"/>
      <x:c r="Q63" s="111"/>
      <x:c r="R63" s="111"/>
      <x:c r="S63" s="111"/>
      <x:c r="T63" s="111"/>
    </x:row>
    <x:row r="64" ht="28" customHeight="1">
      <x:c r="A64" s="111"/>
      <x:c r="B64" s="111"/>
      <x:c r="C64" s="111"/>
      <x:c r="D64" s="111"/>
      <x:c r="E64" s="111"/>
      <x:c r="F64" s="122" t="n">
        <x:f>IF('Route List'!A64="","",'Route List'!A64)</x:f>
        <x:v>1219</x:v>
      </x:c>
      <x:c r="G64" s="121"/>
      <x:c r="H64" s="122" t="str">
        <x:f>IF(COUNT($K$6:$K$105)&lt;ROW()-5,"",INDEX(Crew!$A$6:$A$105,MATCH(ROW()-5,$K$6:$K$105,0)))</x:f>
      </x:c>
      <x:c r="I64" s="122" t="str">
        <x:f>IF(COUNT($L$6:$L$105)&lt;ROW()-5,"",INDEX(Crew!$A$6:$A$105,MATCH(ROW()-5,$L$6:$L$105,0)))</x:f>
      </x:c>
      <x:c r="J64" s="122" t="str">
        <x:f>IF(COUNT($M$6:$M$105)&lt;ROW()-5,"",INDEX(Crew!$A$6:$A$105,MATCH(ROW()-5,$M$6:$M$105,0)))</x:f>
      </x:c>
      <x:c r="K64" s="111" t="str">
        <x:f>IF(Crew!B64="Driver",COUNTIFS(Crew!$B$6:B64,"Driver"),"")</x:f>
      </x:c>
      <x:c r="L64" s="111" t="str">
        <x:f>IF(Crew!B64="Guide",COUNTIFS(Crew!$B$6:B64,"Guide"),"")</x:f>
      </x:c>
      <x:c r="M64" s="111" t="str">
        <x:f>IF(Crew!B64="Conductor",COUNTIFS(Crew!$B$6:B64,"Conductor"),"")</x:f>
      </x:c>
      <x:c r="N64" s="111"/>
      <x:c r="O64" s="111"/>
      <x:c r="P64" s="111"/>
      <x:c r="Q64" s="111"/>
      <x:c r="R64" s="111"/>
      <x:c r="S64" s="111"/>
      <x:c r="T64" s="111"/>
    </x:row>
    <x:row r="65" ht="28" customHeight="1">
      <x:c r="A65" s="111"/>
      <x:c r="B65" s="111"/>
      <x:c r="C65" s="111"/>
      <x:c r="D65" s="111"/>
      <x:c r="E65" s="111"/>
      <x:c r="F65" s="122" t="n">
        <x:f>IF('Route List'!A65="","",'Route List'!A65)</x:f>
        <x:v>1220</x:v>
      </x:c>
      <x:c r="G65" s="121"/>
      <x:c r="H65" s="122" t="str">
        <x:f>IF(COUNT($K$6:$K$105)&lt;ROW()-5,"",INDEX(Crew!$A$6:$A$105,MATCH(ROW()-5,$K$6:$K$105,0)))</x:f>
      </x:c>
      <x:c r="I65" s="122" t="str">
        <x:f>IF(COUNT($L$6:$L$105)&lt;ROW()-5,"",INDEX(Crew!$A$6:$A$105,MATCH(ROW()-5,$L$6:$L$105,0)))</x:f>
      </x:c>
      <x:c r="J65" s="122" t="str">
        <x:f>IF(COUNT($M$6:$M$105)&lt;ROW()-5,"",INDEX(Crew!$A$6:$A$105,MATCH(ROW()-5,$M$6:$M$105,0)))</x:f>
      </x:c>
      <x:c r="K65" s="111" t="str">
        <x:f>IF(Crew!B65="Driver",COUNTIFS(Crew!$B$6:B65,"Driver"),"")</x:f>
      </x:c>
      <x:c r="L65" s="111" t="str">
        <x:f>IF(Crew!B65="Guide",COUNTIFS(Crew!$B$6:B65,"Guide"),"")</x:f>
      </x:c>
      <x:c r="M65" s="111" t="str">
        <x:f>IF(Crew!B65="Conductor",COUNTIFS(Crew!$B$6:B65,"Conductor"),"")</x:f>
      </x:c>
      <x:c r="N65" s="111"/>
      <x:c r="O65" s="111"/>
      <x:c r="P65" s="111"/>
      <x:c r="Q65" s="111"/>
      <x:c r="R65" s="111"/>
      <x:c r="S65" s="111"/>
      <x:c r="T65" s="111"/>
    </x:row>
    <x:row r="66" ht="28" customHeight="1">
      <x:c r="A66" s="111"/>
      <x:c r="B66" s="111"/>
      <x:c r="C66" s="111"/>
      <x:c r="D66" s="111"/>
      <x:c r="E66" s="111"/>
      <x:c r="F66" s="122" t="str">
        <x:f>IF('Route List'!A66="","",'Route List'!A66)</x:f>
      </x:c>
      <x:c r="G66" s="121"/>
      <x:c r="H66" s="122" t="str">
        <x:f>IF(COUNT($K$6:$K$105)&lt;ROW()-5,"",INDEX(Crew!$A$6:$A$105,MATCH(ROW()-5,$K$6:$K$105,0)))</x:f>
      </x:c>
      <x:c r="I66" s="122" t="str">
        <x:f>IF(COUNT($L$6:$L$105)&lt;ROW()-5,"",INDEX(Crew!$A$6:$A$105,MATCH(ROW()-5,$L$6:$L$105,0)))</x:f>
      </x:c>
      <x:c r="J66" s="122" t="str">
        <x:f>IF(COUNT($M$6:$M$105)&lt;ROW()-5,"",INDEX(Crew!$A$6:$A$105,MATCH(ROW()-5,$M$6:$M$105,0)))</x:f>
      </x:c>
      <x:c r="K66" s="111" t="str">
        <x:f>IF(Crew!B66="Driver",COUNTIFS(Crew!$B$6:B66,"Driver"),"")</x:f>
      </x:c>
      <x:c r="L66" s="111" t="str">
        <x:f>IF(Crew!B66="Guide",COUNTIFS(Crew!$B$6:B66,"Guide"),"")</x:f>
      </x:c>
      <x:c r="M66" s="111" t="str">
        <x:f>IF(Crew!B66="Conductor",COUNTIFS(Crew!$B$6:B66,"Conductor"),"")</x:f>
      </x:c>
      <x:c r="N66" s="111"/>
      <x:c r="O66" s="111"/>
      <x:c r="P66" s="111"/>
      <x:c r="Q66" s="111"/>
      <x:c r="R66" s="111"/>
      <x:c r="S66" s="111"/>
      <x:c r="T66" s="111"/>
    </x:row>
    <x:row r="67" ht="28" customHeight="1">
      <x:c r="A67" s="111"/>
      <x:c r="B67" s="111"/>
      <x:c r="C67" s="111"/>
      <x:c r="D67" s="111"/>
      <x:c r="E67" s="111"/>
      <x:c r="F67" s="122" t="str">
        <x:f>IF('Route List'!A67="","",'Route List'!A67)</x:f>
      </x:c>
      <x:c r="G67" s="121"/>
      <x:c r="H67" s="122" t="str">
        <x:f>IF(COUNT($K$6:$K$105)&lt;ROW()-5,"",INDEX(Crew!$A$6:$A$105,MATCH(ROW()-5,$K$6:$K$105,0)))</x:f>
      </x:c>
      <x:c r="I67" s="122" t="str">
        <x:f>IF(COUNT($L$6:$L$105)&lt;ROW()-5,"",INDEX(Crew!$A$6:$A$105,MATCH(ROW()-5,$L$6:$L$105,0)))</x:f>
      </x:c>
      <x:c r="J67" s="122" t="str">
        <x:f>IF(COUNT($M$6:$M$105)&lt;ROW()-5,"",INDEX(Crew!$A$6:$A$105,MATCH(ROW()-5,$M$6:$M$105,0)))</x:f>
      </x:c>
      <x:c r="K67" s="111" t="str">
        <x:f>IF(Crew!B67="Driver",COUNTIFS(Crew!$B$6:B67,"Driver"),"")</x:f>
      </x:c>
      <x:c r="L67" s="111" t="str">
        <x:f>IF(Crew!B67="Guide",COUNTIFS(Crew!$B$6:B67,"Guide"),"")</x:f>
      </x:c>
      <x:c r="M67" s="111" t="str">
        <x:f>IF(Crew!B67="Conductor",COUNTIFS(Crew!$B$6:B67,"Conductor"),"")</x:f>
      </x:c>
      <x:c r="N67" s="111"/>
      <x:c r="O67" s="111"/>
      <x:c r="P67" s="111"/>
      <x:c r="Q67" s="111"/>
      <x:c r="R67" s="111"/>
      <x:c r="S67" s="111"/>
      <x:c r="T67" s="111"/>
    </x:row>
    <x:row r="68" ht="28" customHeight="1">
      <x:c r="A68" s="111"/>
      <x:c r="B68" s="111"/>
      <x:c r="C68" s="111"/>
      <x:c r="D68" s="111"/>
      <x:c r="E68" s="111"/>
      <x:c r="F68" s="122" t="str">
        <x:f>IF('Route List'!A68="","",'Route List'!A68)</x:f>
      </x:c>
      <x:c r="G68" s="121"/>
      <x:c r="H68" s="122" t="str">
        <x:f>IF(COUNT($K$6:$K$105)&lt;ROW()-5,"",INDEX(Crew!$A$6:$A$105,MATCH(ROW()-5,$K$6:$K$105,0)))</x:f>
      </x:c>
      <x:c r="I68" s="122" t="str">
        <x:f>IF(COUNT($L$6:$L$105)&lt;ROW()-5,"",INDEX(Crew!$A$6:$A$105,MATCH(ROW()-5,$L$6:$L$105,0)))</x:f>
      </x:c>
      <x:c r="J68" s="122" t="str">
        <x:f>IF(COUNT($M$6:$M$105)&lt;ROW()-5,"",INDEX(Crew!$A$6:$A$105,MATCH(ROW()-5,$M$6:$M$105,0)))</x:f>
      </x:c>
      <x:c r="K68" s="111" t="str">
        <x:f>IF(Crew!B68="Driver",COUNTIFS(Crew!$B$6:B68,"Driver"),"")</x:f>
      </x:c>
      <x:c r="L68" s="111" t="str">
        <x:f>IF(Crew!B68="Guide",COUNTIFS(Crew!$B$6:B68,"Guide"),"")</x:f>
      </x:c>
      <x:c r="M68" s="111" t="str">
        <x:f>IF(Crew!B68="Conductor",COUNTIFS(Crew!$B$6:B68,"Conductor"),"")</x:f>
      </x:c>
      <x:c r="N68" s="111"/>
      <x:c r="O68" s="111"/>
      <x:c r="P68" s="111"/>
      <x:c r="Q68" s="111"/>
      <x:c r="R68" s="111"/>
      <x:c r="S68" s="111"/>
      <x:c r="T68" s="111"/>
    </x:row>
    <x:row r="69" ht="28" customHeight="1">
      <x:c r="A69" s="111"/>
      <x:c r="B69" s="111"/>
      <x:c r="C69" s="111"/>
      <x:c r="D69" s="111"/>
      <x:c r="E69" s="111"/>
      <x:c r="F69" s="122" t="str">
        <x:f>IF('Route List'!A69="","",'Route List'!A69)</x:f>
      </x:c>
      <x:c r="G69" s="121"/>
      <x:c r="H69" s="122" t="str">
        <x:f>IF(COUNT($K$6:$K$105)&lt;ROW()-5,"",INDEX(Crew!$A$6:$A$105,MATCH(ROW()-5,$K$6:$K$105,0)))</x:f>
      </x:c>
      <x:c r="I69" s="122" t="str">
        <x:f>IF(COUNT($L$6:$L$105)&lt;ROW()-5,"",INDEX(Crew!$A$6:$A$105,MATCH(ROW()-5,$L$6:$L$105,0)))</x:f>
      </x:c>
      <x:c r="J69" s="122" t="str">
        <x:f>IF(COUNT($M$6:$M$105)&lt;ROW()-5,"",INDEX(Crew!$A$6:$A$105,MATCH(ROW()-5,$M$6:$M$105,0)))</x:f>
      </x:c>
      <x:c r="K69" s="111" t="str">
        <x:f>IF(Crew!B69="Driver",COUNTIFS(Crew!$B$6:B69,"Driver"),"")</x:f>
      </x:c>
      <x:c r="L69" s="111" t="str">
        <x:f>IF(Crew!B69="Guide",COUNTIFS(Crew!$B$6:B69,"Guide"),"")</x:f>
      </x:c>
      <x:c r="M69" s="111" t="str">
        <x:f>IF(Crew!B69="Conductor",COUNTIFS(Crew!$B$6:B69,"Conductor"),"")</x:f>
      </x:c>
      <x:c r="N69" s="111"/>
      <x:c r="O69" s="111"/>
      <x:c r="P69" s="111"/>
      <x:c r="Q69" s="111"/>
      <x:c r="R69" s="111"/>
      <x:c r="S69" s="111"/>
      <x:c r="T69" s="111"/>
    </x:row>
    <x:row r="70" ht="28" customHeight="1">
      <x:c r="A70" s="111"/>
      <x:c r="B70" s="111"/>
      <x:c r="C70" s="111"/>
      <x:c r="D70" s="111"/>
      <x:c r="E70" s="111"/>
      <x:c r="F70" s="122" t="str">
        <x:f>IF('Route List'!A70="","",'Route List'!A70)</x:f>
      </x:c>
      <x:c r="G70" s="121"/>
      <x:c r="H70" s="122" t="str">
        <x:f>IF(COUNT($K$6:$K$105)&lt;ROW()-5,"",INDEX(Crew!$A$6:$A$105,MATCH(ROW()-5,$K$6:$K$105,0)))</x:f>
      </x:c>
      <x:c r="I70" s="122" t="str">
        <x:f>IF(COUNT($L$6:$L$105)&lt;ROW()-5,"",INDEX(Crew!$A$6:$A$105,MATCH(ROW()-5,$L$6:$L$105,0)))</x:f>
      </x:c>
      <x:c r="J70" s="122" t="str">
        <x:f>IF(COUNT($M$6:$M$105)&lt;ROW()-5,"",INDEX(Crew!$A$6:$A$105,MATCH(ROW()-5,$M$6:$M$105,0)))</x:f>
      </x:c>
      <x:c r="K70" s="111" t="str">
        <x:f>IF(Crew!B70="Driver",COUNTIFS(Crew!$B$6:B70,"Driver"),"")</x:f>
      </x:c>
      <x:c r="L70" s="111" t="str">
        <x:f>IF(Crew!B70="Guide",COUNTIFS(Crew!$B$6:B70,"Guide"),"")</x:f>
      </x:c>
      <x:c r="M70" s="111" t="str">
        <x:f>IF(Crew!B70="Conductor",COUNTIFS(Crew!$B$6:B70,"Conductor"),"")</x:f>
      </x:c>
      <x:c r="N70" s="111"/>
      <x:c r="O70" s="111"/>
      <x:c r="P70" s="111"/>
      <x:c r="Q70" s="111"/>
      <x:c r="R70" s="111"/>
      <x:c r="S70" s="111"/>
      <x:c r="T70" s="111"/>
    </x:row>
    <x:row r="71" ht="28" customHeight="1">
      <x:c r="A71" s="111"/>
      <x:c r="B71" s="111"/>
      <x:c r="C71" s="111"/>
      <x:c r="D71" s="111"/>
      <x:c r="E71" s="111"/>
      <x:c r="F71" s="122" t="str">
        <x:f>IF('Route List'!A71="","",'Route List'!A71)</x:f>
      </x:c>
      <x:c r="G71" s="121"/>
      <x:c r="H71" s="122" t="str">
        <x:f>IF(COUNT($K$6:$K$105)&lt;ROW()-5,"",INDEX(Crew!$A$6:$A$105,MATCH(ROW()-5,$K$6:$K$105,0)))</x:f>
      </x:c>
      <x:c r="I71" s="122" t="str">
        <x:f>IF(COUNT($L$6:$L$105)&lt;ROW()-5,"",INDEX(Crew!$A$6:$A$105,MATCH(ROW()-5,$L$6:$L$105,0)))</x:f>
      </x:c>
      <x:c r="J71" s="122" t="str">
        <x:f>IF(COUNT($M$6:$M$105)&lt;ROW()-5,"",INDEX(Crew!$A$6:$A$105,MATCH(ROW()-5,$M$6:$M$105,0)))</x:f>
      </x:c>
      <x:c r="K71" s="111" t="str">
        <x:f>IF(Crew!B71="Driver",COUNTIFS(Crew!$B$6:B71,"Driver"),"")</x:f>
      </x:c>
      <x:c r="L71" s="111" t="str">
        <x:f>IF(Crew!B71="Guide",COUNTIFS(Crew!$B$6:B71,"Guide"),"")</x:f>
      </x:c>
      <x:c r="M71" s="111" t="str">
        <x:f>IF(Crew!B71="Conductor",COUNTIFS(Crew!$B$6:B71,"Conductor"),"")</x:f>
      </x:c>
      <x:c r="N71" s="111"/>
      <x:c r="O71" s="111"/>
      <x:c r="P71" s="111"/>
      <x:c r="Q71" s="111"/>
      <x:c r="R71" s="111"/>
      <x:c r="S71" s="111"/>
      <x:c r="T71" s="111"/>
    </x:row>
    <x:row r="72" ht="28" customHeight="1">
      <x:c r="A72" s="111"/>
      <x:c r="B72" s="111"/>
      <x:c r="C72" s="111"/>
      <x:c r="D72" s="111"/>
      <x:c r="E72" s="111"/>
      <x:c r="F72" s="122" t="str">
        <x:f>IF('Route List'!A72="","",'Route List'!A72)</x:f>
      </x:c>
      <x:c r="G72" s="121"/>
      <x:c r="H72" s="122" t="str">
        <x:f>IF(COUNT($K$6:$K$105)&lt;ROW()-5,"",INDEX(Crew!$A$6:$A$105,MATCH(ROW()-5,$K$6:$K$105,0)))</x:f>
      </x:c>
      <x:c r="I72" s="122" t="str">
        <x:f>IF(COUNT($L$6:$L$105)&lt;ROW()-5,"",INDEX(Crew!$A$6:$A$105,MATCH(ROW()-5,$L$6:$L$105,0)))</x:f>
      </x:c>
      <x:c r="J72" s="122" t="str">
        <x:f>IF(COUNT($M$6:$M$105)&lt;ROW()-5,"",INDEX(Crew!$A$6:$A$105,MATCH(ROW()-5,$M$6:$M$105,0)))</x:f>
      </x:c>
      <x:c r="K72" s="111" t="str">
        <x:f>IF(Crew!B72="Driver",COUNTIFS(Crew!$B$6:B72,"Driver"),"")</x:f>
      </x:c>
      <x:c r="L72" s="111" t="str">
        <x:f>IF(Crew!B72="Guide",COUNTIFS(Crew!$B$6:B72,"Guide"),"")</x:f>
      </x:c>
      <x:c r="M72" s="111" t="str">
        <x:f>IF(Crew!B72="Conductor",COUNTIFS(Crew!$B$6:B72,"Conductor"),"")</x:f>
      </x:c>
      <x:c r="N72" s="111"/>
      <x:c r="O72" s="111"/>
      <x:c r="P72" s="111"/>
      <x:c r="Q72" s="111"/>
      <x:c r="R72" s="111"/>
      <x:c r="S72" s="111"/>
      <x:c r="T72" s="111"/>
    </x:row>
    <x:row r="73" ht="28" customHeight="1">
      <x:c r="A73" s="111"/>
      <x:c r="B73" s="111"/>
      <x:c r="C73" s="111"/>
      <x:c r="D73" s="111"/>
      <x:c r="E73" s="111"/>
      <x:c r="F73" s="122" t="str">
        <x:f>IF('Route List'!A73="","",'Route List'!A73)</x:f>
      </x:c>
      <x:c r="G73" s="121"/>
      <x:c r="H73" s="122" t="str">
        <x:f>IF(COUNT($K$6:$K$105)&lt;ROW()-5,"",INDEX(Crew!$A$6:$A$105,MATCH(ROW()-5,$K$6:$K$105,0)))</x:f>
      </x:c>
      <x:c r="I73" s="122" t="str">
        <x:f>IF(COUNT($L$6:$L$105)&lt;ROW()-5,"",INDEX(Crew!$A$6:$A$105,MATCH(ROW()-5,$L$6:$L$105,0)))</x:f>
      </x:c>
      <x:c r="J73" s="122" t="str">
        <x:f>IF(COUNT($M$6:$M$105)&lt;ROW()-5,"",INDEX(Crew!$A$6:$A$105,MATCH(ROW()-5,$M$6:$M$105,0)))</x:f>
      </x:c>
      <x:c r="K73" s="111" t="str">
        <x:f>IF(Crew!B73="Driver",COUNTIFS(Crew!$B$6:B73,"Driver"),"")</x:f>
      </x:c>
      <x:c r="L73" s="111" t="str">
        <x:f>IF(Crew!B73="Guide",COUNTIFS(Crew!$B$6:B73,"Guide"),"")</x:f>
      </x:c>
      <x:c r="M73" s="111" t="str">
        <x:f>IF(Crew!B73="Conductor",COUNTIFS(Crew!$B$6:B73,"Conductor"),"")</x:f>
      </x:c>
      <x:c r="N73" s="111"/>
      <x:c r="O73" s="111"/>
      <x:c r="P73" s="111"/>
      <x:c r="Q73" s="111"/>
      <x:c r="R73" s="111"/>
      <x:c r="S73" s="111"/>
      <x:c r="T73" s="111"/>
    </x:row>
    <x:row r="74" ht="28" customHeight="1">
      <x:c r="A74" s="111"/>
      <x:c r="B74" s="111"/>
      <x:c r="C74" s="111"/>
      <x:c r="D74" s="111"/>
      <x:c r="E74" s="111"/>
      <x:c r="F74" s="122" t="str">
        <x:f>IF('Route List'!A74="","",'Route List'!A74)</x:f>
      </x:c>
      <x:c r="G74" s="121"/>
      <x:c r="H74" s="122" t="str">
        <x:f>IF(COUNT($K$6:$K$105)&lt;ROW()-5,"",INDEX(Crew!$A$6:$A$105,MATCH(ROW()-5,$K$6:$K$105,0)))</x:f>
      </x:c>
      <x:c r="I74" s="122" t="str">
        <x:f>IF(COUNT($L$6:$L$105)&lt;ROW()-5,"",INDEX(Crew!$A$6:$A$105,MATCH(ROW()-5,$L$6:$L$105,0)))</x:f>
      </x:c>
      <x:c r="J74" s="122" t="str">
        <x:f>IF(COUNT($M$6:$M$105)&lt;ROW()-5,"",INDEX(Crew!$A$6:$A$105,MATCH(ROW()-5,$M$6:$M$105,0)))</x:f>
      </x:c>
      <x:c r="K74" s="111" t="str">
        <x:f>IF(Crew!B74="Driver",COUNTIFS(Crew!$B$6:B74,"Driver"),"")</x:f>
      </x:c>
      <x:c r="L74" s="111" t="str">
        <x:f>IF(Crew!B74="Guide",COUNTIFS(Crew!$B$6:B74,"Guide"),"")</x:f>
      </x:c>
      <x:c r="M74" s="111" t="str">
        <x:f>IF(Crew!B74="Conductor",COUNTIFS(Crew!$B$6:B74,"Conductor"),"")</x:f>
      </x:c>
      <x:c r="N74" s="111"/>
      <x:c r="O74" s="111"/>
      <x:c r="P74" s="111"/>
      <x:c r="Q74" s="111"/>
      <x:c r="R74" s="111"/>
      <x:c r="S74" s="111"/>
      <x:c r="T74" s="111"/>
    </x:row>
    <x:row r="75" ht="28" customHeight="1">
      <x:c r="A75" s="111"/>
      <x:c r="B75" s="111"/>
      <x:c r="C75" s="111"/>
      <x:c r="D75" s="111"/>
      <x:c r="E75" s="111"/>
      <x:c r="F75" s="122" t="str">
        <x:f>IF('Route List'!A75="","",'Route List'!A75)</x:f>
      </x:c>
      <x:c r="G75" s="121"/>
      <x:c r="H75" s="122" t="str">
        <x:f>IF(COUNT($K$6:$K$105)&lt;ROW()-5,"",INDEX(Crew!$A$6:$A$105,MATCH(ROW()-5,$K$6:$K$105,0)))</x:f>
      </x:c>
      <x:c r="I75" s="122" t="str">
        <x:f>IF(COUNT($L$6:$L$105)&lt;ROW()-5,"",INDEX(Crew!$A$6:$A$105,MATCH(ROW()-5,$L$6:$L$105,0)))</x:f>
      </x:c>
      <x:c r="J75" s="122" t="str">
        <x:f>IF(COUNT($M$6:$M$105)&lt;ROW()-5,"",INDEX(Crew!$A$6:$A$105,MATCH(ROW()-5,$M$6:$M$105,0)))</x:f>
      </x:c>
      <x:c r="K75" s="111" t="str">
        <x:f>IF(Crew!B75="Driver",COUNTIFS(Crew!$B$6:B75,"Driver"),"")</x:f>
      </x:c>
      <x:c r="L75" s="111" t="str">
        <x:f>IF(Crew!B75="Guide",COUNTIFS(Crew!$B$6:B75,"Guide"),"")</x:f>
      </x:c>
      <x:c r="M75" s="111" t="str">
        <x:f>IF(Crew!B75="Conductor",COUNTIFS(Crew!$B$6:B75,"Conductor"),"")</x:f>
      </x:c>
      <x:c r="N75" s="111"/>
      <x:c r="O75" s="111"/>
      <x:c r="P75" s="111"/>
      <x:c r="Q75" s="111"/>
      <x:c r="R75" s="111"/>
      <x:c r="S75" s="111"/>
      <x:c r="T75" s="111"/>
    </x:row>
    <x:row r="76" ht="28" customHeight="1">
      <x:c r="A76" s="111"/>
      <x:c r="B76" s="111"/>
      <x:c r="C76" s="111"/>
      <x:c r="D76" s="111"/>
      <x:c r="E76" s="111"/>
      <x:c r="F76" s="122" t="str">
        <x:f>IF('Route List'!A76="","",'Route List'!A76)</x:f>
      </x:c>
      <x:c r="G76" s="121"/>
      <x:c r="H76" s="122" t="str">
        <x:f>IF(COUNT($K$6:$K$105)&lt;ROW()-5,"",INDEX(Crew!$A$6:$A$105,MATCH(ROW()-5,$K$6:$K$105,0)))</x:f>
      </x:c>
      <x:c r="I76" s="122" t="str">
        <x:f>IF(COUNT($L$6:$L$105)&lt;ROW()-5,"",INDEX(Crew!$A$6:$A$105,MATCH(ROW()-5,$L$6:$L$105,0)))</x:f>
      </x:c>
      <x:c r="J76" s="122" t="str">
        <x:f>IF(COUNT($M$6:$M$105)&lt;ROW()-5,"",INDEX(Crew!$A$6:$A$105,MATCH(ROW()-5,$M$6:$M$105,0)))</x:f>
      </x:c>
      <x:c r="K76" s="111" t="str">
        <x:f>IF(Crew!B76="Driver",COUNTIFS(Crew!$B$6:B76,"Driver"),"")</x:f>
      </x:c>
      <x:c r="L76" s="111" t="str">
        <x:f>IF(Crew!B76="Guide",COUNTIFS(Crew!$B$6:B76,"Guide"),"")</x:f>
      </x:c>
      <x:c r="M76" s="111" t="str">
        <x:f>IF(Crew!B76="Conductor",COUNTIFS(Crew!$B$6:B76,"Conductor"),"")</x:f>
      </x:c>
      <x:c r="N76" s="111"/>
      <x:c r="O76" s="111"/>
      <x:c r="P76" s="111"/>
      <x:c r="Q76" s="111"/>
      <x:c r="R76" s="111"/>
      <x:c r="S76" s="111"/>
      <x:c r="T76" s="111"/>
    </x:row>
    <x:row r="77" ht="28" customHeight="1">
      <x:c r="A77" s="111"/>
      <x:c r="B77" s="111"/>
      <x:c r="C77" s="111"/>
      <x:c r="D77" s="111"/>
      <x:c r="E77" s="111"/>
      <x:c r="F77" s="122" t="str">
        <x:f>IF('Route List'!A77="","",'Route List'!A77)</x:f>
      </x:c>
      <x:c r="G77" s="121"/>
      <x:c r="H77" s="122" t="str">
        <x:f>IF(COUNT($K$6:$K$105)&lt;ROW()-5,"",INDEX(Crew!$A$6:$A$105,MATCH(ROW()-5,$K$6:$K$105,0)))</x:f>
      </x:c>
      <x:c r="I77" s="122" t="str">
        <x:f>IF(COUNT($L$6:$L$105)&lt;ROW()-5,"",INDEX(Crew!$A$6:$A$105,MATCH(ROW()-5,$L$6:$L$105,0)))</x:f>
      </x:c>
      <x:c r="J77" s="122" t="str">
        <x:f>IF(COUNT($M$6:$M$105)&lt;ROW()-5,"",INDEX(Crew!$A$6:$A$105,MATCH(ROW()-5,$M$6:$M$105,0)))</x:f>
      </x:c>
      <x:c r="K77" s="111" t="str">
        <x:f>IF(Crew!B77="Driver",COUNTIFS(Crew!$B$6:B77,"Driver"),"")</x:f>
      </x:c>
      <x:c r="L77" s="111" t="str">
        <x:f>IF(Crew!B77="Guide",COUNTIFS(Crew!$B$6:B77,"Guide"),"")</x:f>
      </x:c>
      <x:c r="M77" s="111" t="str">
        <x:f>IF(Crew!B77="Conductor",COUNTIFS(Crew!$B$6:B77,"Conductor"),"")</x:f>
      </x:c>
      <x:c r="N77" s="111"/>
      <x:c r="O77" s="111"/>
      <x:c r="P77" s="111"/>
      <x:c r="Q77" s="111"/>
      <x:c r="R77" s="111"/>
      <x:c r="S77" s="111"/>
      <x:c r="T77" s="111"/>
    </x:row>
    <x:row r="78" ht="28" customHeight="1">
      <x:c r="A78" s="111"/>
      <x:c r="B78" s="111"/>
      <x:c r="C78" s="111"/>
      <x:c r="D78" s="111"/>
      <x:c r="E78" s="111"/>
      <x:c r="F78" s="122" t="str">
        <x:f>IF('Route List'!A78="","",'Route List'!A78)</x:f>
      </x:c>
      <x:c r="G78" s="121"/>
      <x:c r="H78" s="122" t="str">
        <x:f>IF(COUNT($K$6:$K$105)&lt;ROW()-5,"",INDEX(Crew!$A$6:$A$105,MATCH(ROW()-5,$K$6:$K$105,0)))</x:f>
      </x:c>
      <x:c r="I78" s="122" t="str">
        <x:f>IF(COUNT($L$6:$L$105)&lt;ROW()-5,"",INDEX(Crew!$A$6:$A$105,MATCH(ROW()-5,$L$6:$L$105,0)))</x:f>
      </x:c>
      <x:c r="J78" s="122" t="str">
        <x:f>IF(COUNT($M$6:$M$105)&lt;ROW()-5,"",INDEX(Crew!$A$6:$A$105,MATCH(ROW()-5,$M$6:$M$105,0)))</x:f>
      </x:c>
      <x:c r="K78" s="111" t="str">
        <x:f>IF(Crew!B78="Driver",COUNTIFS(Crew!$B$6:B78,"Driver"),"")</x:f>
      </x:c>
      <x:c r="L78" s="111" t="str">
        <x:f>IF(Crew!B78="Guide",COUNTIFS(Crew!$B$6:B78,"Guide"),"")</x:f>
      </x:c>
      <x:c r="M78" s="111" t="str">
        <x:f>IF(Crew!B78="Conductor",COUNTIFS(Crew!$B$6:B78,"Conductor"),"")</x:f>
      </x:c>
      <x:c r="N78" s="111"/>
      <x:c r="O78" s="111"/>
      <x:c r="P78" s="111"/>
      <x:c r="Q78" s="111"/>
      <x:c r="R78" s="111"/>
      <x:c r="S78" s="111"/>
      <x:c r="T78" s="111"/>
    </x:row>
    <x:row r="79" ht="28" customHeight="1">
      <x:c r="A79" s="111"/>
      <x:c r="B79" s="111"/>
      <x:c r="C79" s="111"/>
      <x:c r="D79" s="111"/>
      <x:c r="E79" s="111"/>
      <x:c r="F79" s="122" t="str">
        <x:f>IF('Route List'!A79="","",'Route List'!A79)</x:f>
      </x:c>
      <x:c r="G79" s="121"/>
      <x:c r="H79" s="122" t="str">
        <x:f>IF(COUNT($K$6:$K$105)&lt;ROW()-5,"",INDEX(Crew!$A$6:$A$105,MATCH(ROW()-5,$K$6:$K$105,0)))</x:f>
      </x:c>
      <x:c r="I79" s="122" t="str">
        <x:f>IF(COUNT($L$6:$L$105)&lt;ROW()-5,"",INDEX(Crew!$A$6:$A$105,MATCH(ROW()-5,$L$6:$L$105,0)))</x:f>
      </x:c>
      <x:c r="J79" s="122" t="str">
        <x:f>IF(COUNT($M$6:$M$105)&lt;ROW()-5,"",INDEX(Crew!$A$6:$A$105,MATCH(ROW()-5,$M$6:$M$105,0)))</x:f>
      </x:c>
      <x:c r="K79" s="111" t="str">
        <x:f>IF(Crew!B79="Driver",COUNTIFS(Crew!$B$6:B79,"Driver"),"")</x:f>
      </x:c>
      <x:c r="L79" s="111" t="str">
        <x:f>IF(Crew!B79="Guide",COUNTIFS(Crew!$B$6:B79,"Guide"),"")</x:f>
      </x:c>
      <x:c r="M79" s="111" t="str">
        <x:f>IF(Crew!B79="Conductor",COUNTIFS(Crew!$B$6:B79,"Conductor"),"")</x:f>
      </x:c>
      <x:c r="N79" s="111"/>
      <x:c r="O79" s="111"/>
      <x:c r="P79" s="111"/>
      <x:c r="Q79" s="111"/>
      <x:c r="R79" s="111"/>
      <x:c r="S79" s="111"/>
      <x:c r="T79" s="111"/>
    </x:row>
    <x:row r="80" ht="28" customHeight="1">
      <x:c r="A80" s="111"/>
      <x:c r="B80" s="111"/>
      <x:c r="C80" s="111"/>
      <x:c r="D80" s="111"/>
      <x:c r="E80" s="111"/>
      <x:c r="F80" s="122" t="str">
        <x:f>IF('Route List'!A80="","",'Route List'!A80)</x:f>
      </x:c>
      <x:c r="G80" s="121"/>
      <x:c r="H80" s="122" t="str">
        <x:f>IF(COUNT($K$6:$K$105)&lt;ROW()-5,"",INDEX(Crew!$A$6:$A$105,MATCH(ROW()-5,$K$6:$K$105,0)))</x:f>
      </x:c>
      <x:c r="I80" s="122" t="str">
        <x:f>IF(COUNT($L$6:$L$105)&lt;ROW()-5,"",INDEX(Crew!$A$6:$A$105,MATCH(ROW()-5,$L$6:$L$105,0)))</x:f>
      </x:c>
      <x:c r="J80" s="122" t="str">
        <x:f>IF(COUNT($M$6:$M$105)&lt;ROW()-5,"",INDEX(Crew!$A$6:$A$105,MATCH(ROW()-5,$M$6:$M$105,0)))</x:f>
      </x:c>
      <x:c r="K80" s="111" t="str">
        <x:f>IF(Crew!B80="Driver",COUNTIFS(Crew!$B$6:B80,"Driver"),"")</x:f>
      </x:c>
      <x:c r="L80" s="111" t="str">
        <x:f>IF(Crew!B80="Guide",COUNTIFS(Crew!$B$6:B80,"Guide"),"")</x:f>
      </x:c>
      <x:c r="M80" s="111" t="str">
        <x:f>IF(Crew!B80="Conductor",COUNTIFS(Crew!$B$6:B80,"Conductor"),"")</x:f>
      </x:c>
      <x:c r="N80" s="111"/>
      <x:c r="O80" s="111"/>
      <x:c r="P80" s="111"/>
      <x:c r="Q80" s="111"/>
      <x:c r="R80" s="111"/>
      <x:c r="S80" s="111"/>
      <x:c r="T80" s="111"/>
    </x:row>
    <x:row r="81" ht="28" customHeight="1">
      <x:c r="A81" s="111"/>
      <x:c r="B81" s="111"/>
      <x:c r="C81" s="111"/>
      <x:c r="D81" s="111"/>
      <x:c r="E81" s="111"/>
      <x:c r="F81" s="122" t="str">
        <x:f>IF('Route List'!A81="","",'Route List'!A81)</x:f>
      </x:c>
      <x:c r="G81" s="121"/>
      <x:c r="H81" s="122" t="str">
        <x:f>IF(COUNT($K$6:$K$105)&lt;ROW()-5,"",INDEX(Crew!$A$6:$A$105,MATCH(ROW()-5,$K$6:$K$105,0)))</x:f>
      </x:c>
      <x:c r="I81" s="122" t="str">
        <x:f>IF(COUNT($L$6:$L$105)&lt;ROW()-5,"",INDEX(Crew!$A$6:$A$105,MATCH(ROW()-5,$L$6:$L$105,0)))</x:f>
      </x:c>
      <x:c r="J81" s="122" t="str">
        <x:f>IF(COUNT($M$6:$M$105)&lt;ROW()-5,"",INDEX(Crew!$A$6:$A$105,MATCH(ROW()-5,$M$6:$M$105,0)))</x:f>
      </x:c>
      <x:c r="K81" s="111" t="str">
        <x:f>IF(Crew!B81="Driver",COUNTIFS(Crew!$B$6:B81,"Driver"),"")</x:f>
      </x:c>
      <x:c r="L81" s="111" t="str">
        <x:f>IF(Crew!B81="Guide",COUNTIFS(Crew!$B$6:B81,"Guide"),"")</x:f>
      </x:c>
      <x:c r="M81" s="111" t="str">
        <x:f>IF(Crew!B81="Conductor",COUNTIFS(Crew!$B$6:B81,"Conductor"),"")</x:f>
      </x:c>
      <x:c r="N81" s="111"/>
      <x:c r="O81" s="111"/>
      <x:c r="P81" s="111"/>
      <x:c r="Q81" s="111"/>
      <x:c r="R81" s="111"/>
      <x:c r="S81" s="111"/>
      <x:c r="T81" s="111"/>
    </x:row>
    <x:row r="82" ht="28" customHeight="1">
      <x:c r="A82" s="111"/>
      <x:c r="B82" s="111"/>
      <x:c r="C82" s="111"/>
      <x:c r="D82" s="111"/>
      <x:c r="E82" s="111"/>
      <x:c r="F82" s="122" t="str">
        <x:f>IF('Route List'!A82="","",'Route List'!A82)</x:f>
      </x:c>
      <x:c r="G82" s="121"/>
      <x:c r="H82" s="122" t="str">
        <x:f>IF(COUNT($K$6:$K$105)&lt;ROW()-5,"",INDEX(Crew!$A$6:$A$105,MATCH(ROW()-5,$K$6:$K$105,0)))</x:f>
      </x:c>
      <x:c r="I82" s="122" t="str">
        <x:f>IF(COUNT($L$6:$L$105)&lt;ROW()-5,"",INDEX(Crew!$A$6:$A$105,MATCH(ROW()-5,$L$6:$L$105,0)))</x:f>
      </x:c>
      <x:c r="J82" s="122" t="str">
        <x:f>IF(COUNT($M$6:$M$105)&lt;ROW()-5,"",INDEX(Crew!$A$6:$A$105,MATCH(ROW()-5,$M$6:$M$105,0)))</x:f>
      </x:c>
      <x:c r="K82" s="111" t="str">
        <x:f>IF(Crew!B82="Driver",COUNTIFS(Crew!$B$6:B82,"Driver"),"")</x:f>
      </x:c>
      <x:c r="L82" s="111" t="str">
        <x:f>IF(Crew!B82="Guide",COUNTIFS(Crew!$B$6:B82,"Guide"),"")</x:f>
      </x:c>
      <x:c r="M82" s="111" t="str">
        <x:f>IF(Crew!B82="Conductor",COUNTIFS(Crew!$B$6:B82,"Conductor"),"")</x:f>
      </x:c>
      <x:c r="N82" s="111"/>
      <x:c r="O82" s="111"/>
      <x:c r="P82" s="111"/>
      <x:c r="Q82" s="111"/>
      <x:c r="R82" s="111"/>
      <x:c r="S82" s="111"/>
      <x:c r="T82" s="111"/>
    </x:row>
    <x:row r="83" ht="28" customHeight="1">
      <x:c r="A83" s="111"/>
      <x:c r="B83" s="111"/>
      <x:c r="C83" s="111"/>
      <x:c r="D83" s="111"/>
      <x:c r="E83" s="111"/>
      <x:c r="F83" s="122" t="str">
        <x:f>IF('Route List'!A83="","",'Route List'!A83)</x:f>
      </x:c>
      <x:c r="G83" s="121"/>
      <x:c r="H83" s="122" t="str">
        <x:f>IF(COUNT($K$6:$K$105)&lt;ROW()-5,"",INDEX(Crew!$A$6:$A$105,MATCH(ROW()-5,$K$6:$K$105,0)))</x:f>
      </x:c>
      <x:c r="I83" s="122" t="str">
        <x:f>IF(COUNT($L$6:$L$105)&lt;ROW()-5,"",INDEX(Crew!$A$6:$A$105,MATCH(ROW()-5,$L$6:$L$105,0)))</x:f>
      </x:c>
      <x:c r="J83" s="122" t="str">
        <x:f>IF(COUNT($M$6:$M$105)&lt;ROW()-5,"",INDEX(Crew!$A$6:$A$105,MATCH(ROW()-5,$M$6:$M$105,0)))</x:f>
      </x:c>
      <x:c r="K83" s="111" t="str">
        <x:f>IF(Crew!B83="Driver",COUNTIFS(Crew!$B$6:B83,"Driver"),"")</x:f>
      </x:c>
      <x:c r="L83" s="111" t="str">
        <x:f>IF(Crew!B83="Guide",COUNTIFS(Crew!$B$6:B83,"Guide"),"")</x:f>
      </x:c>
      <x:c r="M83" s="111" t="str">
        <x:f>IF(Crew!B83="Conductor",COUNTIFS(Crew!$B$6:B83,"Conductor"),"")</x:f>
      </x:c>
      <x:c r="N83" s="111"/>
      <x:c r="O83" s="111"/>
      <x:c r="P83" s="111"/>
      <x:c r="Q83" s="111"/>
      <x:c r="R83" s="111"/>
      <x:c r="S83" s="111"/>
      <x:c r="T83" s="111"/>
    </x:row>
    <x:row r="84" ht="28" customHeight="1">
      <x:c r="A84" s="111"/>
      <x:c r="B84" s="111"/>
      <x:c r="C84" s="111"/>
      <x:c r="D84" s="111"/>
      <x:c r="E84" s="111"/>
      <x:c r="F84" s="122" t="str">
        <x:f>IF('Route List'!A84="","",'Route List'!A84)</x:f>
      </x:c>
      <x:c r="G84" s="121"/>
      <x:c r="H84" s="122" t="str">
        <x:f>IF(COUNT($K$6:$K$105)&lt;ROW()-5,"",INDEX(Crew!$A$6:$A$105,MATCH(ROW()-5,$K$6:$K$105,0)))</x:f>
      </x:c>
      <x:c r="I84" s="122" t="str">
        <x:f>IF(COUNT($L$6:$L$105)&lt;ROW()-5,"",INDEX(Crew!$A$6:$A$105,MATCH(ROW()-5,$L$6:$L$105,0)))</x:f>
      </x:c>
      <x:c r="J84" s="122" t="str">
        <x:f>IF(COUNT($M$6:$M$105)&lt;ROW()-5,"",INDEX(Crew!$A$6:$A$105,MATCH(ROW()-5,$M$6:$M$105,0)))</x:f>
      </x:c>
      <x:c r="K84" s="111" t="str">
        <x:f>IF(Crew!B84="Driver",COUNTIFS(Crew!$B$6:B84,"Driver"),"")</x:f>
      </x:c>
      <x:c r="L84" s="111" t="str">
        <x:f>IF(Crew!B84="Guide",COUNTIFS(Crew!$B$6:B84,"Guide"),"")</x:f>
      </x:c>
      <x:c r="M84" s="111" t="str">
        <x:f>IF(Crew!B84="Conductor",COUNTIFS(Crew!$B$6:B84,"Conductor"),"")</x:f>
      </x:c>
      <x:c r="N84" s="111"/>
      <x:c r="O84" s="111"/>
      <x:c r="P84" s="111"/>
      <x:c r="Q84" s="111"/>
      <x:c r="R84" s="111"/>
      <x:c r="S84" s="111"/>
      <x:c r="T84" s="111"/>
    </x:row>
    <x:row r="85" ht="28" customHeight="1">
      <x:c r="A85" s="111"/>
      <x:c r="B85" s="111"/>
      <x:c r="C85" s="111"/>
      <x:c r="D85" s="111"/>
      <x:c r="E85" s="111"/>
      <x:c r="F85" s="122" t="str">
        <x:f>IF('Route List'!A85="","",'Route List'!A85)</x:f>
      </x:c>
      <x:c r="G85" s="121"/>
      <x:c r="H85" s="122" t="str">
        <x:f>IF(COUNT($K$6:$K$105)&lt;ROW()-5,"",INDEX(Crew!$A$6:$A$105,MATCH(ROW()-5,$K$6:$K$105,0)))</x:f>
      </x:c>
      <x:c r="I85" s="122" t="str">
        <x:f>IF(COUNT($L$6:$L$105)&lt;ROW()-5,"",INDEX(Crew!$A$6:$A$105,MATCH(ROW()-5,$L$6:$L$105,0)))</x:f>
      </x:c>
      <x:c r="J85" s="122" t="str">
        <x:f>IF(COUNT($M$6:$M$105)&lt;ROW()-5,"",INDEX(Crew!$A$6:$A$105,MATCH(ROW()-5,$M$6:$M$105,0)))</x:f>
      </x:c>
      <x:c r="K85" s="111" t="str">
        <x:f>IF(Crew!B85="Driver",COUNTIFS(Crew!$B$6:B85,"Driver"),"")</x:f>
      </x:c>
      <x:c r="L85" s="111" t="str">
        <x:f>IF(Crew!B85="Guide",COUNTIFS(Crew!$B$6:B85,"Guide"),"")</x:f>
      </x:c>
      <x:c r="M85" s="111" t="str">
        <x:f>IF(Crew!B85="Conductor",COUNTIFS(Crew!$B$6:B85,"Conductor"),"")</x:f>
      </x:c>
      <x:c r="N85" s="111"/>
      <x:c r="O85" s="111"/>
      <x:c r="P85" s="111"/>
      <x:c r="Q85" s="111"/>
      <x:c r="R85" s="111"/>
      <x:c r="S85" s="111"/>
      <x:c r="T85" s="111"/>
    </x:row>
    <x:row r="86" ht="28" customHeight="1">
      <x:c r="A86" s="111"/>
      <x:c r="B86" s="111"/>
      <x:c r="C86" s="111"/>
      <x:c r="D86" s="111"/>
      <x:c r="E86" s="111"/>
      <x:c r="F86" s="122" t="str">
        <x:f>IF('Route List'!A86="","",'Route List'!A86)</x:f>
      </x:c>
      <x:c r="G86" s="121"/>
      <x:c r="H86" s="122" t="str">
        <x:f>IF(COUNT($K$6:$K$105)&lt;ROW()-5,"",INDEX(Crew!$A$6:$A$105,MATCH(ROW()-5,$K$6:$K$105,0)))</x:f>
      </x:c>
      <x:c r="I86" s="122" t="str">
        <x:f>IF(COUNT($L$6:$L$105)&lt;ROW()-5,"",INDEX(Crew!$A$6:$A$105,MATCH(ROW()-5,$L$6:$L$105,0)))</x:f>
      </x:c>
      <x:c r="J86" s="122" t="str">
        <x:f>IF(COUNT($M$6:$M$105)&lt;ROW()-5,"",INDEX(Crew!$A$6:$A$105,MATCH(ROW()-5,$M$6:$M$105,0)))</x:f>
      </x:c>
      <x:c r="K86" s="111" t="str">
        <x:f>IF(Crew!B86="Driver",COUNTIFS(Crew!$B$6:B86,"Driver"),"")</x:f>
      </x:c>
      <x:c r="L86" s="111" t="str">
        <x:f>IF(Crew!B86="Guide",COUNTIFS(Crew!$B$6:B86,"Guide"),"")</x:f>
      </x:c>
      <x:c r="M86" s="111" t="str">
        <x:f>IF(Crew!B86="Conductor",COUNTIFS(Crew!$B$6:B86,"Conductor"),"")</x:f>
      </x:c>
      <x:c r="N86" s="111"/>
      <x:c r="O86" s="111"/>
      <x:c r="P86" s="111"/>
      <x:c r="Q86" s="111"/>
      <x:c r="R86" s="111"/>
      <x:c r="S86" s="111"/>
      <x:c r="T86" s="111"/>
    </x:row>
    <x:row r="87" ht="28" customHeight="1">
      <x:c r="A87" s="111"/>
      <x:c r="B87" s="111"/>
      <x:c r="C87" s="111"/>
      <x:c r="D87" s="111"/>
      <x:c r="E87" s="111"/>
      <x:c r="F87" s="122" t="str">
        <x:f>IF('Route List'!A87="","",'Route List'!A87)</x:f>
      </x:c>
      <x:c r="G87" s="121"/>
      <x:c r="H87" s="122" t="str">
        <x:f>IF(COUNT($K$6:$K$105)&lt;ROW()-5,"",INDEX(Crew!$A$6:$A$105,MATCH(ROW()-5,$K$6:$K$105,0)))</x:f>
      </x:c>
      <x:c r="I87" s="122" t="str">
        <x:f>IF(COUNT($L$6:$L$105)&lt;ROW()-5,"",INDEX(Crew!$A$6:$A$105,MATCH(ROW()-5,$L$6:$L$105,0)))</x:f>
      </x:c>
      <x:c r="J87" s="122" t="str">
        <x:f>IF(COUNT($M$6:$M$105)&lt;ROW()-5,"",INDEX(Crew!$A$6:$A$105,MATCH(ROW()-5,$M$6:$M$105,0)))</x:f>
      </x:c>
      <x:c r="K87" s="111" t="str">
        <x:f>IF(Crew!B87="Driver",COUNTIFS(Crew!$B$6:B87,"Driver"),"")</x:f>
      </x:c>
      <x:c r="L87" s="111" t="str">
        <x:f>IF(Crew!B87="Guide",COUNTIFS(Crew!$B$6:B87,"Guide"),"")</x:f>
      </x:c>
      <x:c r="M87" s="111" t="str">
        <x:f>IF(Crew!B87="Conductor",COUNTIFS(Crew!$B$6:B87,"Conductor"),"")</x:f>
      </x:c>
      <x:c r="N87" s="111"/>
      <x:c r="O87" s="111"/>
      <x:c r="P87" s="111"/>
      <x:c r="Q87" s="111"/>
      <x:c r="R87" s="111"/>
      <x:c r="S87" s="111"/>
      <x:c r="T87" s="111"/>
    </x:row>
    <x:row r="88" ht="28" customHeight="1">
      <x:c r="A88" s="111"/>
      <x:c r="B88" s="111"/>
      <x:c r="C88" s="111"/>
      <x:c r="D88" s="111"/>
      <x:c r="E88" s="111"/>
      <x:c r="F88" s="122" t="str">
        <x:f>IF('Route List'!A88="","",'Route List'!A88)</x:f>
      </x:c>
      <x:c r="G88" s="121"/>
      <x:c r="H88" s="122" t="str">
        <x:f>IF(COUNT($K$6:$K$105)&lt;ROW()-5,"",INDEX(Crew!$A$6:$A$105,MATCH(ROW()-5,$K$6:$K$105,0)))</x:f>
      </x:c>
      <x:c r="I88" s="122" t="str">
        <x:f>IF(COUNT($L$6:$L$105)&lt;ROW()-5,"",INDEX(Crew!$A$6:$A$105,MATCH(ROW()-5,$L$6:$L$105,0)))</x:f>
      </x:c>
      <x:c r="J88" s="122" t="str">
        <x:f>IF(COUNT($M$6:$M$105)&lt;ROW()-5,"",INDEX(Crew!$A$6:$A$105,MATCH(ROW()-5,$M$6:$M$105,0)))</x:f>
      </x:c>
      <x:c r="K88" s="111" t="str">
        <x:f>IF(Crew!B88="Driver",COUNTIFS(Crew!$B$6:B88,"Driver"),"")</x:f>
      </x:c>
      <x:c r="L88" s="111" t="str">
        <x:f>IF(Crew!B88="Guide",COUNTIFS(Crew!$B$6:B88,"Guide"),"")</x:f>
      </x:c>
      <x:c r="M88" s="111" t="str">
        <x:f>IF(Crew!B88="Conductor",COUNTIFS(Crew!$B$6:B88,"Conductor"),"")</x:f>
      </x:c>
      <x:c r="N88" s="111"/>
      <x:c r="O88" s="111"/>
      <x:c r="P88" s="111"/>
      <x:c r="Q88" s="111"/>
      <x:c r="R88" s="111"/>
      <x:c r="S88" s="111"/>
      <x:c r="T88" s="111"/>
    </x:row>
    <x:row r="89" ht="28" customHeight="1">
      <x:c r="A89" s="111"/>
      <x:c r="B89" s="111"/>
      <x:c r="C89" s="111"/>
      <x:c r="D89" s="111"/>
      <x:c r="E89" s="111"/>
      <x:c r="F89" s="122" t="str">
        <x:f>IF('Route List'!A89="","",'Route List'!A89)</x:f>
      </x:c>
      <x:c r="G89" s="121"/>
      <x:c r="H89" s="122" t="str">
        <x:f>IF(COUNT($K$6:$K$105)&lt;ROW()-5,"",INDEX(Crew!$A$6:$A$105,MATCH(ROW()-5,$K$6:$K$105,0)))</x:f>
      </x:c>
      <x:c r="I89" s="122" t="str">
        <x:f>IF(COUNT($L$6:$L$105)&lt;ROW()-5,"",INDEX(Crew!$A$6:$A$105,MATCH(ROW()-5,$L$6:$L$105,0)))</x:f>
      </x:c>
      <x:c r="J89" s="122" t="str">
        <x:f>IF(COUNT($M$6:$M$105)&lt;ROW()-5,"",INDEX(Crew!$A$6:$A$105,MATCH(ROW()-5,$M$6:$M$105,0)))</x:f>
      </x:c>
      <x:c r="K89" s="111" t="str">
        <x:f>IF(Crew!B89="Driver",COUNTIFS(Crew!$B$6:B89,"Driver"),"")</x:f>
      </x:c>
      <x:c r="L89" s="111" t="str">
        <x:f>IF(Crew!B89="Guide",COUNTIFS(Crew!$B$6:B89,"Guide"),"")</x:f>
      </x:c>
      <x:c r="M89" s="111" t="str">
        <x:f>IF(Crew!B89="Conductor",COUNTIFS(Crew!$B$6:B89,"Conductor"),"")</x:f>
      </x:c>
      <x:c r="N89" s="111"/>
      <x:c r="O89" s="111"/>
      <x:c r="P89" s="111"/>
      <x:c r="Q89" s="111"/>
      <x:c r="R89" s="111"/>
      <x:c r="S89" s="111"/>
      <x:c r="T89" s="111"/>
    </x:row>
    <x:row r="90" ht="28" customHeight="1">
      <x:c r="A90" s="111"/>
      <x:c r="B90" s="111"/>
      <x:c r="C90" s="111"/>
      <x:c r="D90" s="111"/>
      <x:c r="E90" s="111"/>
      <x:c r="F90" s="122" t="str">
        <x:f>IF('Route List'!A90="","",'Route List'!A90)</x:f>
      </x:c>
      <x:c r="G90" s="121"/>
      <x:c r="H90" s="122" t="str">
        <x:f>IF(COUNT($K$6:$K$105)&lt;ROW()-5,"",INDEX(Crew!$A$6:$A$105,MATCH(ROW()-5,$K$6:$K$105,0)))</x:f>
      </x:c>
      <x:c r="I90" s="122" t="str">
        <x:f>IF(COUNT($L$6:$L$105)&lt;ROW()-5,"",INDEX(Crew!$A$6:$A$105,MATCH(ROW()-5,$L$6:$L$105,0)))</x:f>
      </x:c>
      <x:c r="J90" s="122" t="str">
        <x:f>IF(COUNT($M$6:$M$105)&lt;ROW()-5,"",INDEX(Crew!$A$6:$A$105,MATCH(ROW()-5,$M$6:$M$105,0)))</x:f>
      </x:c>
      <x:c r="K90" s="111" t="str">
        <x:f>IF(Crew!B90="Driver",COUNTIFS(Crew!$B$6:B90,"Driver"),"")</x:f>
      </x:c>
      <x:c r="L90" s="111" t="str">
        <x:f>IF(Crew!B90="Guide",COUNTIFS(Crew!$B$6:B90,"Guide"),"")</x:f>
      </x:c>
      <x:c r="M90" s="111" t="str">
        <x:f>IF(Crew!B90="Conductor",COUNTIFS(Crew!$B$6:B90,"Conductor"),"")</x:f>
      </x:c>
      <x:c r="N90" s="111"/>
      <x:c r="O90" s="111"/>
      <x:c r="P90" s="111"/>
      <x:c r="Q90" s="111"/>
      <x:c r="R90" s="111"/>
      <x:c r="S90" s="111"/>
      <x:c r="T90" s="111"/>
    </x:row>
    <x:row r="91" ht="28" customHeight="1">
      <x:c r="A91" s="111"/>
      <x:c r="B91" s="111"/>
      <x:c r="C91" s="111"/>
      <x:c r="D91" s="111"/>
      <x:c r="E91" s="111"/>
      <x:c r="F91" s="122" t="str">
        <x:f>IF('Route List'!A91="","",'Route List'!A91)</x:f>
      </x:c>
      <x:c r="G91" s="121"/>
      <x:c r="H91" s="122" t="str">
        <x:f>IF(COUNT($K$6:$K$105)&lt;ROW()-5,"",INDEX(Crew!$A$6:$A$105,MATCH(ROW()-5,$K$6:$K$105,0)))</x:f>
      </x:c>
      <x:c r="I91" s="122" t="str">
        <x:f>IF(COUNT($L$6:$L$105)&lt;ROW()-5,"",INDEX(Crew!$A$6:$A$105,MATCH(ROW()-5,$L$6:$L$105,0)))</x:f>
      </x:c>
      <x:c r="J91" s="122" t="str">
        <x:f>IF(COUNT($M$6:$M$105)&lt;ROW()-5,"",INDEX(Crew!$A$6:$A$105,MATCH(ROW()-5,$M$6:$M$105,0)))</x:f>
      </x:c>
      <x:c r="K91" s="111" t="str">
        <x:f>IF(Crew!B91="Driver",COUNTIFS(Crew!$B$6:B91,"Driver"),"")</x:f>
      </x:c>
      <x:c r="L91" s="111" t="str">
        <x:f>IF(Crew!B91="Guide",COUNTIFS(Crew!$B$6:B91,"Guide"),"")</x:f>
      </x:c>
      <x:c r="M91" s="111" t="str">
        <x:f>IF(Crew!B91="Conductor",COUNTIFS(Crew!$B$6:B91,"Conductor"),"")</x:f>
      </x:c>
      <x:c r="N91" s="111"/>
      <x:c r="O91" s="111"/>
      <x:c r="P91" s="111"/>
      <x:c r="Q91" s="111"/>
      <x:c r="R91" s="111"/>
      <x:c r="S91" s="111"/>
      <x:c r="T91" s="111"/>
    </x:row>
    <x:row r="92" ht="28" customHeight="1">
      <x:c r="A92" s="111"/>
      <x:c r="B92" s="111"/>
      <x:c r="C92" s="111"/>
      <x:c r="D92" s="111"/>
      <x:c r="E92" s="111"/>
      <x:c r="F92" s="122" t="str">
        <x:f>IF('Route List'!A92="","",'Route List'!A92)</x:f>
      </x:c>
      <x:c r="G92" s="121"/>
      <x:c r="H92" s="122" t="str">
        <x:f>IF(COUNT($K$6:$K$105)&lt;ROW()-5,"",INDEX(Crew!$A$6:$A$105,MATCH(ROW()-5,$K$6:$K$105,0)))</x:f>
      </x:c>
      <x:c r="I92" s="122" t="str">
        <x:f>IF(COUNT($L$6:$L$105)&lt;ROW()-5,"",INDEX(Crew!$A$6:$A$105,MATCH(ROW()-5,$L$6:$L$105,0)))</x:f>
      </x:c>
      <x:c r="J92" s="122" t="str">
        <x:f>IF(COUNT($M$6:$M$105)&lt;ROW()-5,"",INDEX(Crew!$A$6:$A$105,MATCH(ROW()-5,$M$6:$M$105,0)))</x:f>
      </x:c>
      <x:c r="K92" s="111" t="str">
        <x:f>IF(Crew!B92="Driver",COUNTIFS(Crew!$B$6:B92,"Driver"),"")</x:f>
      </x:c>
      <x:c r="L92" s="111" t="str">
        <x:f>IF(Crew!B92="Guide",COUNTIFS(Crew!$B$6:B92,"Guide"),"")</x:f>
      </x:c>
      <x:c r="M92" s="111" t="str">
        <x:f>IF(Crew!B92="Conductor",COUNTIFS(Crew!$B$6:B92,"Conductor"),"")</x:f>
      </x:c>
      <x:c r="N92" s="111"/>
      <x:c r="O92" s="111"/>
      <x:c r="P92" s="111"/>
      <x:c r="Q92" s="111"/>
      <x:c r="R92" s="111"/>
      <x:c r="S92" s="111"/>
      <x:c r="T92" s="111"/>
    </x:row>
    <x:row r="93" ht="28" customHeight="1">
      <x:c r="A93" s="111"/>
      <x:c r="B93" s="111"/>
      <x:c r="C93" s="111"/>
      <x:c r="D93" s="111"/>
      <x:c r="E93" s="111"/>
      <x:c r="F93" s="122" t="str">
        <x:f>IF('Route List'!A93="","",'Route List'!A93)</x:f>
      </x:c>
      <x:c r="G93" s="121"/>
      <x:c r="H93" s="122" t="str">
        <x:f>IF(COUNT($K$6:$K$105)&lt;ROW()-5,"",INDEX(Crew!$A$6:$A$105,MATCH(ROW()-5,$K$6:$K$105,0)))</x:f>
      </x:c>
      <x:c r="I93" s="122" t="str">
        <x:f>IF(COUNT($L$6:$L$105)&lt;ROW()-5,"",INDEX(Crew!$A$6:$A$105,MATCH(ROW()-5,$L$6:$L$105,0)))</x:f>
      </x:c>
      <x:c r="J93" s="122" t="str">
        <x:f>IF(COUNT($M$6:$M$105)&lt;ROW()-5,"",INDEX(Crew!$A$6:$A$105,MATCH(ROW()-5,$M$6:$M$105,0)))</x:f>
      </x:c>
      <x:c r="K93" s="111" t="str">
        <x:f>IF(Crew!B93="Driver",COUNTIFS(Crew!$B$6:B93,"Driver"),"")</x:f>
      </x:c>
      <x:c r="L93" s="111" t="str">
        <x:f>IF(Crew!B93="Guide",COUNTIFS(Crew!$B$6:B93,"Guide"),"")</x:f>
      </x:c>
      <x:c r="M93" s="111" t="str">
        <x:f>IF(Crew!B93="Conductor",COUNTIFS(Crew!$B$6:B93,"Conductor"),"")</x:f>
      </x:c>
      <x:c r="N93" s="111"/>
      <x:c r="O93" s="111"/>
      <x:c r="P93" s="111"/>
      <x:c r="Q93" s="111"/>
      <x:c r="R93" s="111"/>
      <x:c r="S93" s="111"/>
      <x:c r="T93" s="111"/>
    </x:row>
    <x:row r="94" ht="28" customHeight="1">
      <x:c r="A94" s="111"/>
      <x:c r="B94" s="111"/>
      <x:c r="C94" s="111"/>
      <x:c r="D94" s="111"/>
      <x:c r="E94" s="111"/>
      <x:c r="F94" s="122" t="str">
        <x:f>IF('Route List'!A94="","",'Route List'!A94)</x:f>
      </x:c>
      <x:c r="G94" s="121"/>
      <x:c r="H94" s="122" t="str">
        <x:f>IF(COUNT($K$6:$K$105)&lt;ROW()-5,"",INDEX(Crew!$A$6:$A$105,MATCH(ROW()-5,$K$6:$K$105,0)))</x:f>
      </x:c>
      <x:c r="I94" s="122" t="str">
        <x:f>IF(COUNT($L$6:$L$105)&lt;ROW()-5,"",INDEX(Crew!$A$6:$A$105,MATCH(ROW()-5,$L$6:$L$105,0)))</x:f>
      </x:c>
      <x:c r="J94" s="122" t="str">
        <x:f>IF(COUNT($M$6:$M$105)&lt;ROW()-5,"",INDEX(Crew!$A$6:$A$105,MATCH(ROW()-5,$M$6:$M$105,0)))</x:f>
      </x:c>
      <x:c r="K94" s="111" t="str">
        <x:f>IF(Crew!B94="Driver",COUNTIFS(Crew!$B$6:B94,"Driver"),"")</x:f>
      </x:c>
      <x:c r="L94" s="111" t="str">
        <x:f>IF(Crew!B94="Guide",COUNTIFS(Crew!$B$6:B94,"Guide"),"")</x:f>
      </x:c>
      <x:c r="M94" s="111" t="str">
        <x:f>IF(Crew!B94="Conductor",COUNTIFS(Crew!$B$6:B94,"Conductor"),"")</x:f>
      </x:c>
      <x:c r="N94" s="111"/>
      <x:c r="O94" s="111"/>
      <x:c r="P94" s="111"/>
      <x:c r="Q94" s="111"/>
      <x:c r="R94" s="111"/>
      <x:c r="S94" s="111"/>
      <x:c r="T94" s="111"/>
    </x:row>
    <x:row r="95" ht="28" customHeight="1">
      <x:c r="A95" s="111"/>
      <x:c r="B95" s="111"/>
      <x:c r="C95" s="111"/>
      <x:c r="D95" s="111"/>
      <x:c r="E95" s="111"/>
      <x:c r="F95" s="122" t="str">
        <x:f>IF('Route List'!A95="","",'Route List'!A95)</x:f>
      </x:c>
      <x:c r="G95" s="121"/>
      <x:c r="H95" s="122" t="str">
        <x:f>IF(COUNT($K$6:$K$105)&lt;ROW()-5,"",INDEX(Crew!$A$6:$A$105,MATCH(ROW()-5,$K$6:$K$105,0)))</x:f>
      </x:c>
      <x:c r="I95" s="122" t="str">
        <x:f>IF(COUNT($L$6:$L$105)&lt;ROW()-5,"",INDEX(Crew!$A$6:$A$105,MATCH(ROW()-5,$L$6:$L$105,0)))</x:f>
      </x:c>
      <x:c r="J95" s="122" t="str">
        <x:f>IF(COUNT($M$6:$M$105)&lt;ROW()-5,"",INDEX(Crew!$A$6:$A$105,MATCH(ROW()-5,$M$6:$M$105,0)))</x:f>
      </x:c>
      <x:c r="K95" s="111" t="str">
        <x:f>IF(Crew!B95="Driver",COUNTIFS(Crew!$B$6:B95,"Driver"),"")</x:f>
      </x:c>
      <x:c r="L95" s="111" t="str">
        <x:f>IF(Crew!B95="Guide",COUNTIFS(Crew!$B$6:B95,"Guide"),"")</x:f>
      </x:c>
      <x:c r="M95" s="111" t="str">
        <x:f>IF(Crew!B95="Conductor",COUNTIFS(Crew!$B$6:B95,"Conductor"),"")</x:f>
      </x:c>
      <x:c r="N95" s="111"/>
      <x:c r="O95" s="111"/>
      <x:c r="P95" s="111"/>
      <x:c r="Q95" s="111"/>
      <x:c r="R95" s="111"/>
      <x:c r="S95" s="111"/>
      <x:c r="T95" s="111"/>
    </x:row>
    <x:row r="96" ht="28" customHeight="1">
      <x:c r="A96" s="111"/>
      <x:c r="B96" s="111"/>
      <x:c r="C96" s="111"/>
      <x:c r="D96" s="111"/>
      <x:c r="E96" s="111"/>
      <x:c r="F96" s="122" t="str">
        <x:f>IF('Route List'!A96="","",'Route List'!A96)</x:f>
      </x:c>
      <x:c r="G96" s="121"/>
      <x:c r="H96" s="122" t="str">
        <x:f>IF(COUNT($K$6:$K$105)&lt;ROW()-5,"",INDEX(Crew!$A$6:$A$105,MATCH(ROW()-5,$K$6:$K$105,0)))</x:f>
      </x:c>
      <x:c r="I96" s="122" t="str">
        <x:f>IF(COUNT($L$6:$L$105)&lt;ROW()-5,"",INDEX(Crew!$A$6:$A$105,MATCH(ROW()-5,$L$6:$L$105,0)))</x:f>
      </x:c>
      <x:c r="J96" s="122" t="str">
        <x:f>IF(COUNT($M$6:$M$105)&lt;ROW()-5,"",INDEX(Crew!$A$6:$A$105,MATCH(ROW()-5,$M$6:$M$105,0)))</x:f>
      </x:c>
      <x:c r="K96" s="111" t="str">
        <x:f>IF(Crew!B96="Driver",COUNTIFS(Crew!$B$6:B96,"Driver"),"")</x:f>
      </x:c>
      <x:c r="L96" s="111" t="str">
        <x:f>IF(Crew!B96="Guide",COUNTIFS(Crew!$B$6:B96,"Guide"),"")</x:f>
      </x:c>
      <x:c r="M96" s="111" t="str">
        <x:f>IF(Crew!B96="Conductor",COUNTIFS(Crew!$B$6:B96,"Conductor"),"")</x:f>
      </x:c>
      <x:c r="N96" s="111"/>
      <x:c r="O96" s="111"/>
      <x:c r="P96" s="111"/>
      <x:c r="Q96" s="111"/>
      <x:c r="R96" s="111"/>
      <x:c r="S96" s="111"/>
      <x:c r="T96" s="111"/>
    </x:row>
    <x:row r="97" ht="28" customHeight="1">
      <x:c r="A97" s="111"/>
      <x:c r="B97" s="111"/>
      <x:c r="C97" s="111"/>
      <x:c r="D97" s="111"/>
      <x:c r="E97" s="111"/>
      <x:c r="F97" s="122" t="str">
        <x:f>IF('Route List'!A97="","",'Route List'!A97)</x:f>
      </x:c>
      <x:c r="G97" s="121"/>
      <x:c r="H97" s="122" t="str">
        <x:f>IF(COUNT($K$6:$K$105)&lt;ROW()-5,"",INDEX(Crew!$A$6:$A$105,MATCH(ROW()-5,$K$6:$K$105,0)))</x:f>
      </x:c>
      <x:c r="I97" s="122" t="str">
        <x:f>IF(COUNT($L$6:$L$105)&lt;ROW()-5,"",INDEX(Crew!$A$6:$A$105,MATCH(ROW()-5,$L$6:$L$105,0)))</x:f>
      </x:c>
      <x:c r="J97" s="122" t="str">
        <x:f>IF(COUNT($M$6:$M$105)&lt;ROW()-5,"",INDEX(Crew!$A$6:$A$105,MATCH(ROW()-5,$M$6:$M$105,0)))</x:f>
      </x:c>
      <x:c r="K97" s="111" t="str">
        <x:f>IF(Crew!B97="Driver",COUNTIFS(Crew!$B$6:B97,"Driver"),"")</x:f>
      </x:c>
      <x:c r="L97" s="111" t="str">
        <x:f>IF(Crew!B97="Guide",COUNTIFS(Crew!$B$6:B97,"Guide"),"")</x:f>
      </x:c>
      <x:c r="M97" s="111" t="str">
        <x:f>IF(Crew!B97="Conductor",COUNTIFS(Crew!$B$6:B97,"Conductor"),"")</x:f>
      </x:c>
      <x:c r="N97" s="111"/>
      <x:c r="O97" s="111"/>
      <x:c r="P97" s="111"/>
      <x:c r="Q97" s="111"/>
      <x:c r="R97" s="111"/>
      <x:c r="S97" s="111"/>
      <x:c r="T97" s="111"/>
    </x:row>
    <x:row r="98" ht="28" customHeight="1">
      <x:c r="A98" s="111"/>
      <x:c r="B98" s="111"/>
      <x:c r="C98" s="111"/>
      <x:c r="D98" s="111"/>
      <x:c r="E98" s="111"/>
      <x:c r="F98" s="122" t="str">
        <x:f>IF('Route List'!A98="","",'Route List'!A98)</x:f>
      </x:c>
      <x:c r="G98" s="121"/>
      <x:c r="H98" s="122" t="str">
        <x:f>IF(COUNT($K$6:$K$105)&lt;ROW()-5,"",INDEX(Crew!$A$6:$A$105,MATCH(ROW()-5,$K$6:$K$105,0)))</x:f>
      </x:c>
      <x:c r="I98" s="122" t="str">
        <x:f>IF(COUNT($L$6:$L$105)&lt;ROW()-5,"",INDEX(Crew!$A$6:$A$105,MATCH(ROW()-5,$L$6:$L$105,0)))</x:f>
      </x:c>
      <x:c r="J98" s="122" t="str">
        <x:f>IF(COUNT($M$6:$M$105)&lt;ROW()-5,"",INDEX(Crew!$A$6:$A$105,MATCH(ROW()-5,$M$6:$M$105,0)))</x:f>
      </x:c>
      <x:c r="K98" s="111" t="str">
        <x:f>IF(Crew!B98="Driver",COUNTIFS(Crew!$B$6:B98,"Driver"),"")</x:f>
      </x:c>
      <x:c r="L98" s="111" t="str">
        <x:f>IF(Crew!B98="Guide",COUNTIFS(Crew!$B$6:B98,"Guide"),"")</x:f>
      </x:c>
      <x:c r="M98" s="111" t="str">
        <x:f>IF(Crew!B98="Conductor",COUNTIFS(Crew!$B$6:B98,"Conductor"),"")</x:f>
      </x:c>
      <x:c r="N98" s="111"/>
      <x:c r="O98" s="111"/>
      <x:c r="P98" s="111"/>
      <x:c r="Q98" s="111"/>
      <x:c r="R98" s="111"/>
      <x:c r="S98" s="111"/>
      <x:c r="T98" s="111"/>
    </x:row>
    <x:row r="99" ht="28" customHeight="1">
      <x:c r="A99" s="111"/>
      <x:c r="B99" s="111"/>
      <x:c r="C99" s="111"/>
      <x:c r="D99" s="111"/>
      <x:c r="E99" s="111"/>
      <x:c r="F99" s="122" t="str">
        <x:f>IF('Route List'!A99="","",'Route List'!A99)</x:f>
      </x:c>
      <x:c r="G99" s="121"/>
      <x:c r="H99" s="122" t="str">
        <x:f>IF(COUNT($K$6:$K$105)&lt;ROW()-5,"",INDEX(Crew!$A$6:$A$105,MATCH(ROW()-5,$K$6:$K$105,0)))</x:f>
      </x:c>
      <x:c r="I99" s="122" t="str">
        <x:f>IF(COUNT($L$6:$L$105)&lt;ROW()-5,"",INDEX(Crew!$A$6:$A$105,MATCH(ROW()-5,$L$6:$L$105,0)))</x:f>
      </x:c>
      <x:c r="J99" s="122" t="str">
        <x:f>IF(COUNT($M$6:$M$105)&lt;ROW()-5,"",INDEX(Crew!$A$6:$A$105,MATCH(ROW()-5,$M$6:$M$105,0)))</x:f>
      </x:c>
      <x:c r="K99" s="111" t="str">
        <x:f>IF(Crew!B99="Driver",COUNTIFS(Crew!$B$6:B99,"Driver"),"")</x:f>
      </x:c>
      <x:c r="L99" s="111" t="str">
        <x:f>IF(Crew!B99="Guide",COUNTIFS(Crew!$B$6:B99,"Guide"),"")</x:f>
      </x:c>
      <x:c r="M99" s="111" t="str">
        <x:f>IF(Crew!B99="Conductor",COUNTIFS(Crew!$B$6:B99,"Conductor"),"")</x:f>
      </x:c>
      <x:c r="N99" s="111"/>
      <x:c r="O99" s="111"/>
      <x:c r="P99" s="111"/>
      <x:c r="Q99" s="111"/>
      <x:c r="R99" s="111"/>
      <x:c r="S99" s="111"/>
      <x:c r="T99" s="111"/>
    </x:row>
    <x:row r="100" ht="28" customHeight="1">
      <x:c r="A100" s="111"/>
      <x:c r="B100" s="111"/>
      <x:c r="C100" s="111"/>
      <x:c r="D100" s="111"/>
      <x:c r="E100" s="111"/>
      <x:c r="F100" s="122" t="str">
        <x:f>IF('Route List'!A100="","",'Route List'!A100)</x:f>
      </x:c>
      <x:c r="G100" s="121"/>
      <x:c r="H100" s="122" t="str">
        <x:f>IF(COUNT($K$6:$K$105)&lt;ROW()-5,"",INDEX(Crew!$A$6:$A$105,MATCH(ROW()-5,$K$6:$K$105,0)))</x:f>
      </x:c>
      <x:c r="I100" s="122" t="str">
        <x:f>IF(COUNT($L$6:$L$105)&lt;ROW()-5,"",INDEX(Crew!$A$6:$A$105,MATCH(ROW()-5,$L$6:$L$105,0)))</x:f>
      </x:c>
      <x:c r="J100" s="122" t="str">
        <x:f>IF(COUNT($M$6:$M$105)&lt;ROW()-5,"",INDEX(Crew!$A$6:$A$105,MATCH(ROW()-5,$M$6:$M$105,0)))</x:f>
      </x:c>
      <x:c r="K100" s="111" t="str">
        <x:f>IF(Crew!B100="Driver",COUNTIFS(Crew!$B$6:B100,"Driver"),"")</x:f>
      </x:c>
      <x:c r="L100" s="111" t="str">
        <x:f>IF(Crew!B100="Guide",COUNTIFS(Crew!$B$6:B100,"Guide"),"")</x:f>
      </x:c>
      <x:c r="M100" s="111" t="str">
        <x:f>IF(Crew!B100="Conductor",COUNTIFS(Crew!$B$6:B100,"Conductor"),"")</x:f>
      </x:c>
      <x:c r="N100" s="111"/>
      <x:c r="O100" s="111"/>
      <x:c r="P100" s="111"/>
      <x:c r="Q100" s="111"/>
      <x:c r="R100" s="111"/>
      <x:c r="S100" s="111"/>
      <x:c r="T100" s="111"/>
    </x:row>
    <x:row r="101" ht="28" customHeight="1">
      <x:c r="A101" s="111"/>
      <x:c r="B101" s="111"/>
      <x:c r="C101" s="111"/>
      <x:c r="D101" s="111"/>
      <x:c r="E101" s="111"/>
      <x:c r="F101" s="122" t="str">
        <x:f>IF('Route List'!A101="","",'Route List'!A101)</x:f>
      </x:c>
      <x:c r="G101" s="121"/>
      <x:c r="H101" s="122" t="str">
        <x:f>IF(COUNT($K$6:$K$105)&lt;ROW()-5,"",INDEX(Crew!$A$6:$A$105,MATCH(ROW()-5,$K$6:$K$105,0)))</x:f>
      </x:c>
      <x:c r="I101" s="122" t="str">
        <x:f>IF(COUNT($L$6:$L$105)&lt;ROW()-5,"",INDEX(Crew!$A$6:$A$105,MATCH(ROW()-5,$L$6:$L$105,0)))</x:f>
      </x:c>
      <x:c r="J101" s="122" t="str">
        <x:f>IF(COUNT($M$6:$M$105)&lt;ROW()-5,"",INDEX(Crew!$A$6:$A$105,MATCH(ROW()-5,$M$6:$M$105,0)))</x:f>
      </x:c>
      <x:c r="K101" s="111" t="str">
        <x:f>IF(Crew!B101="Driver",COUNTIFS(Crew!$B$6:B101,"Driver"),"")</x:f>
      </x:c>
      <x:c r="L101" s="111" t="str">
        <x:f>IF(Crew!B101="Guide",COUNTIFS(Crew!$B$6:B101,"Guide"),"")</x:f>
      </x:c>
      <x:c r="M101" s="111" t="str">
        <x:f>IF(Crew!B101="Conductor",COUNTIFS(Crew!$B$6:B101,"Conductor"),"")</x:f>
      </x:c>
      <x:c r="N101" s="111"/>
      <x:c r="O101" s="111"/>
      <x:c r="P101" s="111"/>
      <x:c r="Q101" s="111"/>
      <x:c r="R101" s="111"/>
      <x:c r="S101" s="111"/>
      <x:c r="T101" s="111"/>
    </x:row>
    <x:row r="102" ht="28" customHeight="1">
      <x:c r="A102" s="111"/>
      <x:c r="B102" s="111"/>
      <x:c r="C102" s="111"/>
      <x:c r="D102" s="111"/>
      <x:c r="E102" s="111"/>
      <x:c r="F102" s="122" t="str">
        <x:f>IF('Route List'!A102="","",'Route List'!A102)</x:f>
      </x:c>
      <x:c r="G102" s="121"/>
      <x:c r="H102" s="122" t="str">
        <x:f>IF(COUNT($K$6:$K$105)&lt;ROW()-5,"",INDEX(Crew!$A$6:$A$105,MATCH(ROW()-5,$K$6:$K$105,0)))</x:f>
      </x:c>
      <x:c r="I102" s="122" t="str">
        <x:f>IF(COUNT($L$6:$L$105)&lt;ROW()-5,"",INDEX(Crew!$A$6:$A$105,MATCH(ROW()-5,$L$6:$L$105,0)))</x:f>
      </x:c>
      <x:c r="J102" s="122" t="str">
        <x:f>IF(COUNT($M$6:$M$105)&lt;ROW()-5,"",INDEX(Crew!$A$6:$A$105,MATCH(ROW()-5,$M$6:$M$105,0)))</x:f>
      </x:c>
      <x:c r="K102" s="111" t="str">
        <x:f>IF(Crew!B102="Driver",COUNTIFS(Crew!$B$6:B102,"Driver"),"")</x:f>
      </x:c>
      <x:c r="L102" s="111" t="str">
        <x:f>IF(Crew!B102="Guide",COUNTIFS(Crew!$B$6:B102,"Guide"),"")</x:f>
      </x:c>
      <x:c r="M102" s="111" t="str">
        <x:f>IF(Crew!B102="Conductor",COUNTIFS(Crew!$B$6:B102,"Conductor"),"")</x:f>
      </x:c>
      <x:c r="N102" s="111"/>
      <x:c r="O102" s="111"/>
      <x:c r="P102" s="111"/>
      <x:c r="Q102" s="111"/>
      <x:c r="R102" s="111"/>
      <x:c r="S102" s="111"/>
      <x:c r="T102" s="111"/>
    </x:row>
    <x:row r="103" ht="28" customHeight="1">
      <x:c r="A103" s="111"/>
      <x:c r="B103" s="111"/>
      <x:c r="C103" s="111"/>
      <x:c r="D103" s="111"/>
      <x:c r="E103" s="111"/>
      <x:c r="F103" s="122" t="str">
        <x:f>IF('Route List'!A103="","",'Route List'!A103)</x:f>
      </x:c>
      <x:c r="G103" s="121"/>
      <x:c r="H103" s="122" t="str">
        <x:f>IF(COUNT($K$6:$K$105)&lt;ROW()-5,"",INDEX(Crew!$A$6:$A$105,MATCH(ROW()-5,$K$6:$K$105,0)))</x:f>
      </x:c>
      <x:c r="I103" s="122" t="str">
        <x:f>IF(COUNT($L$6:$L$105)&lt;ROW()-5,"",INDEX(Crew!$A$6:$A$105,MATCH(ROW()-5,$L$6:$L$105,0)))</x:f>
      </x:c>
      <x:c r="J103" s="122" t="str">
        <x:f>IF(COUNT($M$6:$M$105)&lt;ROW()-5,"",INDEX(Crew!$A$6:$A$105,MATCH(ROW()-5,$M$6:$M$105,0)))</x:f>
      </x:c>
      <x:c r="K103" s="111" t="str">
        <x:f>IF(Crew!B103="Driver",COUNTIFS(Crew!$B$6:B103,"Driver"),"")</x:f>
      </x:c>
      <x:c r="L103" s="111" t="str">
        <x:f>IF(Crew!B103="Guide",COUNTIFS(Crew!$B$6:B103,"Guide"),"")</x:f>
      </x:c>
      <x:c r="M103" s="111" t="str">
        <x:f>IF(Crew!B103="Conductor",COUNTIFS(Crew!$B$6:B103,"Conductor"),"")</x:f>
      </x:c>
      <x:c r="N103" s="111"/>
      <x:c r="O103" s="111"/>
      <x:c r="P103" s="111"/>
      <x:c r="Q103" s="111"/>
      <x:c r="R103" s="111"/>
      <x:c r="S103" s="111"/>
      <x:c r="T103" s="111"/>
    </x:row>
    <x:row r="104" ht="28" customHeight="1">
      <x:c r="A104" s="111"/>
      <x:c r="B104" s="111"/>
      <x:c r="C104" s="111"/>
      <x:c r="D104" s="111"/>
      <x:c r="E104" s="111"/>
      <x:c r="F104" s="122" t="str">
        <x:f>IF('Route List'!A104="","",'Route List'!A104)</x:f>
      </x:c>
      <x:c r="G104" s="121"/>
      <x:c r="H104" s="122" t="str">
        <x:f>IF(COUNT($K$6:$K$105)&lt;ROW()-5,"",INDEX(Crew!$A$6:$A$105,MATCH(ROW()-5,$K$6:$K$105,0)))</x:f>
      </x:c>
      <x:c r="I104" s="122" t="str">
        <x:f>IF(COUNT($L$6:$L$105)&lt;ROW()-5,"",INDEX(Crew!$A$6:$A$105,MATCH(ROW()-5,$L$6:$L$105,0)))</x:f>
      </x:c>
      <x:c r="J104" s="122" t="str">
        <x:f>IF(COUNT($M$6:$M$105)&lt;ROW()-5,"",INDEX(Crew!$A$6:$A$105,MATCH(ROW()-5,$M$6:$M$105,0)))</x:f>
      </x:c>
      <x:c r="K104" s="111" t="str">
        <x:f>IF(Crew!B104="Driver",COUNTIFS(Crew!$B$6:B104,"Driver"),"")</x:f>
      </x:c>
      <x:c r="L104" s="111" t="str">
        <x:f>IF(Crew!B104="Guide",COUNTIFS(Crew!$B$6:B104,"Guide"),"")</x:f>
      </x:c>
      <x:c r="M104" s="111" t="str">
        <x:f>IF(Crew!B104="Conductor",COUNTIFS(Crew!$B$6:B104,"Conductor"),"")</x:f>
      </x:c>
      <x:c r="N104" s="111"/>
      <x:c r="O104" s="111"/>
      <x:c r="P104" s="111"/>
      <x:c r="Q104" s="111"/>
      <x:c r="R104" s="111"/>
      <x:c r="S104" s="111"/>
      <x:c r="T104" s="111"/>
    </x:row>
    <x:row r="105" ht="28" customHeight="1">
      <x:c r="A105" s="111"/>
      <x:c r="B105" s="111"/>
      <x:c r="C105" s="111"/>
      <x:c r="D105" s="111"/>
      <x:c r="E105" s="111"/>
      <x:c r="F105" s="122" t="str">
        <x:f>IF('Route List'!A105="","",'Route List'!A105)</x:f>
      </x:c>
      <x:c r="G105" s="121"/>
      <x:c r="H105" s="122" t="str">
        <x:f>IF(COUNT($K$6:$K$105)&lt;ROW()-5,"",INDEX(Crew!$A$6:$A$105,MATCH(ROW()-5,$K$6:$K$105,0)))</x:f>
      </x:c>
      <x:c r="I105" s="122" t="str">
        <x:f>IF(COUNT($L$6:$L$105)&lt;ROW()-5,"",INDEX(Crew!$A$6:$A$105,MATCH(ROW()-5,$L$6:$L$105,0)))</x:f>
      </x:c>
      <x:c r="J105" s="122" t="str">
        <x:f>IF(COUNT($M$6:$M$105)&lt;ROW()-5,"",INDEX(Crew!$A$6:$A$105,MATCH(ROW()-5,$M$6:$M$105,0)))</x:f>
      </x:c>
      <x:c r="K105" s="111" t="str">
        <x:f>IF(Crew!B105="Driver",COUNTIFS(Crew!$B$6:B105,"Driver"),"")</x:f>
      </x:c>
      <x:c r="L105" s="111" t="str">
        <x:f>IF(Crew!B105="Guide",COUNTIFS(Crew!$B$6:B105,"Guide"),"")</x:f>
      </x:c>
      <x:c r="M105" s="111" t="str">
        <x:f>IF(Crew!B105="Conductor",COUNTIFS(Crew!$B$6:B105,"Conductor"),"")</x:f>
      </x:c>
      <x:c r="N105" s="111"/>
      <x:c r="O105" s="111"/>
      <x:c r="P105" s="111"/>
      <x:c r="Q105" s="111"/>
      <x:c r="R105" s="111"/>
      <x:c r="S105" s="111"/>
      <x:c r="T105" s="111"/>
    </x:row>
    <x:row r="106">
      <x:c r="A106" s="111"/>
      <x:c r="B106" s="111"/>
      <x:c r="C106" s="111"/>
      <x:c r="D106" s="111"/>
      <x:c r="E106" s="111"/>
      <x:c r="F106" s="111"/>
      <x:c r="G106" s="111"/>
      <x:c r="H106" s="111"/>
      <x:c r="I106" s="111"/>
      <x:c r="J106" s="111"/>
      <x:c r="K106" s="111"/>
      <x:c r="L106" s="111"/>
      <x:c r="M106" s="111"/>
      <x:c r="N106" s="111"/>
      <x:c r="O106" s="111"/>
      <x:c r="P106" s="111"/>
      <x:c r="Q106" s="111"/>
      <x:c r="R106" s="111"/>
      <x:c r="S106" s="111"/>
      <x:c r="T106" s="111"/>
    </x:row>
    <x:row r="107">
      <x:c r="A107" s="111"/>
      <x:c r="B107" s="111"/>
      <x:c r="C107" s="111"/>
      <x:c r="D107" s="111"/>
      <x:c r="E107" s="111"/>
      <x:c r="F107" s="111"/>
      <x:c r="G107" s="111"/>
      <x:c r="H107" s="111"/>
      <x:c r="I107" s="111"/>
      <x:c r="J107" s="111"/>
      <x:c r="K107" s="111"/>
      <x:c r="L107" s="111"/>
      <x:c r="M107" s="111"/>
      <x:c r="N107" s="111"/>
      <x:c r="O107" s="111"/>
      <x:c r="P107" s="111"/>
      <x:c r="Q107" s="111"/>
      <x:c r="R107" s="111"/>
      <x:c r="S107" s="111"/>
      <x:c r="T107" s="111"/>
    </x:row>
    <x:row r="108">
      <x:c r="A108" s="111"/>
      <x:c r="B108" s="111"/>
      <x:c r="C108" s="111"/>
      <x:c r="D108" s="111"/>
      <x:c r="E108" s="111"/>
      <x:c r="F108" s="111"/>
      <x:c r="G108" s="111"/>
      <x:c r="H108" s="111"/>
      <x:c r="I108" s="111"/>
      <x:c r="J108" s="111"/>
      <x:c r="K108" s="111"/>
      <x:c r="L108" s="111"/>
      <x:c r="M108" s="111"/>
      <x:c r="N108" s="111"/>
      <x:c r="O108" s="111"/>
      <x:c r="P108" s="111"/>
      <x:c r="Q108" s="111"/>
      <x:c r="R108" s="111"/>
      <x:c r="S108" s="111"/>
      <x:c r="T108" s="111"/>
    </x:row>
    <x:row r="109">
      <x:c r="A109" s="111"/>
      <x:c r="B109" s="111"/>
      <x:c r="C109" s="111"/>
      <x:c r="D109" s="111"/>
      <x:c r="E109" s="111"/>
      <x:c r="F109" s="111"/>
      <x:c r="G109" s="111"/>
      <x:c r="H109" s="111"/>
      <x:c r="I109" s="111"/>
      <x:c r="J109" s="111"/>
      <x:c r="K109" s="111"/>
      <x:c r="L109" s="111"/>
      <x:c r="M109" s="111"/>
      <x:c r="N109" s="111"/>
      <x:c r="O109" s="111"/>
      <x:c r="P109" s="111"/>
      <x:c r="Q109" s="111"/>
      <x:c r="R109" s="111"/>
      <x:c r="S109" s="111"/>
      <x:c r="T109" s="111"/>
    </x:row>
    <x:row r="110">
      <x:c r="A110" s="111"/>
      <x:c r="B110" s="111"/>
      <x:c r="C110" s="111"/>
      <x:c r="D110" s="111"/>
      <x:c r="E110" s="111"/>
      <x:c r="F110" s="111"/>
      <x:c r="G110" s="111"/>
      <x:c r="H110" s="111"/>
      <x:c r="I110" s="111"/>
      <x:c r="J110" s="111"/>
      <x:c r="K110" s="111"/>
      <x:c r="L110" s="111"/>
      <x:c r="M110" s="111"/>
      <x:c r="N110" s="111"/>
      <x:c r="O110" s="111"/>
      <x:c r="P110" s="111"/>
      <x:c r="Q110" s="111"/>
      <x:c r="R110" s="111"/>
      <x:c r="S110" s="111"/>
      <x:c r="T110" s="111"/>
    </x:row>
    <x:row r="111">
      <x:c r="A111" s="111"/>
      <x:c r="B111" s="111"/>
      <x:c r="C111" s="111"/>
      <x:c r="D111" s="111"/>
      <x:c r="E111" s="111"/>
      <x:c r="F111" s="111"/>
      <x:c r="G111" s="111"/>
      <x:c r="H111" s="111"/>
      <x:c r="I111" s="111"/>
      <x:c r="J111" s="111"/>
      <x:c r="K111" s="111"/>
      <x:c r="L111" s="111"/>
      <x:c r="M111" s="111"/>
      <x:c r="N111" s="111"/>
      <x:c r="O111" s="111"/>
      <x:c r="P111" s="111"/>
      <x:c r="Q111" s="111"/>
      <x:c r="R111" s="111"/>
      <x:c r="S111" s="111"/>
      <x:c r="T111" s="111"/>
    </x:row>
    <x:row r="112">
      <x:c r="A112" s="111"/>
      <x:c r="B112" s="111"/>
      <x:c r="C112" s="111"/>
      <x:c r="D112" s="111"/>
      <x:c r="E112" s="111"/>
      <x:c r="F112" s="111"/>
      <x:c r="G112" s="111"/>
      <x:c r="H112" s="111"/>
      <x:c r="I112" s="111"/>
      <x:c r="J112" s="111"/>
      <x:c r="K112" s="111"/>
      <x:c r="L112" s="111"/>
      <x:c r="M112" s="111"/>
      <x:c r="N112" s="111"/>
      <x:c r="O112" s="111"/>
      <x:c r="P112" s="111"/>
      <x:c r="Q112" s="111"/>
      <x:c r="R112" s="111"/>
      <x:c r="S112" s="111"/>
      <x:c r="T112" s="111"/>
    </x:row>
    <x:row r="113">
      <x:c r="A113" s="111"/>
      <x:c r="B113" s="111"/>
      <x:c r="C113" s="111"/>
      <x:c r="D113" s="111"/>
      <x:c r="E113" s="111"/>
      <x:c r="F113" s="111"/>
      <x:c r="G113" s="111"/>
      <x:c r="H113" s="111"/>
      <x:c r="I113" s="111"/>
      <x:c r="J113" s="111"/>
      <x:c r="K113" s="111"/>
      <x:c r="L113" s="111"/>
      <x:c r="M113" s="111"/>
      <x:c r="N113" s="111"/>
      <x:c r="O113" s="111"/>
      <x:c r="P113" s="111"/>
      <x:c r="Q113" s="111"/>
      <x:c r="R113" s="111"/>
      <x:c r="S113" s="111"/>
      <x:c r="T113" s="111"/>
    </x:row>
    <x:row r="114">
      <x:c r="A114" s="111"/>
      <x:c r="B114" s="111"/>
      <x:c r="C114" s="111"/>
      <x:c r="D114" s="111"/>
      <x:c r="E114" s="111"/>
      <x:c r="F114" s="111"/>
      <x:c r="G114" s="111"/>
      <x:c r="H114" s="111"/>
      <x:c r="I114" s="111"/>
      <x:c r="J114" s="111"/>
      <x:c r="K114" s="111"/>
      <x:c r="L114" s="111"/>
      <x:c r="M114" s="111"/>
      <x:c r="N114" s="111"/>
      <x:c r="O114" s="111"/>
      <x:c r="P114" s="111"/>
      <x:c r="Q114" s="111"/>
      <x:c r="R114" s="111"/>
      <x:c r="S114" s="111"/>
      <x:c r="T114" s="111"/>
    </x:row>
    <x:row r="115">
      <x:c r="A115" s="111"/>
      <x:c r="B115" s="111"/>
      <x:c r="C115" s="111"/>
      <x:c r="D115" s="111"/>
      <x:c r="E115" s="111"/>
      <x:c r="F115" s="111"/>
      <x:c r="G115" s="111"/>
      <x:c r="H115" s="111"/>
      <x:c r="I115" s="111"/>
      <x:c r="J115" s="111"/>
      <x:c r="K115" s="111"/>
      <x:c r="L115" s="111"/>
      <x:c r="M115" s="111"/>
      <x:c r="N115" s="111"/>
      <x:c r="O115" s="111"/>
      <x:c r="P115" s="111"/>
      <x:c r="Q115" s="111"/>
      <x:c r="R115" s="111"/>
      <x:c r="S115" s="111"/>
      <x:c r="T115" s="111"/>
    </x:row>
    <x:row r="116">
      <x:c r="A116" s="111"/>
      <x:c r="B116" s="111"/>
      <x:c r="C116" s="111"/>
      <x:c r="D116" s="111"/>
      <x:c r="E116" s="111"/>
      <x:c r="F116" s="111"/>
      <x:c r="G116" s="111"/>
      <x:c r="H116" s="111"/>
      <x:c r="I116" s="111"/>
      <x:c r="J116" s="111"/>
      <x:c r="K116" s="111"/>
      <x:c r="L116" s="111"/>
      <x:c r="M116" s="111"/>
      <x:c r="N116" s="111"/>
      <x:c r="O116" s="111"/>
      <x:c r="P116" s="111"/>
      <x:c r="Q116" s="111"/>
      <x:c r="R116" s="111"/>
      <x:c r="S116" s="111"/>
      <x:c r="T116" s="111"/>
    </x:row>
    <x:row r="117">
      <x:c r="A117" s="111"/>
      <x:c r="B117" s="111"/>
      <x:c r="C117" s="111"/>
      <x:c r="D117" s="111"/>
      <x:c r="E117" s="111"/>
      <x:c r="F117" s="111"/>
      <x:c r="G117" s="111"/>
      <x:c r="H117" s="111"/>
      <x:c r="I117" s="111"/>
      <x:c r="J117" s="111"/>
      <x:c r="K117" s="111"/>
      <x:c r="L117" s="111"/>
      <x:c r="M117" s="111"/>
      <x:c r="N117" s="111"/>
      <x:c r="O117" s="111"/>
      <x:c r="P117" s="111"/>
      <x:c r="Q117" s="111"/>
      <x:c r="R117" s="111"/>
      <x:c r="S117" s="111"/>
      <x:c r="T117" s="111"/>
    </x:row>
    <x:row r="118">
      <x:c r="A118" s="111"/>
      <x:c r="B118" s="111"/>
      <x:c r="C118" s="111"/>
      <x:c r="D118" s="111"/>
      <x:c r="E118" s="111"/>
      <x:c r="F118" s="111"/>
      <x:c r="G118" s="111"/>
      <x:c r="H118" s="111"/>
      <x:c r="I118" s="111"/>
      <x:c r="J118" s="111"/>
      <x:c r="K118" s="111"/>
      <x:c r="L118" s="111"/>
      <x:c r="M118" s="111"/>
      <x:c r="N118" s="111"/>
      <x:c r="O118" s="111"/>
      <x:c r="P118" s="111"/>
      <x:c r="Q118" s="111"/>
      <x:c r="R118" s="111"/>
      <x:c r="S118" s="111"/>
      <x:c r="T118" s="111"/>
    </x:row>
    <x:row r="119">
      <x:c r="A119" s="111"/>
      <x:c r="B119" s="111"/>
      <x:c r="C119" s="111"/>
      <x:c r="D119" s="111"/>
      <x:c r="E119" s="111"/>
      <x:c r="F119" s="111"/>
      <x:c r="G119" s="111"/>
      <x:c r="H119" s="111"/>
      <x:c r="I119" s="111"/>
      <x:c r="J119" s="111"/>
      <x:c r="K119" s="111"/>
      <x:c r="L119" s="111"/>
      <x:c r="M119" s="111"/>
      <x:c r="N119" s="111"/>
      <x:c r="O119" s="111"/>
      <x:c r="P119" s="111"/>
      <x:c r="Q119" s="111"/>
      <x:c r="R119" s="111"/>
      <x:c r="S119" s="111"/>
      <x:c r="T119" s="111"/>
    </x:row>
    <x:row r="120">
      <x:c r="A120" s="111"/>
      <x:c r="B120" s="111"/>
      <x:c r="C120" s="111"/>
      <x:c r="D120" s="111"/>
      <x:c r="E120" s="111"/>
      <x:c r="F120" s="111"/>
      <x:c r="G120" s="111"/>
      <x:c r="H120" s="111"/>
      <x:c r="I120" s="111"/>
      <x:c r="J120" s="111"/>
      <x:c r="K120" s="111"/>
      <x:c r="L120" s="111"/>
      <x:c r="M120" s="111"/>
      <x:c r="N120" s="111"/>
      <x:c r="O120" s="111"/>
      <x:c r="P120" s="111"/>
      <x:c r="Q120" s="111"/>
      <x:c r="R120" s="111"/>
      <x:c r="S120" s="111"/>
      <x:c r="T120" s="111"/>
    </x:row>
    <x:row r="121">
      <x:c r="A121" s="111"/>
      <x:c r="B121" s="111"/>
      <x:c r="C121" s="111"/>
      <x:c r="D121" s="111"/>
      <x:c r="E121" s="111"/>
      <x:c r="F121" s="111"/>
      <x:c r="G121" s="111"/>
      <x:c r="H121" s="111"/>
      <x:c r="I121" s="111"/>
      <x:c r="J121" s="111"/>
      <x:c r="K121" s="111"/>
      <x:c r="L121" s="111"/>
      <x:c r="M121" s="111"/>
      <x:c r="N121" s="111"/>
      <x:c r="O121" s="111"/>
      <x:c r="P121" s="111"/>
      <x:c r="Q121" s="111"/>
      <x:c r="R121" s="111"/>
      <x:c r="S121" s="111"/>
      <x:c r="T121" s="111"/>
    </x:row>
    <x:row r="122">
      <x:c r="A122" s="111"/>
      <x:c r="B122" s="111"/>
      <x:c r="C122" s="111"/>
      <x:c r="D122" s="111"/>
      <x:c r="E122" s="111"/>
      <x:c r="F122" s="111"/>
      <x:c r="G122" s="111"/>
      <x:c r="H122" s="111"/>
      <x:c r="I122" s="111"/>
      <x:c r="J122" s="111"/>
      <x:c r="K122" s="111"/>
      <x:c r="L122" s="111"/>
      <x:c r="M122" s="111"/>
      <x:c r="N122" s="111"/>
      <x:c r="O122" s="111"/>
      <x:c r="P122" s="111"/>
      <x:c r="Q122" s="111"/>
      <x:c r="R122" s="111"/>
      <x:c r="S122" s="111"/>
      <x:c r="T122" s="111"/>
    </x:row>
    <x:row r="123">
      <x:c r="A123" s="111"/>
      <x:c r="B123" s="111"/>
      <x:c r="C123" s="111"/>
      <x:c r="D123" s="111"/>
      <x:c r="E123" s="111"/>
      <x:c r="F123" s="111"/>
      <x:c r="G123" s="111"/>
      <x:c r="H123" s="111"/>
      <x:c r="I123" s="111"/>
      <x:c r="J123" s="111"/>
      <x:c r="K123" s="111"/>
      <x:c r="L123" s="111"/>
      <x:c r="M123" s="111"/>
      <x:c r="N123" s="111"/>
      <x:c r="O123" s="111"/>
      <x:c r="P123" s="111"/>
      <x:c r="Q123" s="111"/>
      <x:c r="R123" s="111"/>
      <x:c r="S123" s="111"/>
      <x:c r="T123" s="111"/>
    </x:row>
    <x:row r="124">
      <x:c r="A124" s="111"/>
      <x:c r="B124" s="111"/>
      <x:c r="C124" s="111"/>
      <x:c r="D124" s="111"/>
      <x:c r="E124" s="111"/>
      <x:c r="F124" s="111"/>
      <x:c r="G124" s="111"/>
      <x:c r="H124" s="111"/>
      <x:c r="I124" s="111"/>
      <x:c r="J124" s="111"/>
      <x:c r="K124" s="111"/>
      <x:c r="L124" s="111"/>
      <x:c r="M124" s="111"/>
      <x:c r="N124" s="111"/>
      <x:c r="O124" s="111"/>
      <x:c r="P124" s="111"/>
      <x:c r="Q124" s="111"/>
      <x:c r="R124" s="111"/>
      <x:c r="S124" s="111"/>
      <x:c r="T124" s="111"/>
    </x:row>
    <x:row r="125">
      <x:c r="A125" s="111"/>
      <x:c r="B125" s="111"/>
      <x:c r="C125" s="111"/>
      <x:c r="D125" s="111"/>
      <x:c r="E125" s="111"/>
      <x:c r="F125" s="111"/>
      <x:c r="G125" s="111"/>
      <x:c r="H125" s="111"/>
      <x:c r="I125" s="111"/>
      <x:c r="J125" s="111"/>
      <x:c r="K125" s="111"/>
      <x:c r="L125" s="111"/>
      <x:c r="M125" s="111"/>
      <x:c r="N125" s="111"/>
      <x:c r="O125" s="111"/>
      <x:c r="P125" s="111"/>
      <x:c r="Q125" s="111"/>
      <x:c r="R125" s="111"/>
      <x:c r="S125" s="111"/>
      <x:c r="T125" s="111"/>
    </x:row>
    <x:row r="126">
      <x:c r="A126" s="111"/>
      <x:c r="B126" s="111"/>
      <x:c r="C126" s="111"/>
      <x:c r="D126" s="111"/>
      <x:c r="E126" s="111"/>
      <x:c r="F126" s="111"/>
      <x:c r="G126" s="111"/>
      <x:c r="H126" s="111"/>
      <x:c r="I126" s="111"/>
      <x:c r="J126" s="111"/>
      <x:c r="K126" s="111"/>
      <x:c r="L126" s="111"/>
      <x:c r="M126" s="111"/>
      <x:c r="N126" s="111"/>
      <x:c r="O126" s="111"/>
      <x:c r="P126" s="111"/>
      <x:c r="Q126" s="111"/>
      <x:c r="R126" s="111"/>
      <x:c r="S126" s="111"/>
      <x:c r="T126" s="111"/>
    </x:row>
    <x:row r="127">
      <x:c r="A127" s="111"/>
      <x:c r="B127" s="111"/>
      <x:c r="C127" s="111"/>
      <x:c r="D127" s="111"/>
      <x:c r="E127" s="111"/>
      <x:c r="F127" s="111"/>
      <x:c r="G127" s="111"/>
      <x:c r="H127" s="111"/>
      <x:c r="I127" s="111"/>
      <x:c r="J127" s="111"/>
      <x:c r="K127" s="111"/>
      <x:c r="L127" s="111"/>
      <x:c r="M127" s="111"/>
      <x:c r="N127" s="111"/>
      <x:c r="O127" s="111"/>
      <x:c r="P127" s="111"/>
      <x:c r="Q127" s="111"/>
      <x:c r="R127" s="111"/>
      <x:c r="S127" s="111"/>
      <x:c r="T127" s="111"/>
    </x:row>
    <x:row r="128">
      <x:c r="A128" s="111"/>
      <x:c r="B128" s="111"/>
      <x:c r="C128" s="111"/>
      <x:c r="D128" s="111"/>
      <x:c r="E128" s="111"/>
      <x:c r="F128" s="111"/>
      <x:c r="G128" s="111"/>
      <x:c r="H128" s="111"/>
      <x:c r="I128" s="111"/>
      <x:c r="J128" s="111"/>
      <x:c r="K128" s="111"/>
      <x:c r="L128" s="111"/>
      <x:c r="M128" s="111"/>
      <x:c r="N128" s="111"/>
      <x:c r="O128" s="111"/>
      <x:c r="P128" s="111"/>
      <x:c r="Q128" s="111"/>
      <x:c r="R128" s="111"/>
      <x:c r="S128" s="111"/>
      <x:c r="T128" s="111"/>
    </x:row>
    <x:row r="129">
      <x:c r="A129" s="111"/>
      <x:c r="B129" s="111"/>
      <x:c r="C129" s="111"/>
      <x:c r="D129" s="111"/>
      <x:c r="E129" s="111"/>
      <x:c r="F129" s="111"/>
      <x:c r="G129" s="111"/>
      <x:c r="H129" s="111"/>
      <x:c r="I129" s="111"/>
      <x:c r="J129" s="111"/>
      <x:c r="K129" s="111"/>
      <x:c r="L129" s="111"/>
      <x:c r="M129" s="111"/>
      <x:c r="N129" s="111"/>
      <x:c r="O129" s="111"/>
      <x:c r="P129" s="111"/>
      <x:c r="Q129" s="111"/>
      <x:c r="R129" s="111"/>
      <x:c r="S129" s="111"/>
      <x:c r="T129" s="111"/>
    </x:row>
    <x:row r="130">
      <x:c r="A130" s="111"/>
      <x:c r="B130" s="111"/>
      <x:c r="C130" s="111"/>
      <x:c r="D130" s="111"/>
      <x:c r="E130" s="111"/>
      <x:c r="F130" s="111"/>
      <x:c r="G130" s="111"/>
      <x:c r="H130" s="111"/>
      <x:c r="I130" s="111"/>
      <x:c r="J130" s="111"/>
      <x:c r="K130" s="111"/>
      <x:c r="L130" s="111"/>
      <x:c r="M130" s="111"/>
      <x:c r="N130" s="111"/>
      <x:c r="O130" s="111"/>
      <x:c r="P130" s="111"/>
      <x:c r="Q130" s="111"/>
      <x:c r="R130" s="111"/>
      <x:c r="S130" s="111"/>
      <x:c r="T130" s="111"/>
    </x:row>
    <x:row r="131">
      <x:c r="A131" s="111"/>
      <x:c r="B131" s="111"/>
      <x:c r="C131" s="111"/>
      <x:c r="D131" s="111"/>
      <x:c r="E131" s="111"/>
      <x:c r="F131" s="111"/>
      <x:c r="G131" s="111"/>
      <x:c r="H131" s="111"/>
      <x:c r="I131" s="111"/>
      <x:c r="J131" s="111"/>
      <x:c r="K131" s="111"/>
      <x:c r="L131" s="111"/>
      <x:c r="M131" s="111"/>
      <x:c r="N131" s="111"/>
      <x:c r="O131" s="111"/>
      <x:c r="P131" s="111"/>
      <x:c r="Q131" s="111"/>
      <x:c r="R131" s="111"/>
      <x:c r="S131" s="111"/>
      <x:c r="T131" s="111"/>
    </x:row>
    <x:row r="132">
      <x:c r="A132" s="111"/>
      <x:c r="B132" s="111"/>
      <x:c r="C132" s="111"/>
      <x:c r="D132" s="111"/>
      <x:c r="E132" s="111"/>
      <x:c r="F132" s="111"/>
      <x:c r="G132" s="111"/>
      <x:c r="H132" s="111"/>
      <x:c r="I132" s="111"/>
      <x:c r="J132" s="111"/>
      <x:c r="K132" s="111"/>
      <x:c r="L132" s="111"/>
      <x:c r="M132" s="111"/>
      <x:c r="N132" s="111"/>
      <x:c r="O132" s="111"/>
      <x:c r="P132" s="111"/>
      <x:c r="Q132" s="111"/>
      <x:c r="R132" s="111"/>
      <x:c r="S132" s="111"/>
      <x:c r="T132" s="111"/>
    </x:row>
    <x:row r="133">
      <x:c r="A133" s="111"/>
      <x:c r="B133" s="111"/>
      <x:c r="C133" s="111"/>
      <x:c r="D133" s="111"/>
      <x:c r="E133" s="111"/>
      <x:c r="F133" s="111"/>
      <x:c r="G133" s="111"/>
      <x:c r="H133" s="111"/>
      <x:c r="I133" s="111"/>
      <x:c r="J133" s="111"/>
      <x:c r="K133" s="111"/>
      <x:c r="L133" s="111"/>
      <x:c r="M133" s="111"/>
      <x:c r="N133" s="111"/>
      <x:c r="O133" s="111"/>
      <x:c r="P133" s="111"/>
      <x:c r="Q133" s="111"/>
      <x:c r="R133" s="111"/>
      <x:c r="S133" s="111"/>
      <x:c r="T133" s="111"/>
    </x:row>
    <x:row r="134">
      <x:c r="A134" s="111"/>
      <x:c r="B134" s="111"/>
      <x:c r="C134" s="111"/>
      <x:c r="D134" s="111"/>
      <x:c r="E134" s="111"/>
      <x:c r="F134" s="111"/>
      <x:c r="G134" s="111"/>
      <x:c r="H134" s="111"/>
      <x:c r="I134" s="111"/>
      <x:c r="J134" s="111"/>
      <x:c r="K134" s="111"/>
      <x:c r="L134" s="111"/>
      <x:c r="M134" s="111"/>
      <x:c r="N134" s="111"/>
      <x:c r="O134" s="111"/>
      <x:c r="P134" s="111"/>
      <x:c r="Q134" s="111"/>
      <x:c r="R134" s="111"/>
      <x:c r="S134" s="111"/>
      <x:c r="T134" s="111"/>
    </x:row>
    <x:row r="135">
      <x:c r="A135" s="111"/>
      <x:c r="B135" s="111"/>
      <x:c r="C135" s="111"/>
      <x:c r="D135" s="111"/>
      <x:c r="E135" s="111"/>
      <x:c r="F135" s="111"/>
      <x:c r="G135" s="111"/>
      <x:c r="H135" s="111"/>
      <x:c r="I135" s="111"/>
      <x:c r="J135" s="111"/>
      <x:c r="K135" s="111"/>
      <x:c r="L135" s="111"/>
      <x:c r="M135" s="111"/>
      <x:c r="N135" s="111"/>
      <x:c r="O135" s="111"/>
      <x:c r="P135" s="111"/>
      <x:c r="Q135" s="111"/>
      <x:c r="R135" s="111"/>
      <x:c r="S135" s="111"/>
      <x:c r="T135" s="111"/>
    </x:row>
    <x:row r="136">
      <x:c r="A136" s="111"/>
      <x:c r="B136" s="111"/>
      <x:c r="C136" s="111"/>
      <x:c r="D136" s="111"/>
      <x:c r="E136" s="111"/>
      <x:c r="F136" s="111"/>
      <x:c r="G136" s="111"/>
      <x:c r="H136" s="111"/>
      <x:c r="I136" s="111"/>
      <x:c r="J136" s="111"/>
      <x:c r="K136" s="111"/>
      <x:c r="L136" s="111"/>
      <x:c r="M136" s="111"/>
      <x:c r="N136" s="111"/>
      <x:c r="O136" s="111"/>
      <x:c r="P136" s="111"/>
      <x:c r="Q136" s="111"/>
      <x:c r="R136" s="111"/>
      <x:c r="S136" s="111"/>
      <x:c r="T136" s="111"/>
    </x:row>
    <x:row r="137">
      <x:c r="A137" s="111"/>
      <x:c r="B137" s="111"/>
      <x:c r="C137" s="111"/>
      <x:c r="D137" s="111"/>
      <x:c r="E137" s="111"/>
      <x:c r="F137" s="111"/>
      <x:c r="G137" s="111"/>
      <x:c r="H137" s="111"/>
      <x:c r="I137" s="111"/>
      <x:c r="J137" s="111"/>
      <x:c r="K137" s="111"/>
      <x:c r="L137" s="111"/>
      <x:c r="M137" s="111"/>
      <x:c r="N137" s="111"/>
      <x:c r="O137" s="111"/>
      <x:c r="P137" s="111"/>
      <x:c r="Q137" s="111"/>
      <x:c r="R137" s="111"/>
      <x:c r="S137" s="111"/>
      <x:c r="T137" s="111"/>
    </x:row>
    <x:row r="138">
      <x:c r="A138" s="111"/>
      <x:c r="B138" s="111"/>
      <x:c r="C138" s="111"/>
      <x:c r="D138" s="111"/>
      <x:c r="E138" s="111"/>
      <x:c r="F138" s="111"/>
      <x:c r="G138" s="111"/>
      <x:c r="H138" s="111"/>
      <x:c r="I138" s="111"/>
      <x:c r="J138" s="111"/>
      <x:c r="K138" s="111"/>
      <x:c r="L138" s="111"/>
      <x:c r="M138" s="111"/>
      <x:c r="N138" s="111"/>
      <x:c r="O138" s="111"/>
      <x:c r="P138" s="111"/>
      <x:c r="Q138" s="111"/>
      <x:c r="R138" s="111"/>
      <x:c r="S138" s="111"/>
      <x:c r="T138" s="111"/>
    </x:row>
    <x:row r="139">
      <x:c r="A139" s="111"/>
      <x:c r="B139" s="111"/>
      <x:c r="C139" s="111"/>
      <x:c r="D139" s="111"/>
      <x:c r="E139" s="111"/>
      <x:c r="F139" s="111"/>
      <x:c r="G139" s="111"/>
      <x:c r="H139" s="111"/>
      <x:c r="I139" s="111"/>
      <x:c r="J139" s="111"/>
      <x:c r="K139" s="111"/>
      <x:c r="L139" s="111"/>
      <x:c r="M139" s="111"/>
      <x:c r="N139" s="111"/>
      <x:c r="O139" s="111"/>
      <x:c r="P139" s="111"/>
      <x:c r="Q139" s="111"/>
      <x:c r="R139" s="111"/>
      <x:c r="S139" s="111"/>
      <x:c r="T139" s="111"/>
    </x:row>
    <x:row r="140">
      <x:c r="A140" s="111"/>
      <x:c r="B140" s="111"/>
      <x:c r="C140" s="111"/>
      <x:c r="D140" s="111"/>
      <x:c r="E140" s="111"/>
      <x:c r="F140" s="111"/>
      <x:c r="G140" s="111"/>
      <x:c r="H140" s="111"/>
      <x:c r="I140" s="111"/>
      <x:c r="J140" s="111"/>
      <x:c r="K140" s="111"/>
      <x:c r="L140" s="111"/>
      <x:c r="M140" s="111"/>
      <x:c r="N140" s="111"/>
      <x:c r="O140" s="111"/>
      <x:c r="P140" s="111"/>
      <x:c r="Q140" s="111"/>
      <x:c r="R140" s="111"/>
      <x:c r="S140" s="111"/>
      <x:c r="T140" s="111"/>
    </x:row>
    <x:row r="141">
      <x:c r="A141" s="111"/>
      <x:c r="B141" s="111"/>
      <x:c r="C141" s="111"/>
      <x:c r="D141" s="111"/>
      <x:c r="E141" s="111"/>
      <x:c r="F141" s="111"/>
      <x:c r="G141" s="111"/>
      <x:c r="H141" s="111"/>
      <x:c r="I141" s="111"/>
      <x:c r="J141" s="111"/>
      <x:c r="K141" s="111"/>
      <x:c r="L141" s="111"/>
      <x:c r="M141" s="111"/>
      <x:c r="N141" s="111"/>
      <x:c r="O141" s="111"/>
      <x:c r="P141" s="111"/>
      <x:c r="Q141" s="111"/>
      <x:c r="R141" s="111"/>
      <x:c r="S141" s="111"/>
      <x:c r="T141" s="111"/>
    </x:row>
    <x:row r="142">
      <x:c r="A142" s="111"/>
      <x:c r="B142" s="111"/>
      <x:c r="C142" s="111"/>
      <x:c r="D142" s="111"/>
      <x:c r="E142" s="111"/>
      <x:c r="F142" s="111"/>
      <x:c r="G142" s="111"/>
      <x:c r="H142" s="111"/>
      <x:c r="I142" s="111"/>
      <x:c r="J142" s="111"/>
      <x:c r="K142" s="111"/>
      <x:c r="L142" s="111"/>
      <x:c r="M142" s="111"/>
      <x:c r="N142" s="111"/>
      <x:c r="O142" s="111"/>
      <x:c r="P142" s="111"/>
      <x:c r="Q142" s="111"/>
      <x:c r="R142" s="111"/>
      <x:c r="S142" s="111"/>
      <x:c r="T142" s="111"/>
    </x:row>
    <x:row r="143">
      <x:c r="A143" s="111"/>
      <x:c r="B143" s="111"/>
      <x:c r="C143" s="111"/>
      <x:c r="D143" s="111"/>
      <x:c r="E143" s="111"/>
      <x:c r="F143" s="111"/>
      <x:c r="G143" s="111"/>
      <x:c r="H143" s="111"/>
      <x:c r="I143" s="111"/>
      <x:c r="J143" s="111"/>
      <x:c r="K143" s="111"/>
      <x:c r="L143" s="111"/>
      <x:c r="M143" s="111"/>
      <x:c r="N143" s="111"/>
      <x:c r="O143" s="111"/>
      <x:c r="P143" s="111"/>
      <x:c r="Q143" s="111"/>
      <x:c r="R143" s="111"/>
      <x:c r="S143" s="111"/>
      <x:c r="T143" s="111"/>
    </x:row>
    <x:row r="144">
      <x:c r="A144" s="111"/>
      <x:c r="B144" s="111"/>
      <x:c r="C144" s="111"/>
      <x:c r="D144" s="111"/>
      <x:c r="E144" s="111"/>
      <x:c r="F144" s="111"/>
      <x:c r="G144" s="111"/>
      <x:c r="H144" s="111"/>
      <x:c r="I144" s="111"/>
      <x:c r="J144" s="111"/>
      <x:c r="K144" s="111"/>
      <x:c r="L144" s="111"/>
      <x:c r="M144" s="111"/>
      <x:c r="N144" s="111"/>
      <x:c r="O144" s="111"/>
      <x:c r="P144" s="111"/>
      <x:c r="Q144" s="111"/>
      <x:c r="R144" s="111"/>
      <x:c r="S144" s="111"/>
      <x:c r="T144" s="111"/>
    </x:row>
    <x:row r="145">
      <x:c r="A145" s="111"/>
      <x:c r="B145" s="111"/>
      <x:c r="C145" s="111"/>
      <x:c r="D145" s="111"/>
      <x:c r="E145" s="111"/>
      <x:c r="F145" s="111"/>
      <x:c r="G145" s="111"/>
      <x:c r="H145" s="111"/>
      <x:c r="I145" s="111"/>
      <x:c r="J145" s="111"/>
      <x:c r="K145" s="111"/>
      <x:c r="L145" s="111"/>
      <x:c r="M145" s="111"/>
      <x:c r="N145" s="111"/>
      <x:c r="O145" s="111"/>
      <x:c r="P145" s="111"/>
      <x:c r="Q145" s="111"/>
      <x:c r="R145" s="111"/>
      <x:c r="S145" s="111"/>
      <x:c r="T145" s="111"/>
    </x:row>
    <x:row r="146">
      <x:c r="A146" s="111"/>
      <x:c r="B146" s="111"/>
      <x:c r="C146" s="111"/>
      <x:c r="D146" s="111"/>
      <x:c r="E146" s="111"/>
      <x:c r="F146" s="111"/>
      <x:c r="G146" s="111"/>
      <x:c r="H146" s="111"/>
      <x:c r="I146" s="111"/>
      <x:c r="J146" s="111"/>
      <x:c r="K146" s="111"/>
      <x:c r="L146" s="111"/>
      <x:c r="M146" s="111"/>
      <x:c r="N146" s="111"/>
      <x:c r="O146" s="111"/>
      <x:c r="P146" s="111"/>
      <x:c r="Q146" s="111"/>
      <x:c r="R146" s="111"/>
      <x:c r="S146" s="111"/>
      <x:c r="T146" s="111"/>
    </x:row>
    <x:row r="147">
      <x:c r="A147" s="111"/>
      <x:c r="B147" s="111"/>
      <x:c r="C147" s="111"/>
      <x:c r="D147" s="111"/>
      <x:c r="E147" s="111"/>
      <x:c r="F147" s="111"/>
      <x:c r="G147" s="111"/>
      <x:c r="H147" s="111"/>
      <x:c r="I147" s="111"/>
      <x:c r="J147" s="111"/>
      <x:c r="K147" s="111"/>
      <x:c r="L147" s="111"/>
      <x:c r="M147" s="111"/>
      <x:c r="N147" s="111"/>
      <x:c r="O147" s="111"/>
      <x:c r="P147" s="111"/>
      <x:c r="Q147" s="111"/>
      <x:c r="R147" s="111"/>
      <x:c r="S147" s="111"/>
      <x:c r="T147" s="111"/>
    </x:row>
    <x:row r="148">
      <x:c r="A148" s="111"/>
      <x:c r="B148" s="111"/>
      <x:c r="C148" s="111"/>
      <x:c r="D148" s="111"/>
      <x:c r="E148" s="111"/>
      <x:c r="F148" s="111"/>
      <x:c r="G148" s="111"/>
      <x:c r="H148" s="111"/>
      <x:c r="I148" s="111"/>
      <x:c r="J148" s="111"/>
      <x:c r="K148" s="111"/>
      <x:c r="L148" s="111"/>
      <x:c r="M148" s="111"/>
      <x:c r="N148" s="111"/>
      <x:c r="O148" s="111"/>
      <x:c r="P148" s="111"/>
      <x:c r="Q148" s="111"/>
      <x:c r="R148" s="111"/>
      <x:c r="S148" s="111"/>
      <x:c r="T148" s="111"/>
    </x:row>
    <x:row r="149">
      <x:c r="A149" s="111"/>
      <x:c r="B149" s="111"/>
      <x:c r="C149" s="111"/>
      <x:c r="D149" s="111"/>
      <x:c r="E149" s="111"/>
      <x:c r="F149" s="111"/>
      <x:c r="G149" s="111"/>
      <x:c r="H149" s="111"/>
      <x:c r="I149" s="111"/>
      <x:c r="J149" s="111"/>
      <x:c r="K149" s="111"/>
      <x:c r="L149" s="111"/>
      <x:c r="M149" s="111"/>
      <x:c r="N149" s="111"/>
      <x:c r="O149" s="111"/>
      <x:c r="P149" s="111"/>
      <x:c r="Q149" s="111"/>
      <x:c r="R149" s="111"/>
      <x:c r="S149" s="111"/>
      <x:c r="T149" s="111"/>
    </x:row>
    <x:row r="150">
      <x:c r="A150" s="111"/>
      <x:c r="B150" s="111"/>
      <x:c r="C150" s="111"/>
      <x:c r="D150" s="111"/>
      <x:c r="E150" s="111"/>
      <x:c r="F150" s="111"/>
      <x:c r="G150" s="111"/>
      <x:c r="H150" s="111"/>
      <x:c r="I150" s="111"/>
      <x:c r="J150" s="111"/>
      <x:c r="K150" s="111"/>
      <x:c r="L150" s="111"/>
      <x:c r="M150" s="111"/>
      <x:c r="N150" s="111"/>
      <x:c r="O150" s="111"/>
      <x:c r="P150" s="111"/>
      <x:c r="Q150" s="111"/>
      <x:c r="R150" s="111"/>
      <x:c r="S150" s="111"/>
      <x:c r="T150" s="111"/>
    </x:row>
    <x:row r="151">
      <x:c r="A151" s="111"/>
      <x:c r="B151" s="111"/>
      <x:c r="C151" s="111"/>
      <x:c r="D151" s="111"/>
      <x:c r="E151" s="111"/>
      <x:c r="F151" s="111"/>
      <x:c r="G151" s="111"/>
      <x:c r="H151" s="111"/>
      <x:c r="I151" s="111"/>
      <x:c r="J151" s="111"/>
      <x:c r="K151" s="111"/>
      <x:c r="L151" s="111"/>
      <x:c r="M151" s="111"/>
      <x:c r="N151" s="111"/>
      <x:c r="O151" s="111"/>
      <x:c r="P151" s="111"/>
      <x:c r="Q151" s="111"/>
      <x:c r="R151" s="111"/>
      <x:c r="S151" s="111"/>
      <x:c r="T151" s="111"/>
    </x:row>
    <x:row r="152">
      <x:c r="A152" s="111"/>
      <x:c r="B152" s="111"/>
      <x:c r="C152" s="111"/>
      <x:c r="D152" s="111"/>
      <x:c r="E152" s="111"/>
      <x:c r="F152" s="111"/>
      <x:c r="G152" s="111"/>
      <x:c r="H152" s="111"/>
      <x:c r="I152" s="111"/>
      <x:c r="J152" s="111"/>
      <x:c r="K152" s="111"/>
      <x:c r="L152" s="111"/>
      <x:c r="M152" s="111"/>
      <x:c r="N152" s="111"/>
      <x:c r="O152" s="111"/>
      <x:c r="P152" s="111"/>
      <x:c r="Q152" s="111"/>
      <x:c r="R152" s="111"/>
      <x:c r="S152" s="111"/>
      <x:c r="T152" s="111"/>
    </x:row>
    <x:row r="153">
      <x:c r="A153" s="111"/>
      <x:c r="B153" s="111"/>
      <x:c r="C153" s="111"/>
      <x:c r="D153" s="111"/>
      <x:c r="E153" s="111"/>
      <x:c r="F153" s="111"/>
      <x:c r="G153" s="111"/>
      <x:c r="H153" s="111"/>
      <x:c r="I153" s="111"/>
      <x:c r="J153" s="111"/>
      <x:c r="K153" s="111"/>
      <x:c r="L153" s="111"/>
      <x:c r="M153" s="111"/>
      <x:c r="N153" s="111"/>
      <x:c r="O153" s="111"/>
      <x:c r="P153" s="111"/>
      <x:c r="Q153" s="111"/>
      <x:c r="R153" s="111"/>
      <x:c r="S153" s="111"/>
      <x:c r="T153" s="111"/>
    </x:row>
    <x:row r="154">
      <x:c r="A154" s="111"/>
      <x:c r="B154" s="111"/>
      <x:c r="C154" s="111"/>
      <x:c r="D154" s="111"/>
      <x:c r="E154" s="111"/>
      <x:c r="F154" s="111"/>
      <x:c r="G154" s="111"/>
      <x:c r="H154" s="111"/>
      <x:c r="I154" s="111"/>
      <x:c r="J154" s="111"/>
      <x:c r="K154" s="111"/>
      <x:c r="L154" s="111"/>
      <x:c r="M154" s="111"/>
      <x:c r="N154" s="111"/>
      <x:c r="O154" s="111"/>
      <x:c r="P154" s="111"/>
      <x:c r="Q154" s="111"/>
      <x:c r="R154" s="111"/>
      <x:c r="S154" s="111"/>
      <x:c r="T154" s="111"/>
    </x:row>
    <x:row r="155">
      <x:c r="A155" s="111"/>
      <x:c r="B155" s="111"/>
      <x:c r="C155" s="111"/>
      <x:c r="D155" s="111"/>
      <x:c r="E155" s="111"/>
      <x:c r="F155" s="111"/>
      <x:c r="G155" s="111"/>
      <x:c r="H155" s="111"/>
      <x:c r="I155" s="111"/>
      <x:c r="J155" s="111"/>
      <x:c r="K155" s="111"/>
      <x:c r="L155" s="111"/>
      <x:c r="M155" s="111"/>
      <x:c r="N155" s="111"/>
      <x:c r="O155" s="111"/>
      <x:c r="P155" s="111"/>
      <x:c r="Q155" s="111"/>
      <x:c r="R155" s="111"/>
      <x:c r="S155" s="111"/>
      <x:c r="T155" s="111"/>
    </x:row>
    <x:row r="156">
      <x:c r="A156" s="111"/>
      <x:c r="B156" s="111"/>
      <x:c r="C156" s="111"/>
      <x:c r="D156" s="111"/>
      <x:c r="E156" s="111"/>
      <x:c r="F156" s="111"/>
      <x:c r="G156" s="111"/>
      <x:c r="H156" s="111"/>
      <x:c r="I156" s="111"/>
      <x:c r="J156" s="111"/>
      <x:c r="K156" s="111"/>
      <x:c r="L156" s="111"/>
      <x:c r="M156" s="111"/>
      <x:c r="N156" s="111"/>
      <x:c r="O156" s="111"/>
      <x:c r="P156" s="111"/>
      <x:c r="Q156" s="111"/>
      <x:c r="R156" s="111"/>
      <x:c r="S156" s="111"/>
      <x:c r="T156" s="111"/>
    </x:row>
    <x:row r="157">
      <x:c r="A157" s="111"/>
      <x:c r="B157" s="111"/>
      <x:c r="C157" s="111"/>
      <x:c r="D157" s="111"/>
      <x:c r="E157" s="111"/>
      <x:c r="F157" s="111"/>
      <x:c r="G157" s="111"/>
      <x:c r="H157" s="111"/>
      <x:c r="I157" s="111"/>
      <x:c r="J157" s="111"/>
      <x:c r="K157" s="111"/>
      <x:c r="L157" s="111"/>
      <x:c r="M157" s="111"/>
      <x:c r="N157" s="111"/>
      <x:c r="O157" s="111"/>
      <x:c r="P157" s="111"/>
      <x:c r="Q157" s="111"/>
      <x:c r="R157" s="111"/>
      <x:c r="S157" s="111"/>
      <x:c r="T157" s="111"/>
    </x:row>
    <x:row r="158">
      <x:c r="A158" s="111"/>
      <x:c r="B158" s="111"/>
      <x:c r="C158" s="111"/>
      <x:c r="D158" s="111"/>
      <x:c r="E158" s="111"/>
      <x:c r="F158" s="111"/>
      <x:c r="G158" s="111"/>
      <x:c r="H158" s="111"/>
      <x:c r="I158" s="111"/>
      <x:c r="J158" s="111"/>
      <x:c r="K158" s="111"/>
      <x:c r="L158" s="111"/>
      <x:c r="M158" s="111"/>
      <x:c r="N158" s="111"/>
      <x:c r="O158" s="111"/>
      <x:c r="P158" s="111"/>
      <x:c r="Q158" s="111"/>
      <x:c r="R158" s="111"/>
      <x:c r="S158" s="111"/>
      <x:c r="T158" s="111"/>
    </x:row>
    <x:row r="159">
      <x:c r="A159" s="111"/>
      <x:c r="B159" s="111"/>
      <x:c r="C159" s="111"/>
      <x:c r="D159" s="111"/>
      <x:c r="E159" s="111"/>
      <x:c r="F159" s="111"/>
      <x:c r="G159" s="111"/>
      <x:c r="H159" s="111"/>
      <x:c r="I159" s="111"/>
      <x:c r="J159" s="111"/>
      <x:c r="K159" s="111"/>
      <x:c r="L159" s="111"/>
      <x:c r="M159" s="111"/>
      <x:c r="N159" s="111"/>
      <x:c r="O159" s="111"/>
      <x:c r="P159" s="111"/>
      <x:c r="Q159" s="111"/>
      <x:c r="R159" s="111"/>
      <x:c r="S159" s="111"/>
      <x:c r="T159" s="111"/>
    </x:row>
    <x:row r="160">
      <x:c r="A160" s="111"/>
      <x:c r="B160" s="111"/>
      <x:c r="C160" s="111"/>
      <x:c r="D160" s="111"/>
      <x:c r="E160" s="111"/>
      <x:c r="F160" s="111"/>
      <x:c r="G160" s="111"/>
      <x:c r="H160" s="111"/>
      <x:c r="I160" s="111"/>
      <x:c r="J160" s="111"/>
      <x:c r="K160" s="111"/>
      <x:c r="L160" s="111"/>
      <x:c r="M160" s="111"/>
      <x:c r="N160" s="111"/>
      <x:c r="O160" s="111"/>
      <x:c r="P160" s="111"/>
      <x:c r="Q160" s="111"/>
      <x:c r="R160" s="111"/>
      <x:c r="S160" s="111"/>
      <x:c r="T160" s="111"/>
    </x:row>
    <x:row r="161">
      <x:c r="A161" s="111"/>
      <x:c r="B161" s="111"/>
      <x:c r="C161" s="111"/>
      <x:c r="D161" s="111"/>
      <x:c r="E161" s="111"/>
      <x:c r="F161" s="111"/>
      <x:c r="G161" s="111"/>
      <x:c r="H161" s="111"/>
      <x:c r="I161" s="111"/>
      <x:c r="J161" s="111"/>
      <x:c r="K161" s="111"/>
      <x:c r="L161" s="111"/>
      <x:c r="M161" s="111"/>
      <x:c r="N161" s="111"/>
      <x:c r="O161" s="111"/>
      <x:c r="P161" s="111"/>
      <x:c r="Q161" s="111"/>
      <x:c r="R161" s="111"/>
      <x:c r="S161" s="111"/>
      <x:c r="T161" s="111"/>
    </x:row>
    <x:row r="162">
      <x:c r="A162" s="111"/>
      <x:c r="B162" s="111"/>
      <x:c r="C162" s="111"/>
      <x:c r="D162" s="111"/>
      <x:c r="E162" s="111"/>
      <x:c r="F162" s="111"/>
      <x:c r="G162" s="111"/>
      <x:c r="H162" s="111"/>
      <x:c r="I162" s="111"/>
      <x:c r="J162" s="111"/>
      <x:c r="K162" s="111"/>
      <x:c r="L162" s="111"/>
      <x:c r="M162" s="111"/>
      <x:c r="N162" s="111"/>
      <x:c r="O162" s="111"/>
      <x:c r="P162" s="111"/>
      <x:c r="Q162" s="111"/>
      <x:c r="R162" s="111"/>
      <x:c r="S162" s="111"/>
      <x:c r="T162" s="111"/>
    </x:row>
    <x:row r="163">
      <x:c r="A163" s="111"/>
      <x:c r="B163" s="111"/>
      <x:c r="C163" s="111"/>
      <x:c r="D163" s="111"/>
      <x:c r="E163" s="111"/>
      <x:c r="F163" s="111"/>
      <x:c r="G163" s="111"/>
      <x:c r="H163" s="111"/>
      <x:c r="I163" s="111"/>
      <x:c r="J163" s="111"/>
      <x:c r="K163" s="111"/>
      <x:c r="L163" s="111"/>
      <x:c r="M163" s="111"/>
      <x:c r="N163" s="111"/>
      <x:c r="O163" s="111"/>
      <x:c r="P163" s="111"/>
      <x:c r="Q163" s="111"/>
      <x:c r="R163" s="111"/>
      <x:c r="S163" s="111"/>
      <x:c r="T163" s="111"/>
    </x:row>
    <x:row r="164">
      <x:c r="A164" s="111"/>
      <x:c r="B164" s="111"/>
      <x:c r="C164" s="111"/>
      <x:c r="D164" s="111"/>
      <x:c r="E164" s="111"/>
      <x:c r="F164" s="111"/>
      <x:c r="G164" s="111"/>
      <x:c r="H164" s="111"/>
      <x:c r="I164" s="111"/>
      <x:c r="J164" s="111"/>
      <x:c r="K164" s="111"/>
      <x:c r="L164" s="111"/>
      <x:c r="M164" s="111"/>
      <x:c r="N164" s="111"/>
      <x:c r="O164" s="111"/>
      <x:c r="P164" s="111"/>
      <x:c r="Q164" s="111"/>
      <x:c r="R164" s="111"/>
      <x:c r="S164" s="111"/>
      <x:c r="T164" s="111"/>
    </x:row>
    <x:row r="165">
      <x:c r="A165" s="111"/>
      <x:c r="B165" s="111"/>
      <x:c r="C165" s="111"/>
      <x:c r="D165" s="111"/>
      <x:c r="E165" s="111"/>
      <x:c r="F165" s="111"/>
      <x:c r="G165" s="111"/>
      <x:c r="H165" s="111"/>
      <x:c r="I165" s="111"/>
      <x:c r="J165" s="111"/>
      <x:c r="K165" s="111"/>
      <x:c r="L165" s="111"/>
      <x:c r="M165" s="111"/>
      <x:c r="N165" s="111"/>
      <x:c r="O165" s="111"/>
      <x:c r="P165" s="111"/>
      <x:c r="Q165" s="111"/>
      <x:c r="R165" s="111"/>
      <x:c r="S165" s="111"/>
      <x:c r="T165" s="111"/>
    </x:row>
    <x:row r="166">
      <x:c r="A166" s="111"/>
      <x:c r="B166" s="111"/>
      <x:c r="C166" s="111"/>
      <x:c r="D166" s="111"/>
      <x:c r="E166" s="111"/>
      <x:c r="F166" s="111"/>
      <x:c r="G166" s="111"/>
      <x:c r="H166" s="111"/>
      <x:c r="I166" s="111"/>
      <x:c r="J166" s="111"/>
      <x:c r="K166" s="111"/>
      <x:c r="L166" s="111"/>
      <x:c r="M166" s="111"/>
      <x:c r="N166" s="111"/>
      <x:c r="O166" s="111"/>
      <x:c r="P166" s="111"/>
      <x:c r="Q166" s="111"/>
      <x:c r="R166" s="111"/>
      <x:c r="S166" s="111"/>
      <x:c r="T166" s="111"/>
    </x:row>
    <x:row r="167">
      <x:c r="A167" s="111"/>
      <x:c r="B167" s="111"/>
      <x:c r="C167" s="111"/>
      <x:c r="D167" s="111"/>
      <x:c r="E167" s="111"/>
      <x:c r="F167" s="111"/>
      <x:c r="G167" s="111"/>
      <x:c r="H167" s="111"/>
      <x:c r="I167" s="111"/>
      <x:c r="J167" s="111"/>
      <x:c r="K167" s="111"/>
      <x:c r="L167" s="111"/>
      <x:c r="M167" s="111"/>
      <x:c r="N167" s="111"/>
      <x:c r="O167" s="111"/>
      <x:c r="P167" s="111"/>
      <x:c r="Q167" s="111"/>
      <x:c r="R167" s="111"/>
      <x:c r="S167" s="111"/>
      <x:c r="T167" s="111"/>
    </x:row>
    <x:row r="168">
      <x:c r="A168" s="111"/>
      <x:c r="B168" s="111"/>
      <x:c r="C168" s="111"/>
      <x:c r="D168" s="111"/>
      <x:c r="E168" s="111"/>
      <x:c r="F168" s="111"/>
      <x:c r="G168" s="111"/>
      <x:c r="H168" s="111"/>
      <x:c r="I168" s="111"/>
      <x:c r="J168" s="111"/>
      <x:c r="K168" s="111"/>
      <x:c r="L168" s="111"/>
      <x:c r="M168" s="111"/>
      <x:c r="N168" s="111"/>
      <x:c r="O168" s="111"/>
      <x:c r="P168" s="111"/>
      <x:c r="Q168" s="111"/>
      <x:c r="R168" s="111"/>
      <x:c r="S168" s="111"/>
      <x:c r="T168" s="111"/>
    </x:row>
    <x:row r="169">
      <x:c r="A169" s="111"/>
      <x:c r="B169" s="111"/>
      <x:c r="C169" s="111"/>
      <x:c r="D169" s="111"/>
      <x:c r="E169" s="111"/>
      <x:c r="F169" s="111"/>
      <x:c r="G169" s="111"/>
      <x:c r="H169" s="111"/>
      <x:c r="I169" s="111"/>
      <x:c r="J169" s="111"/>
      <x:c r="K169" s="111"/>
      <x:c r="L169" s="111"/>
      <x:c r="M169" s="111"/>
      <x:c r="N169" s="111"/>
      <x:c r="O169" s="111"/>
      <x:c r="P169" s="111"/>
      <x:c r="Q169" s="111"/>
      <x:c r="R169" s="111"/>
      <x:c r="S169" s="111"/>
      <x:c r="T169" s="111"/>
    </x:row>
    <x:row r="170">
      <x:c r="A170" s="111"/>
      <x:c r="B170" s="111"/>
      <x:c r="C170" s="111"/>
      <x:c r="D170" s="111"/>
      <x:c r="E170" s="111"/>
      <x:c r="F170" s="111"/>
      <x:c r="G170" s="111"/>
      <x:c r="H170" s="111"/>
      <x:c r="I170" s="111"/>
      <x:c r="J170" s="111"/>
      <x:c r="K170" s="111"/>
      <x:c r="L170" s="111"/>
      <x:c r="M170" s="111"/>
      <x:c r="N170" s="111"/>
      <x:c r="O170" s="111"/>
      <x:c r="P170" s="111"/>
      <x:c r="Q170" s="111"/>
      <x:c r="R170" s="111"/>
      <x:c r="S170" s="111"/>
      <x:c r="T170" s="111"/>
    </x:row>
    <x:row r="171">
      <x:c r="A171" s="111"/>
      <x:c r="B171" s="111"/>
      <x:c r="C171" s="111"/>
      <x:c r="D171" s="111"/>
      <x:c r="E171" s="111"/>
      <x:c r="F171" s="111"/>
      <x:c r="G171" s="111"/>
      <x:c r="H171" s="111"/>
      <x:c r="I171" s="111"/>
      <x:c r="J171" s="111"/>
      <x:c r="K171" s="111"/>
      <x:c r="L171" s="111"/>
      <x:c r="M171" s="111"/>
      <x:c r="N171" s="111"/>
      <x:c r="O171" s="111"/>
      <x:c r="P171" s="111"/>
      <x:c r="Q171" s="111"/>
      <x:c r="R171" s="111"/>
      <x:c r="S171" s="111"/>
      <x:c r="T171" s="111"/>
    </x:row>
    <x:row r="172">
      <x:c r="A172" s="111"/>
      <x:c r="B172" s="111"/>
      <x:c r="C172" s="111"/>
      <x:c r="D172" s="111"/>
      <x:c r="E172" s="111"/>
      <x:c r="F172" s="111"/>
      <x:c r="G172" s="111"/>
      <x:c r="H172" s="111"/>
      <x:c r="I172" s="111"/>
      <x:c r="J172" s="111"/>
      <x:c r="K172" s="111"/>
      <x:c r="L172" s="111"/>
      <x:c r="M172" s="111"/>
      <x:c r="N172" s="111"/>
      <x:c r="O172" s="111"/>
      <x:c r="P172" s="111"/>
      <x:c r="Q172" s="111"/>
      <x:c r="R172" s="111"/>
      <x:c r="S172" s="111"/>
      <x:c r="T172" s="111"/>
    </x:row>
    <x:row r="173">
      <x:c r="A173" s="111"/>
      <x:c r="B173" s="111"/>
      <x:c r="C173" s="111"/>
      <x:c r="D173" s="111"/>
      <x:c r="E173" s="111"/>
      <x:c r="F173" s="111"/>
      <x:c r="G173" s="111"/>
      <x:c r="H173" s="111"/>
      <x:c r="I173" s="111"/>
      <x:c r="J173" s="111"/>
      <x:c r="K173" s="111"/>
      <x:c r="L173" s="111"/>
      <x:c r="M173" s="111"/>
      <x:c r="N173" s="111"/>
      <x:c r="O173" s="111"/>
      <x:c r="P173" s="111"/>
      <x:c r="Q173" s="111"/>
      <x:c r="R173" s="111"/>
      <x:c r="S173" s="111"/>
      <x:c r="T173" s="111"/>
    </x:row>
    <x:row r="174">
      <x:c r="A174" s="111"/>
      <x:c r="B174" s="111"/>
      <x:c r="C174" s="111"/>
      <x:c r="D174" s="111"/>
      <x:c r="E174" s="111"/>
      <x:c r="F174" s="111"/>
      <x:c r="G174" s="111"/>
      <x:c r="H174" s="111"/>
      <x:c r="I174" s="111"/>
      <x:c r="J174" s="111"/>
      <x:c r="K174" s="111"/>
      <x:c r="L174" s="111"/>
      <x:c r="M174" s="111"/>
      <x:c r="N174" s="111"/>
      <x:c r="O174" s="111"/>
      <x:c r="P174" s="111"/>
      <x:c r="Q174" s="111"/>
      <x:c r="R174" s="111"/>
      <x:c r="S174" s="111"/>
      <x:c r="T174" s="111"/>
    </x:row>
    <x:row r="175">
      <x:c r="A175" s="111"/>
      <x:c r="B175" s="111"/>
      <x:c r="C175" s="111"/>
      <x:c r="D175" s="111"/>
      <x:c r="E175" s="111"/>
      <x:c r="F175" s="111"/>
      <x:c r="G175" s="111"/>
      <x:c r="H175" s="111"/>
      <x:c r="I175" s="111"/>
      <x:c r="J175" s="111"/>
      <x:c r="K175" s="111"/>
      <x:c r="L175" s="111"/>
      <x:c r="M175" s="111"/>
      <x:c r="N175" s="111"/>
      <x:c r="O175" s="111"/>
      <x:c r="P175" s="111"/>
      <x:c r="Q175" s="111"/>
      <x:c r="R175" s="111"/>
      <x:c r="S175" s="111"/>
      <x:c r="T175" s="111"/>
    </x:row>
    <x:row r="176">
      <x:c r="A176" s="111"/>
      <x:c r="B176" s="111"/>
      <x:c r="C176" s="111"/>
      <x:c r="D176" s="111"/>
      <x:c r="E176" s="111"/>
      <x:c r="F176" s="111"/>
      <x:c r="G176" s="111"/>
      <x:c r="H176" s="111"/>
      <x:c r="I176" s="111"/>
      <x:c r="J176" s="111"/>
      <x:c r="K176" s="111"/>
      <x:c r="L176" s="111"/>
      <x:c r="M176" s="111"/>
      <x:c r="N176" s="111"/>
      <x:c r="O176" s="111"/>
      <x:c r="P176" s="111"/>
      <x:c r="Q176" s="111"/>
      <x:c r="R176" s="111"/>
      <x:c r="S176" s="111"/>
      <x:c r="T176" s="111"/>
    </x:row>
    <x:row r="177">
      <x:c r="A177" s="111"/>
      <x:c r="B177" s="111"/>
      <x:c r="C177" s="111"/>
      <x:c r="D177" s="111"/>
      <x:c r="E177" s="111"/>
      <x:c r="F177" s="111"/>
      <x:c r="G177" s="111"/>
      <x:c r="H177" s="111"/>
      <x:c r="I177" s="111"/>
      <x:c r="J177" s="111"/>
      <x:c r="K177" s="111"/>
      <x:c r="L177" s="111"/>
      <x:c r="M177" s="111"/>
      <x:c r="N177" s="111"/>
      <x:c r="O177" s="111"/>
      <x:c r="P177" s="111"/>
      <x:c r="Q177" s="111"/>
      <x:c r="R177" s="111"/>
      <x:c r="S177" s="111"/>
      <x:c r="T177" s="111"/>
    </x:row>
    <x:row r="178">
      <x:c r="A178" s="111"/>
      <x:c r="B178" s="111"/>
      <x:c r="C178" s="111"/>
      <x:c r="D178" s="111"/>
      <x:c r="E178" s="111"/>
      <x:c r="F178" s="111"/>
      <x:c r="G178" s="111"/>
      <x:c r="H178" s="111"/>
      <x:c r="I178" s="111"/>
      <x:c r="J178" s="111"/>
      <x:c r="K178" s="111"/>
      <x:c r="L178" s="111"/>
      <x:c r="M178" s="111"/>
      <x:c r="N178" s="111"/>
      <x:c r="O178" s="111"/>
      <x:c r="P178" s="111"/>
      <x:c r="Q178" s="111"/>
      <x:c r="R178" s="111"/>
      <x:c r="S178" s="111"/>
      <x:c r="T178" s="111"/>
    </x:row>
    <x:row r="179">
      <x:c r="A179" s="111"/>
      <x:c r="B179" s="111"/>
      <x:c r="C179" s="111"/>
      <x:c r="D179" s="111"/>
      <x:c r="E179" s="111"/>
      <x:c r="F179" s="111"/>
      <x:c r="G179" s="111"/>
      <x:c r="H179" s="111"/>
      <x:c r="I179" s="111"/>
      <x:c r="J179" s="111"/>
      <x:c r="K179" s="111"/>
      <x:c r="L179" s="111"/>
      <x:c r="M179" s="111"/>
      <x:c r="N179" s="111"/>
      <x:c r="O179" s="111"/>
      <x:c r="P179" s="111"/>
      <x:c r="Q179" s="111"/>
      <x:c r="R179" s="111"/>
      <x:c r="S179" s="111"/>
      <x:c r="T179" s="111"/>
    </x:row>
    <x:row r="180">
      <x:c r="A180" s="111"/>
      <x:c r="B180" s="111"/>
      <x:c r="C180" s="111"/>
      <x:c r="D180" s="111"/>
      <x:c r="E180" s="111"/>
      <x:c r="F180" s="111"/>
      <x:c r="G180" s="111"/>
      <x:c r="H180" s="111"/>
      <x:c r="I180" s="111"/>
      <x:c r="J180" s="111"/>
      <x:c r="K180" s="111"/>
      <x:c r="L180" s="111"/>
      <x:c r="M180" s="111"/>
      <x:c r="N180" s="111"/>
      <x:c r="O180" s="111"/>
      <x:c r="P180" s="111"/>
      <x:c r="Q180" s="111"/>
      <x:c r="R180" s="111"/>
      <x:c r="S180" s="111"/>
      <x:c r="T180" s="111"/>
    </x:row>
    <x:row r="181">
      <x:c r="A181" s="111"/>
      <x:c r="B181" s="111"/>
      <x:c r="C181" s="111"/>
      <x:c r="D181" s="111"/>
      <x:c r="E181" s="111"/>
      <x:c r="F181" s="111"/>
      <x:c r="G181" s="111"/>
      <x:c r="H181" s="111"/>
      <x:c r="I181" s="111"/>
      <x:c r="J181" s="111"/>
      <x:c r="K181" s="111"/>
      <x:c r="L181" s="111"/>
      <x:c r="M181" s="111"/>
      <x:c r="N181" s="111"/>
      <x:c r="O181" s="111"/>
      <x:c r="P181" s="111"/>
      <x:c r="Q181" s="111"/>
      <x:c r="R181" s="111"/>
      <x:c r="S181" s="111"/>
      <x:c r="T181" s="111"/>
    </x:row>
    <x:row r="182">
      <x:c r="A182" s="111"/>
      <x:c r="B182" s="111"/>
      <x:c r="C182" s="111"/>
      <x:c r="D182" s="111"/>
      <x:c r="E182" s="111"/>
      <x:c r="F182" s="111"/>
      <x:c r="G182" s="111"/>
      <x:c r="H182" s="111"/>
      <x:c r="I182" s="111"/>
      <x:c r="J182" s="111"/>
      <x:c r="K182" s="111"/>
      <x:c r="L182" s="111"/>
      <x:c r="M182" s="111"/>
      <x:c r="N182" s="111"/>
      <x:c r="O182" s="111"/>
      <x:c r="P182" s="111"/>
      <x:c r="Q182" s="111"/>
      <x:c r="R182" s="111"/>
      <x:c r="S182" s="111"/>
      <x:c r="T182" s="111"/>
    </x:row>
    <x:row r="183">
      <x:c r="A183" s="111"/>
      <x:c r="B183" s="111"/>
      <x:c r="C183" s="111"/>
      <x:c r="D183" s="111"/>
      <x:c r="E183" s="111"/>
      <x:c r="F183" s="111"/>
      <x:c r="G183" s="111"/>
      <x:c r="H183" s="111"/>
      <x:c r="I183" s="111"/>
      <x:c r="J183" s="111"/>
      <x:c r="K183" s="111"/>
      <x:c r="L183" s="111"/>
      <x:c r="M183" s="111"/>
      <x:c r="N183" s="111"/>
      <x:c r="O183" s="111"/>
      <x:c r="P183" s="111"/>
      <x:c r="Q183" s="111"/>
      <x:c r="R183" s="111"/>
      <x:c r="S183" s="111"/>
      <x:c r="T183" s="111"/>
    </x:row>
    <x:row r="184">
      <x:c r="A184" s="111"/>
      <x:c r="B184" s="111"/>
      <x:c r="C184" s="111"/>
      <x:c r="D184" s="111"/>
      <x:c r="E184" s="111"/>
      <x:c r="F184" s="111"/>
      <x:c r="G184" s="111"/>
      <x:c r="H184" s="111"/>
      <x:c r="I184" s="111"/>
      <x:c r="J184" s="111"/>
      <x:c r="K184" s="111"/>
      <x:c r="L184" s="111"/>
      <x:c r="M184" s="111"/>
      <x:c r="N184" s="111"/>
      <x:c r="O184" s="111"/>
      <x:c r="P184" s="111"/>
      <x:c r="Q184" s="111"/>
      <x:c r="R184" s="111"/>
      <x:c r="S184" s="111"/>
      <x:c r="T184" s="111"/>
    </x:row>
    <x:row r="185">
      <x:c r="A185" s="111"/>
      <x:c r="B185" s="111"/>
      <x:c r="C185" s="111"/>
      <x:c r="D185" s="111"/>
      <x:c r="E185" s="111"/>
      <x:c r="F185" s="111"/>
      <x:c r="G185" s="111"/>
      <x:c r="H185" s="111"/>
      <x:c r="I185" s="111"/>
      <x:c r="J185" s="111"/>
      <x:c r="K185" s="111"/>
      <x:c r="L185" s="111"/>
      <x:c r="M185" s="111"/>
      <x:c r="N185" s="111"/>
      <x:c r="O185" s="111"/>
      <x:c r="P185" s="111"/>
      <x:c r="Q185" s="111"/>
      <x:c r="R185" s="111"/>
      <x:c r="S185" s="111"/>
      <x:c r="T185" s="111"/>
    </x:row>
    <x:row r="186">
      <x:c r="A186" s="111"/>
      <x:c r="B186" s="111"/>
      <x:c r="C186" s="111"/>
      <x:c r="D186" s="111"/>
      <x:c r="E186" s="111"/>
      <x:c r="F186" s="111"/>
      <x:c r="G186" s="111"/>
      <x:c r="H186" s="111"/>
      <x:c r="I186" s="111"/>
      <x:c r="J186" s="111"/>
      <x:c r="K186" s="111"/>
      <x:c r="L186" s="111"/>
      <x:c r="M186" s="111"/>
      <x:c r="N186" s="111"/>
      <x:c r="O186" s="111"/>
      <x:c r="P186" s="111"/>
      <x:c r="Q186" s="111"/>
      <x:c r="R186" s="111"/>
      <x:c r="S186" s="111"/>
      <x:c r="T186" s="111"/>
    </x:row>
    <x:row r="187">
      <x:c r="A187" s="111"/>
      <x:c r="B187" s="111"/>
      <x:c r="C187" s="111"/>
      <x:c r="D187" s="111"/>
      <x:c r="E187" s="111"/>
      <x:c r="F187" s="111"/>
      <x:c r="G187" s="111"/>
      <x:c r="H187" s="111"/>
      <x:c r="I187" s="111"/>
      <x:c r="J187" s="111"/>
      <x:c r="K187" s="111"/>
      <x:c r="L187" s="111"/>
      <x:c r="M187" s="111"/>
      <x:c r="N187" s="111"/>
      <x:c r="O187" s="111"/>
      <x:c r="P187" s="111"/>
      <x:c r="Q187" s="111"/>
      <x:c r="R187" s="111"/>
      <x:c r="S187" s="111"/>
      <x:c r="T187" s="111"/>
    </x:row>
    <x:row r="188">
      <x:c r="A188" s="111"/>
      <x:c r="B188" s="111"/>
      <x:c r="C188" s="111"/>
      <x:c r="D188" s="111"/>
      <x:c r="E188" s="111"/>
      <x:c r="F188" s="111"/>
      <x:c r="G188" s="111"/>
      <x:c r="H188" s="111"/>
      <x:c r="I188" s="111"/>
      <x:c r="J188" s="111"/>
      <x:c r="K188" s="111"/>
      <x:c r="L188" s="111"/>
      <x:c r="M188" s="111"/>
      <x:c r="N188" s="111"/>
      <x:c r="O188" s="111"/>
      <x:c r="P188" s="111"/>
      <x:c r="Q188" s="111"/>
      <x:c r="R188" s="111"/>
      <x:c r="S188" s="111"/>
      <x:c r="T188" s="111"/>
    </x:row>
    <x:row r="189">
      <x:c r="A189" s="111"/>
      <x:c r="B189" s="111"/>
      <x:c r="C189" s="111"/>
      <x:c r="D189" s="111"/>
      <x:c r="E189" s="111"/>
      <x:c r="F189" s="111"/>
      <x:c r="G189" s="111"/>
      <x:c r="H189" s="111"/>
      <x:c r="I189" s="111"/>
      <x:c r="J189" s="111"/>
      <x:c r="K189" s="111"/>
      <x:c r="L189" s="111"/>
      <x:c r="M189" s="111"/>
      <x:c r="N189" s="111"/>
      <x:c r="O189" s="111"/>
      <x:c r="P189" s="111"/>
      <x:c r="Q189" s="111"/>
      <x:c r="R189" s="111"/>
      <x:c r="S189" s="111"/>
      <x:c r="T189" s="111"/>
    </x:row>
    <x:row r="190">
      <x:c r="A190" s="111"/>
      <x:c r="B190" s="111"/>
      <x:c r="C190" s="111"/>
      <x:c r="D190" s="111"/>
      <x:c r="E190" s="111"/>
      <x:c r="F190" s="111"/>
      <x:c r="G190" s="111"/>
      <x:c r="H190" s="111"/>
      <x:c r="I190" s="111"/>
      <x:c r="J190" s="111"/>
      <x:c r="K190" s="111"/>
      <x:c r="L190" s="111"/>
      <x:c r="M190" s="111"/>
      <x:c r="N190" s="111"/>
      <x:c r="O190" s="111"/>
      <x:c r="P190" s="111"/>
      <x:c r="Q190" s="111"/>
      <x:c r="R190" s="111"/>
      <x:c r="S190" s="111"/>
      <x:c r="T190" s="111"/>
    </x:row>
    <x:row r="191">
      <x:c r="A191" s="111"/>
      <x:c r="B191" s="111"/>
      <x:c r="C191" s="111"/>
      <x:c r="D191" s="111"/>
      <x:c r="E191" s="111"/>
      <x:c r="F191" s="111"/>
      <x:c r="G191" s="111"/>
      <x:c r="H191" s="111"/>
      <x:c r="I191" s="111"/>
      <x:c r="J191" s="111"/>
      <x:c r="K191" s="111"/>
      <x:c r="L191" s="111"/>
      <x:c r="M191" s="111"/>
      <x:c r="N191" s="111"/>
      <x:c r="O191" s="111"/>
      <x:c r="P191" s="111"/>
      <x:c r="Q191" s="111"/>
      <x:c r="R191" s="111"/>
      <x:c r="S191" s="111"/>
      <x:c r="T191" s="111"/>
    </x:row>
    <x:row r="192">
      <x:c r="A192" s="111"/>
      <x:c r="B192" s="111"/>
      <x:c r="C192" s="111"/>
      <x:c r="D192" s="111"/>
      <x:c r="E192" s="111"/>
      <x:c r="F192" s="111"/>
      <x:c r="G192" s="111"/>
      <x:c r="H192" s="111"/>
      <x:c r="I192" s="111"/>
      <x:c r="J192" s="111"/>
      <x:c r="K192" s="111"/>
      <x:c r="L192" s="111"/>
      <x:c r="M192" s="111"/>
      <x:c r="N192" s="111"/>
      <x:c r="O192" s="111"/>
      <x:c r="P192" s="111"/>
      <x:c r="Q192" s="111"/>
      <x:c r="R192" s="111"/>
      <x:c r="S192" s="111"/>
      <x:c r="T192" s="111"/>
    </x:row>
    <x:row r="193">
      <x:c r="A193" s="111"/>
      <x:c r="B193" s="111"/>
      <x:c r="C193" s="111"/>
      <x:c r="D193" s="111"/>
      <x:c r="E193" s="111"/>
      <x:c r="F193" s="111"/>
      <x:c r="G193" s="111"/>
      <x:c r="H193" s="111"/>
      <x:c r="I193" s="111"/>
      <x:c r="J193" s="111"/>
      <x:c r="K193" s="111"/>
      <x:c r="L193" s="111"/>
      <x:c r="M193" s="111"/>
      <x:c r="N193" s="111"/>
      <x:c r="O193" s="111"/>
      <x:c r="P193" s="111"/>
      <x:c r="Q193" s="111"/>
      <x:c r="R193" s="111"/>
      <x:c r="S193" s="111"/>
      <x:c r="T193" s="111"/>
    </x:row>
    <x:row r="194">
      <x:c r="A194" s="111"/>
      <x:c r="B194" s="111"/>
      <x:c r="C194" s="111"/>
      <x:c r="D194" s="111"/>
      <x:c r="E194" s="111"/>
      <x:c r="F194" s="111"/>
      <x:c r="G194" s="111"/>
      <x:c r="H194" s="111"/>
      <x:c r="I194" s="111"/>
      <x:c r="J194" s="111"/>
      <x:c r="K194" s="111"/>
      <x:c r="L194" s="111"/>
      <x:c r="M194" s="111"/>
      <x:c r="N194" s="111"/>
      <x:c r="O194" s="111"/>
      <x:c r="P194" s="111"/>
      <x:c r="Q194" s="111"/>
      <x:c r="R194" s="111"/>
      <x:c r="S194" s="111"/>
      <x:c r="T194" s="111"/>
    </x:row>
    <x:row r="195">
      <x:c r="A195" s="111"/>
      <x:c r="B195" s="111"/>
      <x:c r="C195" s="111"/>
      <x:c r="D195" s="111"/>
      <x:c r="E195" s="111"/>
      <x:c r="F195" s="111"/>
      <x:c r="G195" s="111"/>
      <x:c r="H195" s="111"/>
      <x:c r="I195" s="111"/>
      <x:c r="J195" s="111"/>
      <x:c r="K195" s="111"/>
      <x:c r="L195" s="111"/>
      <x:c r="M195" s="111"/>
      <x:c r="N195" s="111"/>
      <x:c r="O195" s="111"/>
      <x:c r="P195" s="111"/>
      <x:c r="Q195" s="111"/>
      <x:c r="R195" s="111"/>
      <x:c r="S195" s="111"/>
      <x:c r="T195" s="111"/>
    </x:row>
    <x:row r="196">
      <x:c r="A196" s="111"/>
      <x:c r="B196" s="111"/>
      <x:c r="C196" s="111"/>
      <x:c r="D196" s="111"/>
      <x:c r="E196" s="111"/>
      <x:c r="F196" s="111"/>
      <x:c r="G196" s="111"/>
      <x:c r="H196" s="111"/>
      <x:c r="I196" s="111"/>
      <x:c r="J196" s="111"/>
      <x:c r="K196" s="111"/>
      <x:c r="L196" s="111"/>
      <x:c r="M196" s="111"/>
      <x:c r="N196" s="111"/>
      <x:c r="O196" s="111"/>
      <x:c r="P196" s="111"/>
      <x:c r="Q196" s="111"/>
      <x:c r="R196" s="111"/>
      <x:c r="S196" s="111"/>
      <x:c r="T196" s="111"/>
    </x:row>
    <x:row r="197">
      <x:c r="A197" s="111"/>
      <x:c r="B197" s="111"/>
      <x:c r="C197" s="111"/>
      <x:c r="D197" s="111"/>
      <x:c r="E197" s="111"/>
      <x:c r="F197" s="111"/>
      <x:c r="G197" s="111"/>
      <x:c r="H197" s="111"/>
      <x:c r="I197" s="111"/>
      <x:c r="J197" s="111"/>
      <x:c r="K197" s="111"/>
      <x:c r="L197" s="111"/>
      <x:c r="M197" s="111"/>
      <x:c r="N197" s="111"/>
      <x:c r="O197" s="111"/>
      <x:c r="P197" s="111"/>
      <x:c r="Q197" s="111"/>
      <x:c r="R197" s="111"/>
      <x:c r="S197" s="111"/>
      <x:c r="T197" s="111"/>
    </x:row>
    <x:row r="198">
      <x:c r="A198" s="111"/>
      <x:c r="B198" s="111"/>
      <x:c r="C198" s="111"/>
      <x:c r="D198" s="111"/>
      <x:c r="E198" s="111"/>
      <x:c r="F198" s="111"/>
      <x:c r="G198" s="111"/>
      <x:c r="H198" s="111"/>
      <x:c r="I198" s="111"/>
      <x:c r="J198" s="111"/>
      <x:c r="K198" s="111"/>
      <x:c r="L198" s="111"/>
      <x:c r="M198" s="111"/>
      <x:c r="N198" s="111"/>
      <x:c r="O198" s="111"/>
      <x:c r="P198" s="111"/>
      <x:c r="Q198" s="111"/>
      <x:c r="R198" s="111"/>
      <x:c r="S198" s="111"/>
      <x:c r="T198" s="111"/>
    </x:row>
    <x:row r="199">
      <x:c r="A199" s="111"/>
      <x:c r="B199" s="111"/>
      <x:c r="C199" s="111"/>
      <x:c r="D199" s="111"/>
      <x:c r="E199" s="111"/>
      <x:c r="F199" s="111"/>
      <x:c r="G199" s="111"/>
      <x:c r="H199" s="111"/>
      <x:c r="I199" s="111"/>
      <x:c r="J199" s="111"/>
      <x:c r="K199" s="111"/>
      <x:c r="L199" s="111"/>
      <x:c r="M199" s="111"/>
      <x:c r="N199" s="111"/>
      <x:c r="O199" s="111"/>
      <x:c r="P199" s="111"/>
      <x:c r="Q199" s="111"/>
      <x:c r="R199" s="111"/>
      <x:c r="S199" s="111"/>
      <x:c r="T199" s="111"/>
    </x:row>
    <x:row r="200">
      <x:c r="A200" s="111"/>
      <x:c r="B200" s="111"/>
      <x:c r="C200" s="111"/>
      <x:c r="D200" s="111"/>
      <x:c r="E200" s="111"/>
      <x:c r="F200" s="111"/>
      <x:c r="G200" s="111"/>
      <x:c r="H200" s="111"/>
      <x:c r="I200" s="111"/>
      <x:c r="J200" s="111"/>
      <x:c r="K200" s="111"/>
      <x:c r="L200" s="111"/>
      <x:c r="M200" s="111"/>
      <x:c r="N200" s="111"/>
      <x:c r="O200" s="111"/>
      <x:c r="P200" s="111"/>
      <x:c r="Q200" s="111"/>
      <x:c r="R200" s="111"/>
      <x:c r="S200" s="111"/>
      <x:c r="T200" s="111"/>
    </x:row>
    <x:row r="201">
      <x:c r="A201" s="111"/>
      <x:c r="B201" s="111"/>
      <x:c r="C201" s="111"/>
      <x:c r="D201" s="111"/>
      <x:c r="E201" s="111"/>
      <x:c r="F201" s="111"/>
      <x:c r="G201" s="111"/>
      <x:c r="H201" s="111"/>
      <x:c r="I201" s="111"/>
      <x:c r="J201" s="111"/>
      <x:c r="K201" s="111"/>
      <x:c r="L201" s="111"/>
      <x:c r="M201" s="111"/>
      <x:c r="N201" s="111"/>
      <x:c r="O201" s="111"/>
      <x:c r="P201" s="111"/>
      <x:c r="Q201" s="111"/>
      <x:c r="R201" s="111"/>
      <x:c r="S201" s="111"/>
      <x:c r="T201" s="111"/>
    </x:row>
    <x:row r="202">
      <x:c r="A202" s="111"/>
      <x:c r="B202" s="111"/>
      <x:c r="C202" s="111"/>
      <x:c r="D202" s="111"/>
      <x:c r="E202" s="111"/>
      <x:c r="F202" s="111"/>
      <x:c r="G202" s="111"/>
      <x:c r="H202" s="111"/>
      <x:c r="I202" s="111"/>
      <x:c r="J202" s="111"/>
      <x:c r="K202" s="111"/>
      <x:c r="L202" s="111"/>
      <x:c r="M202" s="111"/>
      <x:c r="N202" s="111"/>
      <x:c r="O202" s="111"/>
      <x:c r="P202" s="111"/>
      <x:c r="Q202" s="111"/>
      <x:c r="R202" s="111"/>
      <x:c r="S202" s="111"/>
      <x:c r="T202" s="111"/>
    </x:row>
    <x:row r="203">
      <x:c r="A203" s="111"/>
      <x:c r="B203" s="111"/>
      <x:c r="C203" s="111"/>
      <x:c r="D203" s="111"/>
      <x:c r="E203" s="111"/>
      <x:c r="F203" s="111"/>
      <x:c r="G203" s="111"/>
      <x:c r="H203" s="111"/>
      <x:c r="I203" s="111"/>
      <x:c r="J203" s="111"/>
      <x:c r="K203" s="111"/>
      <x:c r="L203" s="111"/>
      <x:c r="M203" s="111"/>
      <x:c r="N203" s="111"/>
      <x:c r="O203" s="111"/>
      <x:c r="P203" s="111"/>
      <x:c r="Q203" s="111"/>
      <x:c r="R203" s="111"/>
      <x:c r="S203" s="111"/>
      <x:c r="T203" s="111"/>
    </x:row>
    <x:row r="204">
      <x:c r="A204" s="111"/>
      <x:c r="B204" s="111"/>
      <x:c r="C204" s="111"/>
      <x:c r="D204" s="111"/>
      <x:c r="E204" s="111"/>
      <x:c r="F204" s="111"/>
      <x:c r="G204" s="111"/>
      <x:c r="H204" s="111"/>
      <x:c r="I204" s="111"/>
      <x:c r="J204" s="111"/>
      <x:c r="K204" s="111"/>
      <x:c r="L204" s="111"/>
      <x:c r="M204" s="111"/>
      <x:c r="N204" s="111"/>
      <x:c r="O204" s="111"/>
      <x:c r="P204" s="111"/>
      <x:c r="Q204" s="111"/>
      <x:c r="R204" s="111"/>
      <x:c r="S204" s="111"/>
      <x:c r="T204" s="111"/>
    </x:row>
    <x:row r="205">
      <x:c r="A205" s="111"/>
      <x:c r="B205" s="111"/>
      <x:c r="C205" s="111"/>
      <x:c r="D205" s="111"/>
      <x:c r="E205" s="111"/>
      <x:c r="F205" s="111"/>
      <x:c r="G205" s="111"/>
      <x:c r="H205" s="111"/>
      <x:c r="I205" s="111"/>
      <x:c r="J205" s="111"/>
      <x:c r="K205" s="111"/>
      <x:c r="L205" s="111"/>
      <x:c r="M205" s="111"/>
      <x:c r="N205" s="111"/>
      <x:c r="O205" s="111"/>
      <x:c r="P205" s="111"/>
      <x:c r="Q205" s="111"/>
      <x:c r="R205" s="111"/>
      <x:c r="S205" s="111"/>
      <x:c r="T205" s="11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34495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10" hidden="0" customWidth="1"/>
  </x:cols>
  <x:sheetData>
    <x:row r="1" ht="28" customHeight="1">
      <x:c r="A1" s="90"/>
      <x:c r="B1" s="90"/>
      <x:c r="C1" s="111"/>
      <x:c r="D1" s="111"/>
      <x:c r="E1" s="111"/>
      <x:c r="F1" s="111"/>
      <x:c r="G1" s="111"/>
      <x:c r="H1" s="111"/>
      <x:c r="I1" s="111"/>
      <x:c r="J1" s="111"/>
      <x:c r="K1" s="111"/>
      <x:c r="L1" s="111"/>
      <x:c r="M1" s="111"/>
      <x:c r="N1" s="111"/>
      <x:c r="O1" s="111"/>
      <x:c r="P1" s="111"/>
      <x:c r="Q1" s="111"/>
      <x:c r="R1" s="111"/>
      <x:c r="S1" s="111"/>
      <x:c r="T1" s="111"/>
    </x:row>
    <x:row r="2" ht="28" customHeight="1">
      <x:c r="A2" s="91" t="str">
        <x:v>Read the Manual</x:v>
      </x:c>
      <x:c r="B2" s="90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1"/>
      <x:c r="P2" s="111"/>
      <x:c r="Q2" s="111"/>
      <x:c r="R2" s="111"/>
      <x:c r="S2" s="111"/>
      <x:c r="T2" s="111"/>
    </x:row>
    <x:row r="3" ht="28" customHeight="1">
      <x:c r="A3" s="90" t="str">
        <x:v>Enter records in yellow cells.</x:v>
      </x:c>
      <x:c r="B3" s="90"/>
      <x:c r="C3" s="111"/>
      <x:c r="D3" s="111"/>
      <x:c r="E3" s="111"/>
      <x:c r="F3" s="111"/>
      <x:c r="G3" s="111"/>
      <x:c r="H3" s="111"/>
      <x:c r="I3" s="111"/>
      <x:c r="J3" s="111"/>
      <x:c r="K3" s="111"/>
      <x:c r="L3" s="111"/>
      <x:c r="M3" s="111"/>
      <x:c r="N3" s="111"/>
      <x:c r="O3" s="111"/>
      <x:c r="P3" s="111"/>
      <x:c r="Q3" s="111"/>
      <x:c r="R3" s="111"/>
      <x:c r="S3" s="111"/>
      <x:c r="T3" s="111"/>
    </x:row>
    <x:row r="4" ht="28" customHeight="1">
      <x:c r="A4" s="90"/>
      <x:c r="B4" s="90"/>
      <x:c r="C4" s="111"/>
      <x:c r="D4" s="111"/>
      <x:c r="E4" s="111"/>
      <x:c r="F4" s="111"/>
      <x:c r="G4" s="111"/>
      <x:c r="H4" s="111"/>
      <x:c r="I4" s="111"/>
      <x:c r="J4" s="111"/>
      <x:c r="K4" s="111"/>
      <x:c r="L4" s="111"/>
      <x:c r="M4" s="111"/>
      <x:c r="N4" s="111"/>
      <x:c r="O4" s="111"/>
      <x:c r="P4" s="111"/>
      <x:c r="Q4" s="111"/>
      <x:c r="R4" s="111"/>
      <x:c r="S4" s="111"/>
      <x:c r="T4" s="111"/>
    </x:row>
    <x:row r="5" ht="60" customHeight="1">
      <x:c r="A5" s="124" t="str">
        <x:v>Step</x:v>
      </x:c>
      <x:c r="B5" s="124" t="str">
        <x:v>What to do</x:v>
      </x:c>
      <x:c r="C5" s="111"/>
      <x:c r="D5" s="111"/>
      <x:c r="E5" s="111"/>
      <x:c r="F5" s="111"/>
      <x:c r="G5" s="111"/>
      <x:c r="H5" s="111"/>
      <x:c r="I5" s="111"/>
      <x:c r="J5" s="111"/>
      <x:c r="K5" s="111"/>
      <x:c r="L5" s="111"/>
      <x:c r="M5" s="111"/>
      <x:c r="N5" s="111"/>
      <x:c r="O5" s="111"/>
      <x:c r="P5" s="111"/>
      <x:c r="Q5" s="111"/>
      <x:c r="R5" s="111"/>
      <x:c r="S5" s="111"/>
      <x:c r="T5" s="111"/>
    </x:row>
    <x:row r="6" ht="58" customHeight="1">
      <x:c r="A6" s="90" t="n">
        <x:v>1</x:v>
      </x:c>
      <x:c r="B6" s="102" t="str">
        <x:v>Settings: enter company, file date and starting trip number.</x:v>
      </x:c>
      <x:c r="C6" s="111"/>
      <x:c r="D6" s="111"/>
      <x:c r="E6" s="111"/>
      <x:c r="F6" s="111"/>
      <x:c r="G6" s="111"/>
      <x:c r="H6" s="111"/>
      <x:c r="I6" s="111"/>
      <x:c r="J6" s="111"/>
      <x:c r="K6" s="111"/>
      <x:c r="L6" s="111"/>
      <x:c r="M6" s="111"/>
      <x:c r="N6" s="111"/>
      <x:c r="O6" s="111"/>
      <x:c r="P6" s="111"/>
      <x:c r="Q6" s="111"/>
      <x:c r="R6" s="111"/>
      <x:c r="S6" s="111"/>
      <x:c r="T6" s="111"/>
    </x:row>
    <x:row r="7" ht="58" customHeight="1">
      <x:c r="A7" s="90" t="n">
        <x:v>2</x:v>
      </x:c>
      <x:c r="B7" s="102" t="str">
        <x:v>Route List: enter coach mappings and each route fare.</x:v>
      </x:c>
      <x:c r="C7" s="111"/>
      <x:c r="D7" s="111"/>
      <x:c r="E7" s="111"/>
      <x:c r="F7" s="111"/>
      <x:c r="G7" s="111"/>
      <x:c r="H7" s="111"/>
      <x:c r="I7" s="111"/>
      <x:c r="J7" s="111"/>
      <x:c r="K7" s="111"/>
      <x:c r="L7" s="111"/>
      <x:c r="M7" s="111"/>
      <x:c r="N7" s="111"/>
      <x:c r="O7" s="111"/>
      <x:c r="P7" s="111"/>
      <x:c r="Q7" s="111"/>
      <x:c r="R7" s="111"/>
      <x:c r="S7" s="111"/>
      <x:c r="T7" s="111"/>
    </x:row>
    <x:row r="8" ht="58" customHeight="1">
      <x:c r="A8" s="90" t="n">
        <x:v>3</x:v>
      </x:c>
      <x:c r="B8" s="102" t="str">
        <x:v>Crew: names, jobs, phone numbers only.</x:v>
      </x:c>
      <x:c r="C8" s="111"/>
      <x:c r="D8" s="111"/>
      <x:c r="E8" s="111"/>
      <x:c r="F8" s="111"/>
      <x:c r="G8" s="111"/>
      <x:c r="H8" s="111"/>
      <x:c r="I8" s="111"/>
      <x:c r="J8" s="111"/>
      <x:c r="K8" s="111"/>
      <x:c r="L8" s="111"/>
      <x:c r="M8" s="111"/>
      <x:c r="N8" s="111"/>
      <x:c r="O8" s="111"/>
      <x:c r="P8" s="111"/>
      <x:c r="Q8" s="111"/>
      <x:c r="R8" s="111"/>
      <x:c r="S8" s="111"/>
      <x:c r="T8" s="111"/>
    </x:row>
    <x:row r="9" ht="58" customHeight="1">
      <x:c r="A9" s="90" t="n">
        <x:v>4</x:v>
      </x:c>
      <x:c r="B9" s="102" t="str">
        <x:v>Buses: bus number and assigned driver. Seats are always 62.</x:v>
      </x:c>
      <x:c r="C9" s="111"/>
      <x:c r="D9" s="111"/>
      <x:c r="E9" s="111"/>
      <x:c r="F9" s="111"/>
      <x:c r="G9" s="111"/>
      <x:c r="H9" s="111"/>
      <x:c r="I9" s="111"/>
      <x:c r="J9" s="111"/>
      <x:c r="K9" s="111"/>
      <x:c r="L9" s="111"/>
      <x:c r="M9" s="111"/>
      <x:c r="N9" s="111"/>
      <x:c r="O9" s="111"/>
      <x:c r="P9" s="111"/>
      <x:c r="Q9" s="111"/>
      <x:c r="R9" s="111"/>
      <x:c r="S9" s="111"/>
      <x:c r="T9" s="111"/>
    </x:row>
    <x:row r="10" ht="58" customHeight="1">
      <x:c r="A10" s="90" t="n">
        <x:v>5</x:v>
      </x:c>
      <x:c r="B10" s="102" t="str">
        <x:v>Trips: choose coach, departure, direction and bus. IDs, route, driver and phone fill automatically.</x:v>
      </x:c>
      <x:c r="C10" s="111"/>
      <x:c r="D10" s="111"/>
      <x:c r="E10" s="111"/>
      <x:c r="F10" s="111"/>
      <x:c r="G10" s="111"/>
      <x:c r="H10" s="111"/>
      <x:c r="I10" s="111"/>
      <x:c r="J10" s="111"/>
      <x:c r="K10" s="111"/>
      <x:c r="L10" s="111"/>
      <x:c r="M10" s="111"/>
      <x:c r="N10" s="111"/>
      <x:c r="O10" s="111"/>
      <x:c r="P10" s="111"/>
      <x:c r="Q10" s="111"/>
      <x:c r="R10" s="111"/>
      <x:c r="S10" s="111"/>
      <x:c r="T10" s="111"/>
    </x:row>
    <x:row r="11" ht="58" customHeight="1">
      <x:c r="A11" s="90" t="n">
        <x:v>6</x:v>
      </x:c>
      <x:c r="B11" s="102" t="str">
        <x:v>Guide/conductor dropdowns are optional.</x:v>
      </x:c>
      <x:c r="C11" s="111"/>
      <x:c r="D11" s="111"/>
      <x:c r="E11" s="111"/>
      <x:c r="F11" s="111"/>
      <x:c r="G11" s="111"/>
      <x:c r="H11" s="111"/>
      <x:c r="I11" s="111"/>
      <x:c r="J11" s="111"/>
      <x:c r="K11" s="111"/>
      <x:c r="L11" s="111"/>
      <x:c r="M11" s="111"/>
      <x:c r="N11" s="111"/>
      <x:c r="O11" s="111"/>
      <x:c r="P11" s="111"/>
      <x:c r="Q11" s="111"/>
      <x:c r="R11" s="111"/>
      <x:c r="S11" s="111"/>
      <x:c r="T11" s="111"/>
    </x:row>
    <x:row r="12" ht="58" customHeight="1">
      <x:c r="A12" s="90" t="n">
        <x:v>7</x:v>
      </x:c>
      <x:c r="B12" s="102" t="str">
        <x:v>Collections prepares one row per trip. Add more counters by selecting the same trip in another row.</x:v>
      </x:c>
      <x:c r="C12" s="111"/>
      <x:c r="D12" s="111"/>
      <x:c r="E12" s="111"/>
      <x:c r="F12" s="111"/>
      <x:c r="G12" s="111"/>
      <x:c r="H12" s="111"/>
      <x:c r="I12" s="111"/>
      <x:c r="J12" s="111"/>
      <x:c r="K12" s="111"/>
      <x:c r="L12" s="111"/>
      <x:c r="M12" s="111"/>
      <x:c r="N12" s="111"/>
      <x:c r="O12" s="111"/>
      <x:c r="P12" s="111"/>
      <x:c r="Q12" s="111"/>
      <x:c r="R12" s="111"/>
      <x:c r="S12" s="111"/>
      <x:c r="T12" s="111"/>
    </x:row>
    <x:row r="13" ht="58" customHeight="1">
      <x:c r="A13" s="90" t="n">
        <x:v>8</x:v>
      </x:c>
      <x:c r="B13" s="102" t="str">
        <x:v>Enter counter, tickets and deposits. Type, fare and commission are automatic.</x:v>
      </x:c>
      <x:c r="C13" s="111"/>
      <x:c r="D13" s="111"/>
      <x:c r="E13" s="111"/>
      <x:c r="F13" s="111"/>
      <x:c r="G13" s="111"/>
      <x:c r="H13" s="111"/>
      <x:c r="I13" s="111"/>
      <x:c r="J13" s="111"/>
      <x:c r="K13" s="111"/>
      <x:c r="L13" s="111"/>
      <x:c r="M13" s="111"/>
      <x:c r="N13" s="111"/>
      <x:c r="O13" s="111"/>
      <x:c r="P13" s="111"/>
      <x:c r="Q13" s="111"/>
      <x:c r="R13" s="111"/>
      <x:c r="S13" s="111"/>
      <x:c r="T13" s="111"/>
    </x:row>
    <x:row r="14" ht="58" customHeight="1">
      <x:c r="A14" s="90" t="n">
        <x:v>9</x:v>
      </x:c>
      <x:c r="B14" s="102" t="str">
        <x:v>Sold seats sum from Collections. You can enter an observed total in Trips; PDF checks it against counter tickets.</x:v>
      </x:c>
      <x:c r="C14" s="111"/>
      <x:c r="D14" s="111"/>
      <x:c r="E14" s="111"/>
      <x:c r="F14" s="111"/>
      <x:c r="G14" s="111"/>
      <x:c r="H14" s="111"/>
      <x:c r="I14" s="111"/>
      <x:c r="J14" s="111"/>
      <x:c r="K14" s="111"/>
      <x:c r="L14" s="111"/>
      <x:c r="M14" s="111"/>
      <x:c r="N14" s="111"/>
      <x:c r="O14" s="111"/>
      <x:c r="P14" s="111"/>
      <x:c r="Q14" s="111"/>
      <x:c r="R14" s="111"/>
      <x:c r="S14" s="111"/>
      <x:c r="T14" s="111"/>
    </x:row>
    <x:row r="15" ht="58" customHeight="1">
      <x:c r="A15" s="90" t="n">
        <x:v>10</x:v>
      </x:c>
      <x:c r="B15" s="102" t="str">
        <x:v>Save daily files; generate period Excel/PDF in the panel.</x:v>
      </x:c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11"/>
      <x:c r="O15" s="111"/>
      <x:c r="P15" s="111"/>
      <x:c r="Q15" s="111"/>
      <x:c r="R15" s="111"/>
      <x:c r="S15" s="111"/>
      <x:c r="T15" s="111"/>
    </x:row>
    <x:row r="16" ht="28" customHeight="1">
      <x:c r="A16" s="90"/>
      <x:c r="B16" s="90"/>
      <x:c r="C16" s="111"/>
      <x:c r="D16" s="111"/>
      <x:c r="E16" s="111"/>
      <x:c r="F16" s="111"/>
      <x:c r="G16" s="111"/>
      <x:c r="H16" s="111"/>
      <x:c r="I16" s="111"/>
      <x:c r="J16" s="111"/>
      <x:c r="K16" s="111"/>
      <x:c r="L16" s="111"/>
      <x:c r="M16" s="111"/>
      <x:c r="N16" s="111"/>
      <x:c r="O16" s="111"/>
      <x:c r="P16" s="111"/>
      <x:c r="Q16" s="111"/>
      <x:c r="R16" s="111"/>
      <x:c r="S16" s="111"/>
      <x:c r="T16" s="111"/>
    </x:row>
    <x:row r="17" ht="28" customHeight="1">
      <x:c r="A17" s="90"/>
      <x:c r="B17" s="90"/>
      <x:c r="C17" s="111"/>
      <x:c r="D17" s="111"/>
      <x:c r="E17" s="111"/>
      <x:c r="F17" s="111"/>
      <x:c r="G17" s="111"/>
      <x:c r="H17" s="111"/>
      <x:c r="I17" s="111"/>
      <x:c r="J17" s="111"/>
      <x:c r="K17" s="111"/>
      <x:c r="L17" s="111"/>
      <x:c r="M17" s="111"/>
      <x:c r="N17" s="111"/>
      <x:c r="O17" s="111"/>
      <x:c r="P17" s="111"/>
      <x:c r="Q17" s="111"/>
      <x:c r="R17" s="111"/>
      <x:c r="S17" s="111"/>
      <x:c r="T17" s="111"/>
    </x:row>
    <x:row r="18" ht="28" customHeight="1">
      <x:c r="A18" s="90"/>
      <x:c r="B18" s="90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11"/>
      <x:c r="M18" s="111"/>
      <x:c r="N18" s="111"/>
      <x:c r="O18" s="111"/>
      <x:c r="P18" s="111"/>
      <x:c r="Q18" s="111"/>
      <x:c r="R18" s="111"/>
      <x:c r="S18" s="111"/>
      <x:c r="T18" s="111"/>
    </x:row>
    <x:row r="19" ht="28" customHeight="1">
      <x:c r="A19" s="90"/>
      <x:c r="B19" s="90"/>
      <x:c r="C19" s="111"/>
      <x:c r="D19" s="111"/>
      <x:c r="E19" s="111"/>
      <x:c r="F19" s="111"/>
      <x:c r="G19" s="111"/>
      <x:c r="H19" s="111"/>
      <x:c r="I19" s="111"/>
      <x:c r="J19" s="111"/>
      <x:c r="K19" s="111"/>
      <x:c r="L19" s="111"/>
      <x:c r="M19" s="111"/>
      <x:c r="N19" s="111"/>
      <x:c r="O19" s="111"/>
      <x:c r="P19" s="111"/>
      <x:c r="Q19" s="111"/>
      <x:c r="R19" s="111"/>
      <x:c r="S19" s="111"/>
      <x:c r="T19" s="111"/>
    </x:row>
    <x:row r="20" ht="28" customHeight="1">
      <x:c r="A20" s="90"/>
      <x:c r="B20" s="90"/>
      <x:c r="C20" s="111"/>
      <x:c r="D20" s="111"/>
      <x:c r="E20" s="111"/>
      <x:c r="F20" s="111"/>
      <x:c r="G20" s="111"/>
      <x:c r="H20" s="111"/>
      <x:c r="I20" s="111"/>
      <x:c r="J20" s="111"/>
      <x:c r="K20" s="111"/>
      <x:c r="L20" s="111"/>
      <x:c r="M20" s="111"/>
      <x:c r="N20" s="111"/>
      <x:c r="O20" s="111"/>
      <x:c r="P20" s="111"/>
      <x:c r="Q20" s="111"/>
      <x:c r="R20" s="111"/>
      <x:c r="S20" s="111"/>
      <x:c r="T20" s="111"/>
    </x:row>
    <x:row r="21">
      <x:c r="A21" s="111"/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11"/>
      <x:c r="M21" s="111"/>
      <x:c r="N21" s="111"/>
      <x:c r="O21" s="111"/>
      <x:c r="P21" s="111"/>
      <x:c r="Q21" s="111"/>
      <x:c r="R21" s="111"/>
      <x:c r="S21" s="111"/>
      <x:c r="T21" s="111"/>
    </x:row>
    <x:row r="22">
      <x:c r="A22" s="111"/>
      <x:c r="B22" s="111"/>
      <x:c r="C22" s="111"/>
      <x:c r="D22" s="111"/>
      <x:c r="E22" s="111"/>
      <x:c r="F22" s="111"/>
      <x:c r="G22" s="111"/>
      <x:c r="H22" s="111"/>
      <x:c r="I22" s="111"/>
      <x:c r="J22" s="111"/>
      <x:c r="K22" s="111"/>
      <x:c r="L22" s="111"/>
      <x:c r="M22" s="111"/>
      <x:c r="N22" s="111"/>
      <x:c r="O22" s="111"/>
      <x:c r="P22" s="111"/>
      <x:c r="Q22" s="111"/>
      <x:c r="R22" s="111"/>
      <x:c r="S22" s="111"/>
      <x:c r="T22" s="111"/>
    </x:row>
    <x:row r="23">
      <x:c r="A23" s="111"/>
      <x:c r="B23" s="111"/>
      <x:c r="C23" s="111"/>
      <x:c r="D23" s="111"/>
      <x:c r="E23" s="111"/>
      <x:c r="F23" s="111"/>
      <x:c r="G23" s="111"/>
      <x:c r="H23" s="111"/>
      <x:c r="I23" s="111"/>
      <x:c r="J23" s="111"/>
      <x:c r="K23" s="111"/>
      <x:c r="L23" s="111"/>
      <x:c r="M23" s="111"/>
      <x:c r="N23" s="111"/>
      <x:c r="O23" s="111"/>
      <x:c r="P23" s="111"/>
      <x:c r="Q23" s="111"/>
      <x:c r="R23" s="111"/>
      <x:c r="S23" s="111"/>
      <x:c r="T23" s="111"/>
    </x:row>
    <x:row r="24">
      <x:c r="A24" s="111"/>
      <x:c r="B24" s="111"/>
      <x:c r="C24" s="111"/>
      <x:c r="D24" s="111"/>
      <x:c r="E24" s="111"/>
      <x:c r="F24" s="111"/>
      <x:c r="G24" s="111"/>
      <x:c r="H24" s="111"/>
      <x:c r="I24" s="111"/>
      <x:c r="J24" s="111"/>
      <x:c r="K24" s="111"/>
      <x:c r="L24" s="111"/>
      <x:c r="M24" s="111"/>
      <x:c r="N24" s="111"/>
      <x:c r="O24" s="111"/>
      <x:c r="P24" s="111"/>
      <x:c r="Q24" s="111"/>
      <x:c r="R24" s="111"/>
      <x:c r="S24" s="111"/>
      <x:c r="T24" s="111"/>
    </x:row>
    <x:row r="25">
      <x:c r="A25" s="111"/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11"/>
      <x:c r="M25" s="111"/>
      <x:c r="N25" s="111"/>
      <x:c r="O25" s="111"/>
      <x:c r="P25" s="111"/>
      <x:c r="Q25" s="111"/>
      <x:c r="R25" s="111"/>
      <x:c r="S25" s="111"/>
      <x:c r="T25" s="111"/>
    </x:row>
    <x:row r="26">
      <x:c r="A26" s="111"/>
      <x:c r="B26" s="111"/>
      <x:c r="C26" s="111"/>
      <x:c r="D26" s="111"/>
      <x:c r="E26" s="111"/>
      <x:c r="F26" s="111"/>
      <x:c r="G26" s="111"/>
      <x:c r="H26" s="111"/>
      <x:c r="I26" s="111"/>
      <x:c r="J26" s="111"/>
      <x:c r="K26" s="111"/>
      <x:c r="L26" s="111"/>
      <x:c r="M26" s="111"/>
      <x:c r="N26" s="111"/>
      <x:c r="O26" s="111"/>
      <x:c r="P26" s="111"/>
      <x:c r="Q26" s="111"/>
      <x:c r="R26" s="111"/>
      <x:c r="S26" s="111"/>
      <x:c r="T26" s="111"/>
    </x:row>
    <x:row r="27">
      <x:c r="A27" s="111"/>
      <x:c r="B27" s="111"/>
      <x:c r="C27" s="111"/>
      <x:c r="D27" s="111"/>
      <x:c r="E27" s="111"/>
      <x:c r="F27" s="111"/>
      <x:c r="G27" s="111"/>
      <x:c r="H27" s="111"/>
      <x:c r="I27" s="111"/>
      <x:c r="J27" s="111"/>
      <x:c r="K27" s="111"/>
      <x:c r="L27" s="111"/>
      <x:c r="M27" s="111"/>
      <x:c r="N27" s="111"/>
      <x:c r="O27" s="111"/>
      <x:c r="P27" s="111"/>
      <x:c r="Q27" s="111"/>
      <x:c r="R27" s="111"/>
      <x:c r="S27" s="111"/>
      <x:c r="T27" s="111"/>
    </x:row>
    <x:row r="28">
      <x:c r="A28" s="111"/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11"/>
      <x:c r="M28" s="111"/>
      <x:c r="N28" s="111"/>
      <x:c r="O28" s="111"/>
      <x:c r="P28" s="111"/>
      <x:c r="Q28" s="111"/>
      <x:c r="R28" s="111"/>
      <x:c r="S28" s="111"/>
      <x:c r="T28" s="111"/>
    </x:row>
    <x:row r="29">
      <x:c r="A29" s="111"/>
      <x:c r="B29" s="111"/>
      <x:c r="C29" s="111"/>
      <x:c r="D29" s="111"/>
      <x:c r="E29" s="111"/>
      <x:c r="F29" s="111"/>
      <x:c r="G29" s="111"/>
      <x:c r="H29" s="111"/>
      <x:c r="I29" s="111"/>
      <x:c r="J29" s="111"/>
      <x:c r="K29" s="111"/>
      <x:c r="L29" s="111"/>
      <x:c r="M29" s="111"/>
      <x:c r="N29" s="111"/>
      <x:c r="O29" s="111"/>
      <x:c r="P29" s="111"/>
      <x:c r="Q29" s="111"/>
      <x:c r="R29" s="111"/>
      <x:c r="S29" s="111"/>
      <x:c r="T29" s="111"/>
    </x:row>
    <x:row r="30">
      <x:c r="A30" s="111"/>
      <x:c r="B30" s="111"/>
      <x:c r="C30" s="111"/>
      <x:c r="D30" s="111"/>
      <x:c r="E30" s="111"/>
      <x:c r="F30" s="111"/>
      <x:c r="G30" s="111"/>
      <x:c r="H30" s="111"/>
      <x:c r="I30" s="111"/>
      <x:c r="J30" s="111"/>
      <x:c r="K30" s="111"/>
      <x:c r="L30" s="111"/>
      <x:c r="M30" s="111"/>
      <x:c r="N30" s="111"/>
      <x:c r="O30" s="111"/>
      <x:c r="P30" s="111"/>
      <x:c r="Q30" s="111"/>
      <x:c r="R30" s="111"/>
      <x:c r="S30" s="111"/>
      <x:c r="T30" s="111"/>
    </x:row>
    <x:row r="31">
      <x:c r="A31" s="111"/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11"/>
      <x:c r="M31" s="111"/>
      <x:c r="N31" s="111"/>
      <x:c r="O31" s="111"/>
      <x:c r="P31" s="111"/>
      <x:c r="Q31" s="111"/>
      <x:c r="R31" s="111"/>
      <x:c r="S31" s="111"/>
      <x:c r="T31" s="111"/>
    </x:row>
    <x:row r="32">
      <x:c r="A32" s="111"/>
      <x:c r="B32" s="111"/>
      <x:c r="C32" s="111"/>
      <x:c r="D32" s="111"/>
      <x:c r="E32" s="111"/>
      <x:c r="F32" s="111"/>
      <x:c r="G32" s="111"/>
      <x:c r="H32" s="111"/>
      <x:c r="I32" s="111"/>
      <x:c r="J32" s="111"/>
      <x:c r="K32" s="111"/>
      <x:c r="L32" s="111"/>
      <x:c r="M32" s="111"/>
      <x:c r="N32" s="111"/>
      <x:c r="O32" s="111"/>
      <x:c r="P32" s="111"/>
      <x:c r="Q32" s="111"/>
      <x:c r="R32" s="111"/>
      <x:c r="S32" s="111"/>
      <x:c r="T32" s="111"/>
    </x:row>
    <x:row r="33">
      <x:c r="A33" s="111"/>
      <x:c r="B33" s="111"/>
      <x:c r="C33" s="111"/>
      <x:c r="D33" s="111"/>
      <x:c r="E33" s="111"/>
      <x:c r="F33" s="111"/>
      <x:c r="G33" s="111"/>
      <x:c r="H33" s="111"/>
      <x:c r="I33" s="111"/>
      <x:c r="J33" s="111"/>
      <x:c r="K33" s="111"/>
      <x:c r="L33" s="111"/>
      <x:c r="M33" s="111"/>
      <x:c r="N33" s="111"/>
      <x:c r="O33" s="111"/>
      <x:c r="P33" s="111"/>
      <x:c r="Q33" s="111"/>
      <x:c r="R33" s="111"/>
      <x:c r="S33" s="111"/>
      <x:c r="T33" s="111"/>
    </x:row>
    <x:row r="34">
      <x:c r="A34" s="111"/>
      <x:c r="B34" s="111"/>
      <x:c r="C34" s="111"/>
      <x:c r="D34" s="111"/>
      <x:c r="E34" s="111"/>
      <x:c r="F34" s="111"/>
      <x:c r="G34" s="111"/>
      <x:c r="H34" s="111"/>
      <x:c r="I34" s="111"/>
      <x:c r="J34" s="111"/>
      <x:c r="K34" s="111"/>
      <x:c r="L34" s="111"/>
      <x:c r="M34" s="111"/>
      <x:c r="N34" s="111"/>
      <x:c r="O34" s="111"/>
      <x:c r="P34" s="111"/>
      <x:c r="Q34" s="111"/>
      <x:c r="R34" s="111"/>
      <x:c r="S34" s="111"/>
      <x:c r="T34" s="111"/>
    </x:row>
    <x:row r="35">
      <x:c r="A35" s="111"/>
      <x:c r="B35" s="111"/>
      <x:c r="C35" s="111"/>
      <x:c r="D35" s="111"/>
      <x:c r="E35" s="111"/>
      <x:c r="F35" s="111"/>
      <x:c r="G35" s="111"/>
      <x:c r="H35" s="111"/>
      <x:c r="I35" s="111"/>
      <x:c r="J35" s="111"/>
      <x:c r="K35" s="111"/>
      <x:c r="L35" s="111"/>
      <x:c r="M35" s="111"/>
      <x:c r="N35" s="111"/>
      <x:c r="O35" s="111"/>
      <x:c r="P35" s="111"/>
      <x:c r="Q35" s="111"/>
      <x:c r="R35" s="111"/>
      <x:c r="S35" s="111"/>
      <x:c r="T35" s="111"/>
    </x:row>
    <x:row r="36">
      <x:c r="A36" s="111"/>
      <x:c r="B36" s="111"/>
      <x:c r="C36" s="111"/>
      <x:c r="D36" s="111"/>
      <x:c r="E36" s="111"/>
      <x:c r="F36" s="111"/>
      <x:c r="G36" s="111"/>
      <x:c r="H36" s="111"/>
      <x:c r="I36" s="111"/>
      <x:c r="J36" s="111"/>
      <x:c r="K36" s="111"/>
      <x:c r="L36" s="111"/>
      <x:c r="M36" s="111"/>
      <x:c r="N36" s="111"/>
      <x:c r="O36" s="111"/>
      <x:c r="P36" s="111"/>
      <x:c r="Q36" s="111"/>
      <x:c r="R36" s="111"/>
      <x:c r="S36" s="111"/>
      <x:c r="T36" s="111"/>
    </x:row>
    <x:row r="37">
      <x:c r="A37" s="111"/>
      <x:c r="B37" s="111"/>
      <x:c r="C37" s="111"/>
      <x:c r="D37" s="111"/>
      <x:c r="E37" s="111"/>
      <x:c r="F37" s="111"/>
      <x:c r="G37" s="111"/>
      <x:c r="H37" s="111"/>
      <x:c r="I37" s="111"/>
      <x:c r="J37" s="111"/>
      <x:c r="K37" s="111"/>
      <x:c r="L37" s="111"/>
      <x:c r="M37" s="111"/>
      <x:c r="N37" s="111"/>
      <x:c r="O37" s="111"/>
      <x:c r="P37" s="111"/>
      <x:c r="Q37" s="111"/>
      <x:c r="R37" s="111"/>
      <x:c r="S37" s="111"/>
      <x:c r="T37" s="111"/>
    </x:row>
    <x:row r="38">
      <x:c r="A38" s="111"/>
      <x:c r="B38" s="111"/>
      <x:c r="C38" s="111"/>
      <x:c r="D38" s="111"/>
      <x:c r="E38" s="111"/>
      <x:c r="F38" s="111"/>
      <x:c r="G38" s="111"/>
      <x:c r="H38" s="111"/>
      <x:c r="I38" s="111"/>
      <x:c r="J38" s="111"/>
      <x:c r="K38" s="111"/>
      <x:c r="L38" s="111"/>
      <x:c r="M38" s="111"/>
      <x:c r="N38" s="111"/>
      <x:c r="O38" s="111"/>
      <x:c r="P38" s="111"/>
      <x:c r="Q38" s="111"/>
      <x:c r="R38" s="111"/>
      <x:c r="S38" s="111"/>
      <x:c r="T38" s="111"/>
    </x:row>
    <x:row r="39">
      <x:c r="A39" s="111"/>
      <x:c r="B39" s="111"/>
      <x:c r="C39" s="111"/>
      <x:c r="D39" s="111"/>
      <x:c r="E39" s="111"/>
      <x:c r="F39" s="111"/>
      <x:c r="G39" s="111"/>
      <x:c r="H39" s="111"/>
      <x:c r="I39" s="111"/>
      <x:c r="J39" s="111"/>
      <x:c r="K39" s="111"/>
      <x:c r="L39" s="111"/>
      <x:c r="M39" s="111"/>
      <x:c r="N39" s="111"/>
      <x:c r="O39" s="111"/>
      <x:c r="P39" s="111"/>
      <x:c r="Q39" s="111"/>
      <x:c r="R39" s="111"/>
      <x:c r="S39" s="111"/>
      <x:c r="T39" s="111"/>
    </x:row>
    <x:row r="40">
      <x:c r="A40" s="111"/>
      <x:c r="B40" s="111"/>
      <x:c r="C40" s="111"/>
      <x:c r="D40" s="111"/>
      <x:c r="E40" s="111"/>
      <x:c r="F40" s="111"/>
      <x:c r="G40" s="111"/>
      <x:c r="H40" s="111"/>
      <x:c r="I40" s="111"/>
      <x:c r="J40" s="111"/>
      <x:c r="K40" s="111"/>
      <x:c r="L40" s="111"/>
      <x:c r="M40" s="111"/>
      <x:c r="N40" s="111"/>
      <x:c r="O40" s="111"/>
      <x:c r="P40" s="111"/>
      <x:c r="Q40" s="111"/>
      <x:c r="R40" s="111"/>
      <x:c r="S40" s="111"/>
      <x:c r="T40" s="111"/>
    </x:row>
    <x:row r="41">
      <x:c r="A41" s="111"/>
      <x:c r="B41" s="111"/>
      <x:c r="C41" s="111"/>
      <x:c r="D41" s="111"/>
      <x:c r="E41" s="111"/>
      <x:c r="F41" s="111"/>
      <x:c r="G41" s="111"/>
      <x:c r="H41" s="111"/>
      <x:c r="I41" s="111"/>
      <x:c r="J41" s="111"/>
      <x:c r="K41" s="111"/>
      <x:c r="L41" s="111"/>
      <x:c r="M41" s="111"/>
      <x:c r="N41" s="111"/>
      <x:c r="O41" s="111"/>
      <x:c r="P41" s="111"/>
      <x:c r="Q41" s="111"/>
      <x:c r="R41" s="111"/>
      <x:c r="S41" s="111"/>
      <x:c r="T41" s="111"/>
    </x:row>
    <x:row r="42">
      <x:c r="A42" s="111"/>
      <x:c r="B42" s="111"/>
      <x:c r="C42" s="111"/>
      <x:c r="D42" s="111"/>
      <x:c r="E42" s="111"/>
      <x:c r="F42" s="111"/>
      <x:c r="G42" s="111"/>
      <x:c r="H42" s="111"/>
      <x:c r="I42" s="111"/>
      <x:c r="J42" s="111"/>
      <x:c r="K42" s="111"/>
      <x:c r="L42" s="111"/>
      <x:c r="M42" s="111"/>
      <x:c r="N42" s="111"/>
      <x:c r="O42" s="111"/>
      <x:c r="P42" s="111"/>
      <x:c r="Q42" s="111"/>
      <x:c r="R42" s="111"/>
      <x:c r="S42" s="111"/>
      <x:c r="T42" s="111"/>
    </x:row>
    <x:row r="43">
      <x:c r="A43" s="111"/>
      <x:c r="B43" s="111"/>
      <x:c r="C43" s="111"/>
      <x:c r="D43" s="111"/>
      <x:c r="E43" s="111"/>
      <x:c r="F43" s="111"/>
      <x:c r="G43" s="111"/>
      <x:c r="H43" s="111"/>
      <x:c r="I43" s="111"/>
      <x:c r="J43" s="111"/>
      <x:c r="K43" s="111"/>
      <x:c r="L43" s="111"/>
      <x:c r="M43" s="111"/>
      <x:c r="N43" s="111"/>
      <x:c r="O43" s="111"/>
      <x:c r="P43" s="111"/>
      <x:c r="Q43" s="111"/>
      <x:c r="R43" s="111"/>
      <x:c r="S43" s="111"/>
      <x:c r="T43" s="111"/>
    </x:row>
    <x:row r="44">
      <x:c r="A44" s="111"/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1"/>
      <x:c r="P44" s="111"/>
      <x:c r="Q44" s="111"/>
      <x:c r="R44" s="111"/>
      <x:c r="S44" s="111"/>
      <x:c r="T44" s="111"/>
    </x:row>
    <x:row r="45">
      <x:c r="A45" s="111"/>
      <x:c r="B45" s="111"/>
      <x:c r="C45" s="111"/>
      <x:c r="D45" s="111"/>
      <x:c r="E45" s="111"/>
      <x:c r="F45" s="111"/>
      <x:c r="G45" s="111"/>
      <x:c r="H45" s="111"/>
      <x:c r="I45" s="111"/>
      <x:c r="J45" s="111"/>
      <x:c r="K45" s="111"/>
      <x:c r="L45" s="111"/>
      <x:c r="M45" s="111"/>
      <x:c r="N45" s="111"/>
      <x:c r="O45" s="111"/>
      <x:c r="P45" s="111"/>
      <x:c r="Q45" s="111"/>
      <x:c r="R45" s="111"/>
      <x:c r="S45" s="111"/>
      <x:c r="T45" s="111"/>
    </x:row>
    <x:row r="46">
      <x:c r="A46" s="111"/>
      <x:c r="B46" s="111"/>
      <x:c r="C46" s="111"/>
      <x:c r="D46" s="111"/>
      <x:c r="E46" s="111"/>
      <x:c r="F46" s="111"/>
      <x:c r="G46" s="111"/>
      <x:c r="H46" s="111"/>
      <x:c r="I46" s="111"/>
      <x:c r="J46" s="111"/>
      <x:c r="K46" s="111"/>
      <x:c r="L46" s="111"/>
      <x:c r="M46" s="111"/>
      <x:c r="N46" s="111"/>
      <x:c r="O46" s="111"/>
      <x:c r="P46" s="111"/>
      <x:c r="Q46" s="111"/>
      <x:c r="R46" s="111"/>
      <x:c r="S46" s="111"/>
      <x:c r="T46" s="111"/>
    </x:row>
    <x:row r="47">
      <x:c r="A47" s="111"/>
      <x:c r="B47" s="111"/>
      <x:c r="C47" s="111"/>
      <x:c r="D47" s="111"/>
      <x:c r="E47" s="111"/>
      <x:c r="F47" s="111"/>
      <x:c r="G47" s="111"/>
      <x:c r="H47" s="111"/>
      <x:c r="I47" s="111"/>
      <x:c r="J47" s="111"/>
      <x:c r="K47" s="111"/>
      <x:c r="L47" s="111"/>
      <x:c r="M47" s="111"/>
      <x:c r="N47" s="111"/>
      <x:c r="O47" s="111"/>
      <x:c r="P47" s="111"/>
      <x:c r="Q47" s="111"/>
      <x:c r="R47" s="111"/>
      <x:c r="S47" s="111"/>
      <x:c r="T47" s="111"/>
    </x:row>
    <x:row r="48">
      <x:c r="A48" s="111"/>
      <x:c r="B48" s="111"/>
      <x:c r="C48" s="111"/>
      <x:c r="D48" s="111"/>
      <x:c r="E48" s="111"/>
      <x:c r="F48" s="111"/>
      <x:c r="G48" s="111"/>
      <x:c r="H48" s="111"/>
      <x:c r="I48" s="111"/>
      <x:c r="J48" s="111"/>
      <x:c r="K48" s="111"/>
      <x:c r="L48" s="111"/>
      <x:c r="M48" s="111"/>
      <x:c r="N48" s="111"/>
      <x:c r="O48" s="111"/>
      <x:c r="P48" s="111"/>
      <x:c r="Q48" s="111"/>
      <x:c r="R48" s="111"/>
      <x:c r="S48" s="111"/>
      <x:c r="T48" s="111"/>
    </x:row>
    <x:row r="49">
      <x:c r="A49" s="111"/>
      <x:c r="B49" s="111"/>
      <x:c r="C49" s="111"/>
      <x:c r="D49" s="111"/>
      <x:c r="E49" s="111"/>
      <x:c r="F49" s="111"/>
      <x:c r="G49" s="111"/>
      <x:c r="H49" s="111"/>
      <x:c r="I49" s="111"/>
      <x:c r="J49" s="111"/>
      <x:c r="K49" s="111"/>
      <x:c r="L49" s="111"/>
      <x:c r="M49" s="111"/>
      <x:c r="N49" s="111"/>
      <x:c r="O49" s="111"/>
      <x:c r="P49" s="111"/>
      <x:c r="Q49" s="111"/>
      <x:c r="R49" s="111"/>
      <x:c r="S49" s="111"/>
      <x:c r="T49" s="111"/>
    </x:row>
    <x:row r="50">
      <x:c r="A50" s="111"/>
      <x:c r="B50" s="111"/>
      <x:c r="C50" s="111"/>
      <x:c r="D50" s="111"/>
      <x:c r="E50" s="111"/>
      <x:c r="F50" s="111"/>
      <x:c r="G50" s="111"/>
      <x:c r="H50" s="111"/>
      <x:c r="I50" s="111"/>
      <x:c r="J50" s="111"/>
      <x:c r="K50" s="111"/>
      <x:c r="L50" s="111"/>
      <x:c r="M50" s="111"/>
      <x:c r="N50" s="111"/>
      <x:c r="O50" s="111"/>
      <x:c r="P50" s="111"/>
      <x:c r="Q50" s="111"/>
      <x:c r="R50" s="111"/>
      <x:c r="S50" s="111"/>
      <x:c r="T50" s="111"/>
    </x:row>
    <x:row r="51">
      <x:c r="A51" s="111"/>
      <x:c r="B51" s="111"/>
      <x:c r="C51" s="111"/>
      <x:c r="D51" s="111"/>
      <x:c r="E51" s="111"/>
      <x:c r="F51" s="111"/>
      <x:c r="G51" s="111"/>
      <x:c r="H51" s="111"/>
      <x:c r="I51" s="111"/>
      <x:c r="J51" s="111"/>
      <x:c r="K51" s="111"/>
      <x:c r="L51" s="111"/>
      <x:c r="M51" s="111"/>
      <x:c r="N51" s="111"/>
      <x:c r="O51" s="111"/>
      <x:c r="P51" s="111"/>
      <x:c r="Q51" s="111"/>
      <x:c r="R51" s="111"/>
      <x:c r="S51" s="111"/>
      <x:c r="T51" s="111"/>
    </x:row>
    <x:row r="52">
      <x:c r="A52" s="111"/>
      <x:c r="B52" s="111"/>
      <x:c r="C52" s="111"/>
      <x:c r="D52" s="111"/>
      <x:c r="E52" s="111"/>
      <x:c r="F52" s="111"/>
      <x:c r="G52" s="111"/>
      <x:c r="H52" s="111"/>
      <x:c r="I52" s="111"/>
      <x:c r="J52" s="111"/>
      <x:c r="K52" s="111"/>
      <x:c r="L52" s="111"/>
      <x:c r="M52" s="111"/>
      <x:c r="N52" s="111"/>
      <x:c r="O52" s="111"/>
      <x:c r="P52" s="111"/>
      <x:c r="Q52" s="111"/>
      <x:c r="R52" s="111"/>
      <x:c r="S52" s="111"/>
      <x:c r="T52" s="111"/>
    </x:row>
    <x:row r="53">
      <x:c r="A53" s="111"/>
      <x:c r="B53" s="111"/>
      <x:c r="C53" s="111"/>
      <x:c r="D53" s="111"/>
      <x:c r="E53" s="111"/>
      <x:c r="F53" s="111"/>
      <x:c r="G53" s="111"/>
      <x:c r="H53" s="111"/>
      <x:c r="I53" s="111"/>
      <x:c r="J53" s="111"/>
      <x:c r="K53" s="111"/>
      <x:c r="L53" s="111"/>
      <x:c r="M53" s="111"/>
      <x:c r="N53" s="111"/>
      <x:c r="O53" s="111"/>
      <x:c r="P53" s="111"/>
      <x:c r="Q53" s="111"/>
      <x:c r="R53" s="111"/>
      <x:c r="S53" s="111"/>
      <x:c r="T53" s="111"/>
    </x:row>
    <x:row r="54">
      <x:c r="A54" s="111"/>
      <x:c r="B54" s="111"/>
      <x:c r="C54" s="111"/>
      <x:c r="D54" s="111"/>
      <x:c r="E54" s="111"/>
      <x:c r="F54" s="111"/>
      <x:c r="G54" s="111"/>
      <x:c r="H54" s="111"/>
      <x:c r="I54" s="111"/>
      <x:c r="J54" s="111"/>
      <x:c r="K54" s="111"/>
      <x:c r="L54" s="111"/>
      <x:c r="M54" s="111"/>
      <x:c r="N54" s="111"/>
      <x:c r="O54" s="111"/>
      <x:c r="P54" s="111"/>
      <x:c r="Q54" s="111"/>
      <x:c r="R54" s="111"/>
      <x:c r="S54" s="111"/>
      <x:c r="T54" s="111"/>
    </x:row>
    <x:row r="55">
      <x:c r="A55" s="111"/>
      <x:c r="B55" s="111"/>
      <x:c r="C55" s="111"/>
      <x:c r="D55" s="111"/>
      <x:c r="E55" s="111"/>
      <x:c r="F55" s="111"/>
      <x:c r="G55" s="111"/>
      <x:c r="H55" s="111"/>
      <x:c r="I55" s="111"/>
      <x:c r="J55" s="111"/>
      <x:c r="K55" s="111"/>
      <x:c r="L55" s="111"/>
      <x:c r="M55" s="111"/>
      <x:c r="N55" s="111"/>
      <x:c r="O55" s="111"/>
      <x:c r="P55" s="111"/>
      <x:c r="Q55" s="111"/>
      <x:c r="R55" s="111"/>
      <x:c r="S55" s="111"/>
      <x:c r="T55" s="111"/>
    </x:row>
    <x:row r="56">
      <x:c r="A56" s="111"/>
      <x:c r="B56" s="111"/>
      <x:c r="C56" s="111"/>
      <x:c r="D56" s="111"/>
      <x:c r="E56" s="111"/>
      <x:c r="F56" s="111"/>
      <x:c r="G56" s="111"/>
      <x:c r="H56" s="111"/>
      <x:c r="I56" s="111"/>
      <x:c r="J56" s="111"/>
      <x:c r="K56" s="111"/>
      <x:c r="L56" s="111"/>
      <x:c r="M56" s="111"/>
      <x:c r="N56" s="111"/>
      <x:c r="O56" s="111"/>
      <x:c r="P56" s="111"/>
      <x:c r="Q56" s="111"/>
      <x:c r="R56" s="111"/>
      <x:c r="S56" s="111"/>
      <x:c r="T56" s="111"/>
    </x:row>
    <x:row r="57">
      <x:c r="A57" s="111"/>
      <x:c r="B57" s="111"/>
      <x:c r="C57" s="111"/>
      <x:c r="D57" s="111"/>
      <x:c r="E57" s="111"/>
      <x:c r="F57" s="111"/>
      <x:c r="G57" s="111"/>
      <x:c r="H57" s="111"/>
      <x:c r="I57" s="111"/>
      <x:c r="J57" s="111"/>
      <x:c r="K57" s="111"/>
      <x:c r="L57" s="111"/>
      <x:c r="M57" s="111"/>
      <x:c r="N57" s="111"/>
      <x:c r="O57" s="111"/>
      <x:c r="P57" s="111"/>
      <x:c r="Q57" s="111"/>
      <x:c r="R57" s="111"/>
      <x:c r="S57" s="111"/>
      <x:c r="T57" s="111"/>
    </x:row>
    <x:row r="58">
      <x:c r="A58" s="111"/>
      <x:c r="B58" s="111"/>
      <x:c r="C58" s="111"/>
      <x:c r="D58" s="111"/>
      <x:c r="E58" s="111"/>
      <x:c r="F58" s="111"/>
      <x:c r="G58" s="111"/>
      <x:c r="H58" s="111"/>
      <x:c r="I58" s="111"/>
      <x:c r="J58" s="111"/>
      <x:c r="K58" s="111"/>
      <x:c r="L58" s="111"/>
      <x:c r="M58" s="111"/>
      <x:c r="N58" s="111"/>
      <x:c r="O58" s="111"/>
      <x:c r="P58" s="111"/>
      <x:c r="Q58" s="111"/>
      <x:c r="R58" s="111"/>
      <x:c r="S58" s="111"/>
      <x:c r="T58" s="111"/>
    </x:row>
    <x:row r="59">
      <x:c r="A59" s="111"/>
      <x:c r="B59" s="111"/>
      <x:c r="C59" s="111"/>
      <x:c r="D59" s="111"/>
      <x:c r="E59" s="111"/>
      <x:c r="F59" s="111"/>
      <x:c r="G59" s="111"/>
      <x:c r="H59" s="111"/>
      <x:c r="I59" s="111"/>
      <x:c r="J59" s="111"/>
      <x:c r="K59" s="111"/>
      <x:c r="L59" s="111"/>
      <x:c r="M59" s="111"/>
      <x:c r="N59" s="111"/>
      <x:c r="O59" s="111"/>
      <x:c r="P59" s="111"/>
      <x:c r="Q59" s="111"/>
      <x:c r="R59" s="111"/>
      <x:c r="S59" s="111"/>
      <x:c r="T59" s="111"/>
    </x:row>
    <x:row r="60">
      <x:c r="A60" s="111"/>
      <x:c r="B60" s="111"/>
      <x:c r="C60" s="111"/>
      <x:c r="D60" s="111"/>
      <x:c r="E60" s="111"/>
      <x:c r="F60" s="111"/>
      <x:c r="G60" s="111"/>
      <x:c r="H60" s="111"/>
      <x:c r="I60" s="111"/>
      <x:c r="J60" s="111"/>
      <x:c r="K60" s="111"/>
      <x:c r="L60" s="111"/>
      <x:c r="M60" s="111"/>
      <x:c r="N60" s="111"/>
      <x:c r="O60" s="111"/>
      <x:c r="P60" s="111"/>
      <x:c r="Q60" s="111"/>
      <x:c r="R60" s="111"/>
      <x:c r="S60" s="111"/>
      <x:c r="T60" s="111"/>
    </x:row>
    <x:row r="61">
      <x:c r="A61" s="111"/>
      <x:c r="B61" s="111"/>
      <x:c r="C61" s="111"/>
      <x:c r="D61" s="111"/>
      <x:c r="E61" s="111"/>
      <x:c r="F61" s="111"/>
      <x:c r="G61" s="111"/>
      <x:c r="H61" s="111"/>
      <x:c r="I61" s="111"/>
      <x:c r="J61" s="111"/>
      <x:c r="K61" s="111"/>
      <x:c r="L61" s="111"/>
      <x:c r="M61" s="111"/>
      <x:c r="N61" s="111"/>
      <x:c r="O61" s="111"/>
      <x:c r="P61" s="111"/>
      <x:c r="Q61" s="111"/>
      <x:c r="R61" s="111"/>
      <x:c r="S61" s="111"/>
      <x:c r="T61" s="111"/>
    </x:row>
    <x:row r="62">
      <x:c r="A62" s="111"/>
      <x:c r="B62" s="111"/>
      <x:c r="C62" s="111"/>
      <x:c r="D62" s="111"/>
      <x:c r="E62" s="111"/>
      <x:c r="F62" s="111"/>
      <x:c r="G62" s="111"/>
      <x:c r="H62" s="111"/>
      <x:c r="I62" s="111"/>
      <x:c r="J62" s="111"/>
      <x:c r="K62" s="111"/>
      <x:c r="L62" s="111"/>
      <x:c r="M62" s="111"/>
      <x:c r="N62" s="111"/>
      <x:c r="O62" s="111"/>
      <x:c r="P62" s="111"/>
      <x:c r="Q62" s="111"/>
      <x:c r="R62" s="111"/>
      <x:c r="S62" s="111"/>
      <x:c r="T62" s="111"/>
    </x:row>
    <x:row r="63">
      <x:c r="A63" s="111"/>
      <x:c r="B63" s="111"/>
      <x:c r="C63" s="111"/>
      <x:c r="D63" s="111"/>
      <x:c r="E63" s="111"/>
      <x:c r="F63" s="111"/>
      <x:c r="G63" s="111"/>
      <x:c r="H63" s="111"/>
      <x:c r="I63" s="111"/>
      <x:c r="J63" s="111"/>
      <x:c r="K63" s="111"/>
      <x:c r="L63" s="111"/>
      <x:c r="M63" s="111"/>
      <x:c r="N63" s="111"/>
      <x:c r="O63" s="111"/>
      <x:c r="P63" s="111"/>
      <x:c r="Q63" s="111"/>
      <x:c r="R63" s="111"/>
      <x:c r="S63" s="111"/>
      <x:c r="T63" s="111"/>
    </x:row>
    <x:row r="64">
      <x:c r="A64" s="111"/>
      <x:c r="B64" s="111"/>
      <x:c r="C64" s="111"/>
      <x:c r="D64" s="111"/>
      <x:c r="E64" s="111"/>
      <x:c r="F64" s="111"/>
      <x:c r="G64" s="111"/>
      <x:c r="H64" s="111"/>
      <x:c r="I64" s="111"/>
      <x:c r="J64" s="111"/>
      <x:c r="K64" s="111"/>
      <x:c r="L64" s="111"/>
      <x:c r="M64" s="111"/>
      <x:c r="N64" s="111"/>
      <x:c r="O64" s="111"/>
      <x:c r="P64" s="111"/>
      <x:c r="Q64" s="111"/>
      <x:c r="R64" s="111"/>
      <x:c r="S64" s="111"/>
      <x:c r="T64" s="111"/>
    </x:row>
    <x:row r="65">
      <x:c r="A65" s="111"/>
      <x:c r="B65" s="111"/>
      <x:c r="C65" s="111"/>
      <x:c r="D65" s="111"/>
      <x:c r="E65" s="111"/>
      <x:c r="F65" s="111"/>
      <x:c r="G65" s="111"/>
      <x:c r="H65" s="111"/>
      <x:c r="I65" s="111"/>
      <x:c r="J65" s="111"/>
      <x:c r="K65" s="111"/>
      <x:c r="L65" s="111"/>
      <x:c r="M65" s="111"/>
      <x:c r="N65" s="111"/>
      <x:c r="O65" s="111"/>
      <x:c r="P65" s="111"/>
      <x:c r="Q65" s="111"/>
      <x:c r="R65" s="111"/>
      <x:c r="S65" s="111"/>
      <x:c r="T65" s="111"/>
    </x:row>
    <x:row r="66">
      <x:c r="A66" s="111"/>
      <x:c r="B66" s="111"/>
      <x:c r="C66" s="111"/>
      <x:c r="D66" s="111"/>
      <x:c r="E66" s="111"/>
      <x:c r="F66" s="111"/>
      <x:c r="G66" s="111"/>
      <x:c r="H66" s="111"/>
      <x:c r="I66" s="111"/>
      <x:c r="J66" s="111"/>
      <x:c r="K66" s="111"/>
      <x:c r="L66" s="111"/>
      <x:c r="M66" s="111"/>
      <x:c r="N66" s="111"/>
      <x:c r="O66" s="111"/>
      <x:c r="P66" s="111"/>
      <x:c r="Q66" s="111"/>
      <x:c r="R66" s="111"/>
      <x:c r="S66" s="111"/>
      <x:c r="T66" s="111"/>
    </x:row>
    <x:row r="67">
      <x:c r="A67" s="111"/>
      <x:c r="B67" s="111"/>
      <x:c r="C67" s="111"/>
      <x:c r="D67" s="111"/>
      <x:c r="E67" s="111"/>
      <x:c r="F67" s="111"/>
      <x:c r="G67" s="111"/>
      <x:c r="H67" s="111"/>
      <x:c r="I67" s="111"/>
      <x:c r="J67" s="111"/>
      <x:c r="K67" s="111"/>
      <x:c r="L67" s="111"/>
      <x:c r="M67" s="111"/>
      <x:c r="N67" s="111"/>
      <x:c r="O67" s="111"/>
      <x:c r="P67" s="111"/>
      <x:c r="Q67" s="111"/>
      <x:c r="R67" s="111"/>
      <x:c r="S67" s="111"/>
      <x:c r="T67" s="111"/>
    </x:row>
    <x:row r="68">
      <x:c r="A68" s="111"/>
      <x:c r="B68" s="111"/>
      <x:c r="C68" s="111"/>
      <x:c r="D68" s="111"/>
      <x:c r="E68" s="111"/>
      <x:c r="F68" s="111"/>
      <x:c r="G68" s="111"/>
      <x:c r="H68" s="111"/>
      <x:c r="I68" s="111"/>
      <x:c r="J68" s="111"/>
      <x:c r="K68" s="111"/>
      <x:c r="L68" s="111"/>
      <x:c r="M68" s="111"/>
      <x:c r="N68" s="111"/>
      <x:c r="O68" s="111"/>
      <x:c r="P68" s="111"/>
      <x:c r="Q68" s="111"/>
      <x:c r="R68" s="111"/>
      <x:c r="S68" s="111"/>
      <x:c r="T68" s="111"/>
    </x:row>
    <x:row r="69">
      <x:c r="A69" s="111"/>
      <x:c r="B69" s="111"/>
      <x:c r="C69" s="111"/>
      <x:c r="D69" s="111"/>
      <x:c r="E69" s="111"/>
      <x:c r="F69" s="111"/>
      <x:c r="G69" s="111"/>
      <x:c r="H69" s="111"/>
      <x:c r="I69" s="111"/>
      <x:c r="J69" s="111"/>
      <x:c r="K69" s="111"/>
      <x:c r="L69" s="111"/>
      <x:c r="M69" s="111"/>
      <x:c r="N69" s="111"/>
      <x:c r="O69" s="111"/>
      <x:c r="P69" s="111"/>
      <x:c r="Q69" s="111"/>
      <x:c r="R69" s="111"/>
      <x:c r="S69" s="111"/>
      <x:c r="T69" s="111"/>
    </x:row>
    <x:row r="70">
      <x:c r="A70" s="111"/>
      <x:c r="B70" s="111"/>
      <x:c r="C70" s="111"/>
      <x:c r="D70" s="111"/>
      <x:c r="E70" s="111"/>
      <x:c r="F70" s="111"/>
      <x:c r="G70" s="111"/>
      <x:c r="H70" s="111"/>
      <x:c r="I70" s="111"/>
      <x:c r="J70" s="111"/>
      <x:c r="K70" s="111"/>
      <x:c r="L70" s="111"/>
      <x:c r="M70" s="111"/>
      <x:c r="N70" s="111"/>
      <x:c r="O70" s="111"/>
      <x:c r="P70" s="111"/>
      <x:c r="Q70" s="111"/>
      <x:c r="R70" s="111"/>
      <x:c r="S70" s="111"/>
      <x:c r="T70" s="111"/>
    </x:row>
    <x:row r="71">
      <x:c r="A71" s="111"/>
      <x:c r="B71" s="111"/>
      <x:c r="C71" s="111"/>
      <x:c r="D71" s="111"/>
      <x:c r="E71" s="111"/>
      <x:c r="F71" s="111"/>
      <x:c r="G71" s="111"/>
      <x:c r="H71" s="111"/>
      <x:c r="I71" s="111"/>
      <x:c r="J71" s="111"/>
      <x:c r="K71" s="111"/>
      <x:c r="L71" s="111"/>
      <x:c r="M71" s="111"/>
      <x:c r="N71" s="111"/>
      <x:c r="O71" s="111"/>
      <x:c r="P71" s="111"/>
      <x:c r="Q71" s="111"/>
      <x:c r="R71" s="111"/>
      <x:c r="S71" s="111"/>
      <x:c r="T71" s="111"/>
    </x:row>
    <x:row r="72">
      <x:c r="A72" s="111"/>
      <x:c r="B72" s="111"/>
      <x:c r="C72" s="111"/>
      <x:c r="D72" s="111"/>
      <x:c r="E72" s="111"/>
      <x:c r="F72" s="111"/>
      <x:c r="G72" s="111"/>
      <x:c r="H72" s="111"/>
      <x:c r="I72" s="111"/>
      <x:c r="J72" s="111"/>
      <x:c r="K72" s="111"/>
      <x:c r="L72" s="111"/>
      <x:c r="M72" s="111"/>
      <x:c r="N72" s="111"/>
      <x:c r="O72" s="111"/>
      <x:c r="P72" s="111"/>
      <x:c r="Q72" s="111"/>
      <x:c r="R72" s="111"/>
      <x:c r="S72" s="111"/>
      <x:c r="T72" s="111"/>
    </x:row>
    <x:row r="73">
      <x:c r="A73" s="111"/>
      <x:c r="B73" s="111"/>
      <x:c r="C73" s="111"/>
      <x:c r="D73" s="111"/>
      <x:c r="E73" s="111"/>
      <x:c r="F73" s="111"/>
      <x:c r="G73" s="111"/>
      <x:c r="H73" s="111"/>
      <x:c r="I73" s="111"/>
      <x:c r="J73" s="111"/>
      <x:c r="K73" s="111"/>
      <x:c r="L73" s="111"/>
      <x:c r="M73" s="111"/>
      <x:c r="N73" s="111"/>
      <x:c r="O73" s="111"/>
      <x:c r="P73" s="111"/>
      <x:c r="Q73" s="111"/>
      <x:c r="R73" s="111"/>
      <x:c r="S73" s="111"/>
      <x:c r="T73" s="111"/>
    </x:row>
    <x:row r="74">
      <x:c r="A74" s="111"/>
      <x:c r="B74" s="111"/>
      <x:c r="C74" s="111"/>
      <x:c r="D74" s="111"/>
      <x:c r="E74" s="111"/>
      <x:c r="F74" s="111"/>
      <x:c r="G74" s="111"/>
      <x:c r="H74" s="111"/>
      <x:c r="I74" s="111"/>
      <x:c r="J74" s="111"/>
      <x:c r="K74" s="111"/>
      <x:c r="L74" s="111"/>
      <x:c r="M74" s="111"/>
      <x:c r="N74" s="111"/>
      <x:c r="O74" s="111"/>
      <x:c r="P74" s="111"/>
      <x:c r="Q74" s="111"/>
      <x:c r="R74" s="111"/>
      <x:c r="S74" s="111"/>
      <x:c r="T74" s="111"/>
    </x:row>
    <x:row r="75">
      <x:c r="A75" s="111"/>
      <x:c r="B75" s="111"/>
      <x:c r="C75" s="111"/>
      <x:c r="D75" s="111"/>
      <x:c r="E75" s="111"/>
      <x:c r="F75" s="111"/>
      <x:c r="G75" s="111"/>
      <x:c r="H75" s="111"/>
      <x:c r="I75" s="111"/>
      <x:c r="J75" s="111"/>
      <x:c r="K75" s="111"/>
      <x:c r="L75" s="111"/>
      <x:c r="M75" s="111"/>
      <x:c r="N75" s="111"/>
      <x:c r="O75" s="111"/>
      <x:c r="P75" s="111"/>
      <x:c r="Q75" s="111"/>
      <x:c r="R75" s="111"/>
      <x:c r="S75" s="111"/>
      <x:c r="T75" s="111"/>
    </x:row>
    <x:row r="76">
      <x:c r="A76" s="111"/>
      <x:c r="B76" s="111"/>
      <x:c r="C76" s="111"/>
      <x:c r="D76" s="111"/>
      <x:c r="E76" s="111"/>
      <x:c r="F76" s="111"/>
      <x:c r="G76" s="111"/>
      <x:c r="H76" s="111"/>
      <x:c r="I76" s="111"/>
      <x:c r="J76" s="111"/>
      <x:c r="K76" s="111"/>
      <x:c r="L76" s="111"/>
      <x:c r="M76" s="111"/>
      <x:c r="N76" s="111"/>
      <x:c r="O76" s="111"/>
      <x:c r="P76" s="111"/>
      <x:c r="Q76" s="111"/>
      <x:c r="R76" s="111"/>
      <x:c r="S76" s="111"/>
      <x:c r="T76" s="111"/>
    </x:row>
    <x:row r="77">
      <x:c r="A77" s="111"/>
      <x:c r="B77" s="111"/>
      <x:c r="C77" s="111"/>
      <x:c r="D77" s="111"/>
      <x:c r="E77" s="111"/>
      <x:c r="F77" s="111"/>
      <x:c r="G77" s="111"/>
      <x:c r="H77" s="111"/>
      <x:c r="I77" s="111"/>
      <x:c r="J77" s="111"/>
      <x:c r="K77" s="111"/>
      <x:c r="L77" s="111"/>
      <x:c r="M77" s="111"/>
      <x:c r="N77" s="111"/>
      <x:c r="O77" s="111"/>
      <x:c r="P77" s="111"/>
      <x:c r="Q77" s="111"/>
      <x:c r="R77" s="111"/>
      <x:c r="S77" s="111"/>
      <x:c r="T77" s="111"/>
    </x:row>
    <x:row r="78">
      <x:c r="A78" s="111"/>
      <x:c r="B78" s="111"/>
      <x:c r="C78" s="111"/>
      <x:c r="D78" s="111"/>
      <x:c r="E78" s="111"/>
      <x:c r="F78" s="111"/>
      <x:c r="G78" s="111"/>
      <x:c r="H78" s="111"/>
      <x:c r="I78" s="111"/>
      <x:c r="J78" s="111"/>
      <x:c r="K78" s="111"/>
      <x:c r="L78" s="111"/>
      <x:c r="M78" s="111"/>
      <x:c r="N78" s="111"/>
      <x:c r="O78" s="111"/>
      <x:c r="P78" s="111"/>
      <x:c r="Q78" s="111"/>
      <x:c r="R78" s="111"/>
      <x:c r="S78" s="111"/>
      <x:c r="T78" s="111"/>
    </x:row>
    <x:row r="79">
      <x:c r="A79" s="111"/>
      <x:c r="B79" s="111"/>
      <x:c r="C79" s="111"/>
      <x:c r="D79" s="111"/>
      <x:c r="E79" s="111"/>
      <x:c r="F79" s="111"/>
      <x:c r="G79" s="111"/>
      <x:c r="H79" s="111"/>
      <x:c r="I79" s="111"/>
      <x:c r="J79" s="111"/>
      <x:c r="K79" s="111"/>
      <x:c r="L79" s="111"/>
      <x:c r="M79" s="111"/>
      <x:c r="N79" s="111"/>
      <x:c r="O79" s="111"/>
      <x:c r="P79" s="111"/>
      <x:c r="Q79" s="111"/>
      <x:c r="R79" s="111"/>
      <x:c r="S79" s="111"/>
      <x:c r="T79" s="111"/>
    </x:row>
    <x:row r="80">
      <x:c r="A80" s="111"/>
      <x:c r="B80" s="111"/>
      <x:c r="C80" s="111"/>
      <x:c r="D80" s="111"/>
      <x:c r="E80" s="111"/>
      <x:c r="F80" s="111"/>
      <x:c r="G80" s="111"/>
      <x:c r="H80" s="111"/>
      <x:c r="I80" s="111"/>
      <x:c r="J80" s="111"/>
      <x:c r="K80" s="111"/>
      <x:c r="L80" s="111"/>
      <x:c r="M80" s="111"/>
      <x:c r="N80" s="111"/>
      <x:c r="O80" s="111"/>
      <x:c r="P80" s="111"/>
      <x:c r="Q80" s="111"/>
      <x:c r="R80" s="111"/>
      <x:c r="S80" s="111"/>
      <x:c r="T80" s="111"/>
    </x:row>
    <x:row r="81">
      <x:c r="A81" s="111"/>
      <x:c r="B81" s="111"/>
      <x:c r="C81" s="111"/>
      <x:c r="D81" s="111"/>
      <x:c r="E81" s="111"/>
      <x:c r="F81" s="111"/>
      <x:c r="G81" s="111"/>
      <x:c r="H81" s="111"/>
      <x:c r="I81" s="111"/>
      <x:c r="J81" s="111"/>
      <x:c r="K81" s="111"/>
      <x:c r="L81" s="111"/>
      <x:c r="M81" s="111"/>
      <x:c r="N81" s="111"/>
      <x:c r="O81" s="111"/>
      <x:c r="P81" s="111"/>
      <x:c r="Q81" s="111"/>
      <x:c r="R81" s="111"/>
      <x:c r="S81" s="111"/>
      <x:c r="T81" s="111"/>
    </x:row>
    <x:row r="82">
      <x:c r="A82" s="111"/>
      <x:c r="B82" s="111"/>
      <x:c r="C82" s="111"/>
      <x:c r="D82" s="111"/>
      <x:c r="E82" s="111"/>
      <x:c r="F82" s="111"/>
      <x:c r="G82" s="111"/>
      <x:c r="H82" s="111"/>
      <x:c r="I82" s="111"/>
      <x:c r="J82" s="111"/>
      <x:c r="K82" s="111"/>
      <x:c r="L82" s="111"/>
      <x:c r="M82" s="111"/>
      <x:c r="N82" s="111"/>
      <x:c r="O82" s="111"/>
      <x:c r="P82" s="111"/>
      <x:c r="Q82" s="111"/>
      <x:c r="R82" s="111"/>
      <x:c r="S82" s="111"/>
      <x:c r="T82" s="111"/>
    </x:row>
    <x:row r="83">
      <x:c r="A83" s="111"/>
      <x:c r="B83" s="111"/>
      <x:c r="C83" s="111"/>
      <x:c r="D83" s="111"/>
      <x:c r="E83" s="111"/>
      <x:c r="F83" s="111"/>
      <x:c r="G83" s="111"/>
      <x:c r="H83" s="111"/>
      <x:c r="I83" s="111"/>
      <x:c r="J83" s="111"/>
      <x:c r="K83" s="111"/>
      <x:c r="L83" s="111"/>
      <x:c r="M83" s="111"/>
      <x:c r="N83" s="111"/>
      <x:c r="O83" s="111"/>
      <x:c r="P83" s="111"/>
      <x:c r="Q83" s="111"/>
      <x:c r="R83" s="111"/>
      <x:c r="S83" s="111"/>
      <x:c r="T83" s="111"/>
    </x:row>
    <x:row r="84">
      <x:c r="A84" s="111"/>
      <x:c r="B84" s="111"/>
      <x:c r="C84" s="111"/>
      <x:c r="D84" s="111"/>
      <x:c r="E84" s="111"/>
      <x:c r="F84" s="111"/>
      <x:c r="G84" s="111"/>
      <x:c r="H84" s="111"/>
      <x:c r="I84" s="111"/>
      <x:c r="J84" s="111"/>
      <x:c r="K84" s="111"/>
      <x:c r="L84" s="111"/>
      <x:c r="M84" s="111"/>
      <x:c r="N84" s="111"/>
      <x:c r="O84" s="111"/>
      <x:c r="P84" s="111"/>
      <x:c r="Q84" s="111"/>
      <x:c r="R84" s="111"/>
      <x:c r="S84" s="111"/>
      <x:c r="T84" s="111"/>
    </x:row>
    <x:row r="85">
      <x:c r="A85" s="111"/>
      <x:c r="B85" s="111"/>
      <x:c r="C85" s="111"/>
      <x:c r="D85" s="111"/>
      <x:c r="E85" s="111"/>
      <x:c r="F85" s="111"/>
      <x:c r="G85" s="111"/>
      <x:c r="H85" s="111"/>
      <x:c r="I85" s="111"/>
      <x:c r="J85" s="111"/>
      <x:c r="K85" s="111"/>
      <x:c r="L85" s="111"/>
      <x:c r="M85" s="111"/>
      <x:c r="N85" s="111"/>
      <x:c r="O85" s="111"/>
      <x:c r="P85" s="111"/>
      <x:c r="Q85" s="111"/>
      <x:c r="R85" s="111"/>
      <x:c r="S85" s="111"/>
      <x:c r="T85" s="111"/>
    </x:row>
    <x:row r="86">
      <x:c r="A86" s="111"/>
      <x:c r="B86" s="111"/>
      <x:c r="C86" s="111"/>
      <x:c r="D86" s="111"/>
      <x:c r="E86" s="111"/>
      <x:c r="F86" s="111"/>
      <x:c r="G86" s="111"/>
      <x:c r="H86" s="111"/>
      <x:c r="I86" s="111"/>
      <x:c r="J86" s="111"/>
      <x:c r="K86" s="111"/>
      <x:c r="L86" s="111"/>
      <x:c r="M86" s="111"/>
      <x:c r="N86" s="111"/>
      <x:c r="O86" s="111"/>
      <x:c r="P86" s="111"/>
      <x:c r="Q86" s="111"/>
      <x:c r="R86" s="111"/>
      <x:c r="S86" s="111"/>
      <x:c r="T86" s="111"/>
    </x:row>
    <x:row r="87">
      <x:c r="A87" s="111"/>
      <x:c r="B87" s="111"/>
      <x:c r="C87" s="111"/>
      <x:c r="D87" s="111"/>
      <x:c r="E87" s="111"/>
      <x:c r="F87" s="111"/>
      <x:c r="G87" s="111"/>
      <x:c r="H87" s="111"/>
      <x:c r="I87" s="111"/>
      <x:c r="J87" s="111"/>
      <x:c r="K87" s="111"/>
      <x:c r="L87" s="111"/>
      <x:c r="M87" s="111"/>
      <x:c r="N87" s="111"/>
      <x:c r="O87" s="111"/>
      <x:c r="P87" s="111"/>
      <x:c r="Q87" s="111"/>
      <x:c r="R87" s="111"/>
      <x:c r="S87" s="111"/>
      <x:c r="T87" s="111"/>
    </x:row>
    <x:row r="88">
      <x:c r="A88" s="111"/>
      <x:c r="B88" s="111"/>
      <x:c r="C88" s="111"/>
      <x:c r="D88" s="111"/>
      <x:c r="E88" s="111"/>
      <x:c r="F88" s="111"/>
      <x:c r="G88" s="111"/>
      <x:c r="H88" s="111"/>
      <x:c r="I88" s="111"/>
      <x:c r="J88" s="111"/>
      <x:c r="K88" s="111"/>
      <x:c r="L88" s="111"/>
      <x:c r="M88" s="111"/>
      <x:c r="N88" s="111"/>
      <x:c r="O88" s="111"/>
      <x:c r="P88" s="111"/>
      <x:c r="Q88" s="111"/>
      <x:c r="R88" s="111"/>
      <x:c r="S88" s="111"/>
      <x:c r="T88" s="111"/>
    </x:row>
    <x:row r="89">
      <x:c r="A89" s="111"/>
      <x:c r="B89" s="111"/>
      <x:c r="C89" s="111"/>
      <x:c r="D89" s="111"/>
      <x:c r="E89" s="111"/>
      <x:c r="F89" s="111"/>
      <x:c r="G89" s="111"/>
      <x:c r="H89" s="111"/>
      <x:c r="I89" s="111"/>
      <x:c r="J89" s="111"/>
      <x:c r="K89" s="111"/>
      <x:c r="L89" s="111"/>
      <x:c r="M89" s="111"/>
      <x:c r="N89" s="111"/>
      <x:c r="O89" s="111"/>
      <x:c r="P89" s="111"/>
      <x:c r="Q89" s="111"/>
      <x:c r="R89" s="111"/>
      <x:c r="S89" s="111"/>
      <x:c r="T89" s="111"/>
    </x:row>
    <x:row r="90">
      <x:c r="A90" s="111"/>
      <x:c r="B90" s="111"/>
      <x:c r="C90" s="111"/>
      <x:c r="D90" s="111"/>
      <x:c r="E90" s="111"/>
      <x:c r="F90" s="111"/>
      <x:c r="G90" s="111"/>
      <x:c r="H90" s="111"/>
      <x:c r="I90" s="111"/>
      <x:c r="J90" s="111"/>
      <x:c r="K90" s="111"/>
      <x:c r="L90" s="111"/>
      <x:c r="M90" s="111"/>
      <x:c r="N90" s="111"/>
      <x:c r="O90" s="111"/>
      <x:c r="P90" s="111"/>
      <x:c r="Q90" s="111"/>
      <x:c r="R90" s="111"/>
      <x:c r="S90" s="111"/>
      <x:c r="T90" s="111"/>
    </x:row>
    <x:row r="91">
      <x:c r="A91" s="111"/>
      <x:c r="B91" s="111"/>
      <x:c r="C91" s="111"/>
      <x:c r="D91" s="111"/>
      <x:c r="E91" s="111"/>
      <x:c r="F91" s="111"/>
      <x:c r="G91" s="111"/>
      <x:c r="H91" s="111"/>
      <x:c r="I91" s="111"/>
      <x:c r="J91" s="111"/>
      <x:c r="K91" s="111"/>
      <x:c r="L91" s="111"/>
      <x:c r="M91" s="111"/>
      <x:c r="N91" s="111"/>
      <x:c r="O91" s="111"/>
      <x:c r="P91" s="111"/>
      <x:c r="Q91" s="111"/>
      <x:c r="R91" s="111"/>
      <x:c r="S91" s="111"/>
      <x:c r="T91" s="111"/>
    </x:row>
    <x:row r="92">
      <x:c r="A92" s="111"/>
      <x:c r="B92" s="111"/>
      <x:c r="C92" s="111"/>
      <x:c r="D92" s="111"/>
      <x:c r="E92" s="111"/>
      <x:c r="F92" s="111"/>
      <x:c r="G92" s="111"/>
      <x:c r="H92" s="111"/>
      <x:c r="I92" s="111"/>
      <x:c r="J92" s="111"/>
      <x:c r="K92" s="111"/>
      <x:c r="L92" s="111"/>
      <x:c r="M92" s="111"/>
      <x:c r="N92" s="111"/>
      <x:c r="O92" s="111"/>
      <x:c r="P92" s="111"/>
      <x:c r="Q92" s="111"/>
      <x:c r="R92" s="111"/>
      <x:c r="S92" s="111"/>
      <x:c r="T92" s="111"/>
    </x:row>
    <x:row r="93">
      <x:c r="A93" s="111"/>
      <x:c r="B93" s="111"/>
      <x:c r="C93" s="111"/>
      <x:c r="D93" s="111"/>
      <x:c r="E93" s="111"/>
      <x:c r="F93" s="111"/>
      <x:c r="G93" s="111"/>
      <x:c r="H93" s="111"/>
      <x:c r="I93" s="111"/>
      <x:c r="J93" s="111"/>
      <x:c r="K93" s="111"/>
      <x:c r="L93" s="111"/>
      <x:c r="M93" s="111"/>
      <x:c r="N93" s="111"/>
      <x:c r="O93" s="111"/>
      <x:c r="P93" s="111"/>
      <x:c r="Q93" s="111"/>
      <x:c r="R93" s="111"/>
      <x:c r="S93" s="111"/>
      <x:c r="T93" s="111"/>
    </x:row>
    <x:row r="94">
      <x:c r="A94" s="111"/>
      <x:c r="B94" s="111"/>
      <x:c r="C94" s="111"/>
      <x:c r="D94" s="111"/>
      <x:c r="E94" s="111"/>
      <x:c r="F94" s="111"/>
      <x:c r="G94" s="111"/>
      <x:c r="H94" s="111"/>
      <x:c r="I94" s="111"/>
      <x:c r="J94" s="111"/>
      <x:c r="K94" s="111"/>
      <x:c r="L94" s="111"/>
      <x:c r="M94" s="111"/>
      <x:c r="N94" s="111"/>
      <x:c r="O94" s="111"/>
      <x:c r="P94" s="111"/>
      <x:c r="Q94" s="111"/>
      <x:c r="R94" s="111"/>
      <x:c r="S94" s="111"/>
      <x:c r="T94" s="111"/>
    </x:row>
    <x:row r="95">
      <x:c r="A95" s="111"/>
      <x:c r="B95" s="111"/>
      <x:c r="C95" s="111"/>
      <x:c r="D95" s="111"/>
      <x:c r="E95" s="111"/>
      <x:c r="F95" s="111"/>
      <x:c r="G95" s="111"/>
      <x:c r="H95" s="111"/>
      <x:c r="I95" s="111"/>
      <x:c r="J95" s="111"/>
      <x:c r="K95" s="111"/>
      <x:c r="L95" s="111"/>
      <x:c r="M95" s="111"/>
      <x:c r="N95" s="111"/>
      <x:c r="O95" s="111"/>
      <x:c r="P95" s="111"/>
      <x:c r="Q95" s="111"/>
      <x:c r="R95" s="111"/>
      <x:c r="S95" s="111"/>
      <x:c r="T95" s="111"/>
    </x:row>
    <x:row r="96">
      <x:c r="A96" s="111"/>
      <x:c r="B96" s="111"/>
      <x:c r="C96" s="111"/>
      <x:c r="D96" s="111"/>
      <x:c r="E96" s="111"/>
      <x:c r="F96" s="111"/>
      <x:c r="G96" s="111"/>
      <x:c r="H96" s="111"/>
      <x:c r="I96" s="111"/>
      <x:c r="J96" s="111"/>
      <x:c r="K96" s="111"/>
      <x:c r="L96" s="111"/>
      <x:c r="M96" s="111"/>
      <x:c r="N96" s="111"/>
      <x:c r="O96" s="111"/>
      <x:c r="P96" s="111"/>
      <x:c r="Q96" s="111"/>
      <x:c r="R96" s="111"/>
      <x:c r="S96" s="111"/>
      <x:c r="T96" s="111"/>
    </x:row>
    <x:row r="97">
      <x:c r="A97" s="111"/>
      <x:c r="B97" s="111"/>
      <x:c r="C97" s="111"/>
      <x:c r="D97" s="111"/>
      <x:c r="E97" s="111"/>
      <x:c r="F97" s="111"/>
      <x:c r="G97" s="111"/>
      <x:c r="H97" s="111"/>
      <x:c r="I97" s="111"/>
      <x:c r="J97" s="111"/>
      <x:c r="K97" s="111"/>
      <x:c r="L97" s="111"/>
      <x:c r="M97" s="111"/>
      <x:c r="N97" s="111"/>
      <x:c r="O97" s="111"/>
      <x:c r="P97" s="111"/>
      <x:c r="Q97" s="111"/>
      <x:c r="R97" s="111"/>
      <x:c r="S97" s="111"/>
      <x:c r="T97" s="111"/>
    </x:row>
    <x:row r="98">
      <x:c r="A98" s="111"/>
      <x:c r="B98" s="111"/>
      <x:c r="C98" s="111"/>
      <x:c r="D98" s="111"/>
      <x:c r="E98" s="111"/>
      <x:c r="F98" s="111"/>
      <x:c r="G98" s="111"/>
      <x:c r="H98" s="111"/>
      <x:c r="I98" s="111"/>
      <x:c r="J98" s="111"/>
      <x:c r="K98" s="111"/>
      <x:c r="L98" s="111"/>
      <x:c r="M98" s="111"/>
      <x:c r="N98" s="111"/>
      <x:c r="O98" s="111"/>
      <x:c r="P98" s="111"/>
      <x:c r="Q98" s="111"/>
      <x:c r="R98" s="111"/>
      <x:c r="S98" s="111"/>
      <x:c r="T98" s="111"/>
    </x:row>
    <x:row r="99">
      <x:c r="A99" s="111"/>
      <x:c r="B99" s="111"/>
      <x:c r="C99" s="111"/>
      <x:c r="D99" s="111"/>
      <x:c r="E99" s="111"/>
      <x:c r="F99" s="111"/>
      <x:c r="G99" s="111"/>
      <x:c r="H99" s="111"/>
      <x:c r="I99" s="111"/>
      <x:c r="J99" s="111"/>
      <x:c r="K99" s="111"/>
      <x:c r="L99" s="111"/>
      <x:c r="M99" s="111"/>
      <x:c r="N99" s="111"/>
      <x:c r="O99" s="111"/>
      <x:c r="P99" s="111"/>
      <x:c r="Q99" s="111"/>
      <x:c r="R99" s="111"/>
      <x:c r="S99" s="111"/>
      <x:c r="T99" s="111"/>
    </x:row>
    <x:row r="100">
      <x:c r="A100" s="111"/>
      <x:c r="B100" s="111"/>
      <x:c r="C100" s="111"/>
      <x:c r="D100" s="111"/>
      <x:c r="E100" s="111"/>
      <x:c r="F100" s="111"/>
      <x:c r="G100" s="111"/>
      <x:c r="H100" s="111"/>
      <x:c r="I100" s="111"/>
      <x:c r="J100" s="111"/>
      <x:c r="K100" s="111"/>
      <x:c r="L100" s="111"/>
      <x:c r="M100" s="111"/>
      <x:c r="N100" s="111"/>
      <x:c r="O100" s="111"/>
      <x:c r="P100" s="111"/>
      <x:c r="Q100" s="111"/>
      <x:c r="R100" s="111"/>
      <x:c r="S100" s="111"/>
      <x:c r="T100" s="111"/>
    </x:row>
    <x:row r="101">
      <x:c r="A101" s="111"/>
      <x:c r="B101" s="111"/>
      <x:c r="C101" s="111"/>
      <x:c r="D101" s="111"/>
      <x:c r="E101" s="111"/>
      <x:c r="F101" s="111"/>
      <x:c r="G101" s="111"/>
      <x:c r="H101" s="111"/>
      <x:c r="I101" s="111"/>
      <x:c r="J101" s="111"/>
      <x:c r="K101" s="111"/>
      <x:c r="L101" s="111"/>
      <x:c r="M101" s="111"/>
      <x:c r="N101" s="111"/>
      <x:c r="O101" s="111"/>
      <x:c r="P101" s="111"/>
      <x:c r="Q101" s="111"/>
      <x:c r="R101" s="111"/>
      <x:c r="S101" s="111"/>
      <x:c r="T101" s="111"/>
    </x:row>
    <x:row r="102">
      <x:c r="A102" s="111"/>
      <x:c r="B102" s="111"/>
      <x:c r="C102" s="111"/>
      <x:c r="D102" s="111"/>
      <x:c r="E102" s="111"/>
      <x:c r="F102" s="111"/>
      <x:c r="G102" s="111"/>
      <x:c r="H102" s="111"/>
      <x:c r="I102" s="111"/>
      <x:c r="J102" s="111"/>
      <x:c r="K102" s="111"/>
      <x:c r="L102" s="111"/>
      <x:c r="M102" s="111"/>
      <x:c r="N102" s="111"/>
      <x:c r="O102" s="111"/>
      <x:c r="P102" s="111"/>
      <x:c r="Q102" s="111"/>
      <x:c r="R102" s="111"/>
      <x:c r="S102" s="111"/>
      <x:c r="T102" s="111"/>
    </x:row>
    <x:row r="103">
      <x:c r="A103" s="111"/>
      <x:c r="B103" s="111"/>
      <x:c r="C103" s="111"/>
      <x:c r="D103" s="111"/>
      <x:c r="E103" s="111"/>
      <x:c r="F103" s="111"/>
      <x:c r="G103" s="111"/>
      <x:c r="H103" s="111"/>
      <x:c r="I103" s="111"/>
      <x:c r="J103" s="111"/>
      <x:c r="K103" s="111"/>
      <x:c r="L103" s="111"/>
      <x:c r="M103" s="111"/>
      <x:c r="N103" s="111"/>
      <x:c r="O103" s="111"/>
      <x:c r="P103" s="111"/>
      <x:c r="Q103" s="111"/>
      <x:c r="R103" s="111"/>
      <x:c r="S103" s="111"/>
      <x:c r="T103" s="111"/>
    </x:row>
    <x:row r="104">
      <x:c r="A104" s="111"/>
      <x:c r="B104" s="111"/>
      <x:c r="C104" s="111"/>
      <x:c r="D104" s="111"/>
      <x:c r="E104" s="111"/>
      <x:c r="F104" s="111"/>
      <x:c r="G104" s="111"/>
      <x:c r="H104" s="111"/>
      <x:c r="I104" s="111"/>
      <x:c r="J104" s="111"/>
      <x:c r="K104" s="111"/>
      <x:c r="L104" s="111"/>
      <x:c r="M104" s="111"/>
      <x:c r="N104" s="111"/>
      <x:c r="O104" s="111"/>
      <x:c r="P104" s="111"/>
      <x:c r="Q104" s="111"/>
      <x:c r="R104" s="111"/>
      <x:c r="S104" s="111"/>
      <x:c r="T104" s="111"/>
    </x:row>
    <x:row r="105">
      <x:c r="A105" s="111"/>
      <x:c r="B105" s="111"/>
      <x:c r="C105" s="111"/>
      <x:c r="D105" s="111"/>
      <x:c r="E105" s="111"/>
      <x:c r="F105" s="111"/>
      <x:c r="G105" s="111"/>
      <x:c r="H105" s="111"/>
      <x:c r="I105" s="111"/>
      <x:c r="J105" s="111"/>
      <x:c r="K105" s="111"/>
      <x:c r="L105" s="111"/>
      <x:c r="M105" s="111"/>
      <x:c r="N105" s="111"/>
      <x:c r="O105" s="111"/>
      <x:c r="P105" s="111"/>
      <x:c r="Q105" s="111"/>
      <x:c r="R105" s="111"/>
      <x:c r="S105" s="111"/>
      <x:c r="T105" s="111"/>
    </x:row>
    <x:row r="106">
      <x:c r="A106" s="111"/>
      <x:c r="B106" s="111"/>
      <x:c r="C106" s="111"/>
      <x:c r="D106" s="111"/>
      <x:c r="E106" s="111"/>
      <x:c r="F106" s="111"/>
      <x:c r="G106" s="111"/>
      <x:c r="H106" s="111"/>
      <x:c r="I106" s="111"/>
      <x:c r="J106" s="111"/>
      <x:c r="K106" s="111"/>
      <x:c r="L106" s="111"/>
      <x:c r="M106" s="111"/>
      <x:c r="N106" s="111"/>
      <x:c r="O106" s="111"/>
      <x:c r="P106" s="111"/>
      <x:c r="Q106" s="111"/>
      <x:c r="R106" s="111"/>
      <x:c r="S106" s="111"/>
      <x:c r="T106" s="111"/>
    </x:row>
    <x:row r="107">
      <x:c r="A107" s="111"/>
      <x:c r="B107" s="111"/>
      <x:c r="C107" s="111"/>
      <x:c r="D107" s="111"/>
      <x:c r="E107" s="111"/>
      <x:c r="F107" s="111"/>
      <x:c r="G107" s="111"/>
      <x:c r="H107" s="111"/>
      <x:c r="I107" s="111"/>
      <x:c r="J107" s="111"/>
      <x:c r="K107" s="111"/>
      <x:c r="L107" s="111"/>
      <x:c r="M107" s="111"/>
      <x:c r="N107" s="111"/>
      <x:c r="O107" s="111"/>
      <x:c r="P107" s="111"/>
      <x:c r="Q107" s="111"/>
      <x:c r="R107" s="111"/>
      <x:c r="S107" s="111"/>
      <x:c r="T107" s="111"/>
    </x:row>
    <x:row r="108">
      <x:c r="A108" s="111"/>
      <x:c r="B108" s="111"/>
      <x:c r="C108" s="111"/>
      <x:c r="D108" s="111"/>
      <x:c r="E108" s="111"/>
      <x:c r="F108" s="111"/>
      <x:c r="G108" s="111"/>
      <x:c r="H108" s="111"/>
      <x:c r="I108" s="111"/>
      <x:c r="J108" s="111"/>
      <x:c r="K108" s="111"/>
      <x:c r="L108" s="111"/>
      <x:c r="M108" s="111"/>
      <x:c r="N108" s="111"/>
      <x:c r="O108" s="111"/>
      <x:c r="P108" s="111"/>
      <x:c r="Q108" s="111"/>
      <x:c r="R108" s="111"/>
      <x:c r="S108" s="111"/>
      <x:c r="T108" s="111"/>
    </x:row>
    <x:row r="109">
      <x:c r="A109" s="111"/>
      <x:c r="B109" s="111"/>
      <x:c r="C109" s="111"/>
      <x:c r="D109" s="111"/>
      <x:c r="E109" s="111"/>
      <x:c r="F109" s="111"/>
      <x:c r="G109" s="111"/>
      <x:c r="H109" s="111"/>
      <x:c r="I109" s="111"/>
      <x:c r="J109" s="111"/>
      <x:c r="K109" s="111"/>
      <x:c r="L109" s="111"/>
      <x:c r="M109" s="111"/>
      <x:c r="N109" s="111"/>
      <x:c r="O109" s="111"/>
      <x:c r="P109" s="111"/>
      <x:c r="Q109" s="111"/>
      <x:c r="R109" s="111"/>
      <x:c r="S109" s="111"/>
      <x:c r="T109" s="111"/>
    </x:row>
    <x:row r="110">
      <x:c r="A110" s="111"/>
      <x:c r="B110" s="111"/>
      <x:c r="C110" s="111"/>
      <x:c r="D110" s="111"/>
      <x:c r="E110" s="111"/>
      <x:c r="F110" s="111"/>
      <x:c r="G110" s="111"/>
      <x:c r="H110" s="111"/>
      <x:c r="I110" s="111"/>
      <x:c r="J110" s="111"/>
      <x:c r="K110" s="111"/>
      <x:c r="L110" s="111"/>
      <x:c r="M110" s="111"/>
      <x:c r="N110" s="111"/>
      <x:c r="O110" s="111"/>
      <x:c r="P110" s="111"/>
      <x:c r="Q110" s="111"/>
      <x:c r="R110" s="111"/>
      <x:c r="S110" s="111"/>
      <x:c r="T110" s="111"/>
    </x:row>
    <x:row r="111">
      <x:c r="A111" s="111"/>
      <x:c r="B111" s="111"/>
      <x:c r="C111" s="111"/>
      <x:c r="D111" s="111"/>
      <x:c r="E111" s="111"/>
      <x:c r="F111" s="111"/>
      <x:c r="G111" s="111"/>
      <x:c r="H111" s="111"/>
      <x:c r="I111" s="111"/>
      <x:c r="J111" s="111"/>
      <x:c r="K111" s="111"/>
      <x:c r="L111" s="111"/>
      <x:c r="M111" s="111"/>
      <x:c r="N111" s="111"/>
      <x:c r="O111" s="111"/>
      <x:c r="P111" s="111"/>
      <x:c r="Q111" s="111"/>
      <x:c r="R111" s="111"/>
      <x:c r="S111" s="111"/>
      <x:c r="T111" s="111"/>
    </x:row>
    <x:row r="112">
      <x:c r="A112" s="111"/>
      <x:c r="B112" s="111"/>
      <x:c r="C112" s="111"/>
      <x:c r="D112" s="111"/>
      <x:c r="E112" s="111"/>
      <x:c r="F112" s="111"/>
      <x:c r="G112" s="111"/>
      <x:c r="H112" s="111"/>
      <x:c r="I112" s="111"/>
      <x:c r="J112" s="111"/>
      <x:c r="K112" s="111"/>
      <x:c r="L112" s="111"/>
      <x:c r="M112" s="111"/>
      <x:c r="N112" s="111"/>
      <x:c r="O112" s="111"/>
      <x:c r="P112" s="111"/>
      <x:c r="Q112" s="111"/>
      <x:c r="R112" s="111"/>
      <x:c r="S112" s="111"/>
      <x:c r="T112" s="111"/>
    </x:row>
    <x:row r="113">
      <x:c r="A113" s="111"/>
      <x:c r="B113" s="111"/>
      <x:c r="C113" s="111"/>
      <x:c r="D113" s="111"/>
      <x:c r="E113" s="111"/>
      <x:c r="F113" s="111"/>
      <x:c r="G113" s="111"/>
      <x:c r="H113" s="111"/>
      <x:c r="I113" s="111"/>
      <x:c r="J113" s="111"/>
      <x:c r="K113" s="111"/>
      <x:c r="L113" s="111"/>
      <x:c r="M113" s="111"/>
      <x:c r="N113" s="111"/>
      <x:c r="O113" s="111"/>
      <x:c r="P113" s="111"/>
      <x:c r="Q113" s="111"/>
      <x:c r="R113" s="111"/>
      <x:c r="S113" s="111"/>
      <x:c r="T113" s="111"/>
    </x:row>
    <x:row r="114">
      <x:c r="A114" s="111"/>
      <x:c r="B114" s="111"/>
      <x:c r="C114" s="111"/>
      <x:c r="D114" s="111"/>
      <x:c r="E114" s="111"/>
      <x:c r="F114" s="111"/>
      <x:c r="G114" s="111"/>
      <x:c r="H114" s="111"/>
      <x:c r="I114" s="111"/>
      <x:c r="J114" s="111"/>
      <x:c r="K114" s="111"/>
      <x:c r="L114" s="111"/>
      <x:c r="M114" s="111"/>
      <x:c r="N114" s="111"/>
      <x:c r="O114" s="111"/>
      <x:c r="P114" s="111"/>
      <x:c r="Q114" s="111"/>
      <x:c r="R114" s="111"/>
      <x:c r="S114" s="111"/>
      <x:c r="T114" s="111"/>
    </x:row>
    <x:row r="115">
      <x:c r="A115" s="111"/>
      <x:c r="B115" s="111"/>
      <x:c r="C115" s="111"/>
      <x:c r="D115" s="111"/>
      <x:c r="E115" s="111"/>
      <x:c r="F115" s="111"/>
      <x:c r="G115" s="111"/>
      <x:c r="H115" s="111"/>
      <x:c r="I115" s="111"/>
      <x:c r="J115" s="111"/>
      <x:c r="K115" s="111"/>
      <x:c r="L115" s="111"/>
      <x:c r="M115" s="111"/>
      <x:c r="N115" s="111"/>
      <x:c r="O115" s="111"/>
      <x:c r="P115" s="111"/>
      <x:c r="Q115" s="111"/>
      <x:c r="R115" s="111"/>
      <x:c r="S115" s="111"/>
      <x:c r="T115" s="111"/>
    </x:row>
    <x:row r="116">
      <x:c r="A116" s="111"/>
      <x:c r="B116" s="111"/>
      <x:c r="C116" s="111"/>
      <x:c r="D116" s="111"/>
      <x:c r="E116" s="111"/>
      <x:c r="F116" s="111"/>
      <x:c r="G116" s="111"/>
      <x:c r="H116" s="111"/>
      <x:c r="I116" s="111"/>
      <x:c r="J116" s="111"/>
      <x:c r="K116" s="111"/>
      <x:c r="L116" s="111"/>
      <x:c r="M116" s="111"/>
      <x:c r="N116" s="111"/>
      <x:c r="O116" s="111"/>
      <x:c r="P116" s="111"/>
      <x:c r="Q116" s="111"/>
      <x:c r="R116" s="111"/>
      <x:c r="S116" s="111"/>
      <x:c r="T116" s="111"/>
    </x:row>
    <x:row r="117">
      <x:c r="A117" s="111"/>
      <x:c r="B117" s="111"/>
      <x:c r="C117" s="111"/>
      <x:c r="D117" s="111"/>
      <x:c r="E117" s="111"/>
      <x:c r="F117" s="111"/>
      <x:c r="G117" s="111"/>
      <x:c r="H117" s="111"/>
      <x:c r="I117" s="111"/>
      <x:c r="J117" s="111"/>
      <x:c r="K117" s="111"/>
      <x:c r="L117" s="111"/>
      <x:c r="M117" s="111"/>
      <x:c r="N117" s="111"/>
      <x:c r="O117" s="111"/>
      <x:c r="P117" s="111"/>
      <x:c r="Q117" s="111"/>
      <x:c r="R117" s="111"/>
      <x:c r="S117" s="111"/>
      <x:c r="T117" s="111"/>
    </x:row>
    <x:row r="118">
      <x:c r="A118" s="111"/>
      <x:c r="B118" s="111"/>
      <x:c r="C118" s="111"/>
      <x:c r="D118" s="111"/>
      <x:c r="E118" s="111"/>
      <x:c r="F118" s="111"/>
      <x:c r="G118" s="111"/>
      <x:c r="H118" s="111"/>
      <x:c r="I118" s="111"/>
      <x:c r="J118" s="111"/>
      <x:c r="K118" s="111"/>
      <x:c r="L118" s="111"/>
      <x:c r="M118" s="111"/>
      <x:c r="N118" s="111"/>
      <x:c r="O118" s="111"/>
      <x:c r="P118" s="111"/>
      <x:c r="Q118" s="111"/>
      <x:c r="R118" s="111"/>
      <x:c r="S118" s="111"/>
      <x:c r="T118" s="111"/>
    </x:row>
    <x:row r="119">
      <x:c r="A119" s="111"/>
      <x:c r="B119" s="111"/>
      <x:c r="C119" s="111"/>
      <x:c r="D119" s="111"/>
      <x:c r="E119" s="111"/>
      <x:c r="F119" s="111"/>
      <x:c r="G119" s="111"/>
      <x:c r="H119" s="111"/>
      <x:c r="I119" s="111"/>
      <x:c r="J119" s="111"/>
      <x:c r="K119" s="111"/>
      <x:c r="L119" s="111"/>
      <x:c r="M119" s="111"/>
      <x:c r="N119" s="111"/>
      <x:c r="O119" s="111"/>
      <x:c r="P119" s="111"/>
      <x:c r="Q119" s="111"/>
      <x:c r="R119" s="111"/>
      <x:c r="S119" s="111"/>
      <x:c r="T119" s="111"/>
    </x:row>
    <x:row r="120">
      <x:c r="A120" s="111"/>
      <x:c r="B120" s="111"/>
      <x:c r="C120" s="111"/>
      <x:c r="D120" s="111"/>
      <x:c r="E120" s="111"/>
      <x:c r="F120" s="111"/>
      <x:c r="G120" s="111"/>
      <x:c r="H120" s="111"/>
      <x:c r="I120" s="111"/>
      <x:c r="J120" s="111"/>
      <x:c r="K120" s="111"/>
      <x:c r="L120" s="111"/>
      <x:c r="M120" s="111"/>
      <x:c r="N120" s="111"/>
      <x:c r="O120" s="111"/>
      <x:c r="P120" s="111"/>
      <x:c r="Q120" s="111"/>
      <x:c r="R120" s="111"/>
      <x:c r="S120" s="111"/>
      <x:c r="T120" s="111"/>
    </x:row>
    <x:row r="121">
      <x:c r="A121" s="111"/>
      <x:c r="B121" s="111"/>
      <x:c r="C121" s="111"/>
      <x:c r="D121" s="111"/>
      <x:c r="E121" s="111"/>
      <x:c r="F121" s="111"/>
      <x:c r="G121" s="111"/>
      <x:c r="H121" s="111"/>
      <x:c r="I121" s="111"/>
      <x:c r="J121" s="111"/>
      <x:c r="K121" s="111"/>
      <x:c r="L121" s="111"/>
      <x:c r="M121" s="111"/>
      <x:c r="N121" s="111"/>
      <x:c r="O121" s="111"/>
      <x:c r="P121" s="111"/>
      <x:c r="Q121" s="111"/>
      <x:c r="R121" s="111"/>
      <x:c r="S121" s="111"/>
      <x:c r="T121" s="111"/>
    </x:row>
    <x:row r="122">
      <x:c r="A122" s="111"/>
      <x:c r="B122" s="111"/>
      <x:c r="C122" s="111"/>
      <x:c r="D122" s="111"/>
      <x:c r="E122" s="111"/>
      <x:c r="F122" s="111"/>
      <x:c r="G122" s="111"/>
      <x:c r="H122" s="111"/>
      <x:c r="I122" s="111"/>
      <x:c r="J122" s="111"/>
      <x:c r="K122" s="111"/>
      <x:c r="L122" s="111"/>
      <x:c r="M122" s="111"/>
      <x:c r="N122" s="111"/>
      <x:c r="O122" s="111"/>
      <x:c r="P122" s="111"/>
      <x:c r="Q122" s="111"/>
      <x:c r="R122" s="111"/>
      <x:c r="S122" s="111"/>
      <x:c r="T122" s="111"/>
    </x:row>
    <x:row r="123">
      <x:c r="A123" s="111"/>
      <x:c r="B123" s="111"/>
      <x:c r="C123" s="111"/>
      <x:c r="D123" s="111"/>
      <x:c r="E123" s="111"/>
      <x:c r="F123" s="111"/>
      <x:c r="G123" s="111"/>
      <x:c r="H123" s="111"/>
      <x:c r="I123" s="111"/>
      <x:c r="J123" s="111"/>
      <x:c r="K123" s="111"/>
      <x:c r="L123" s="111"/>
      <x:c r="M123" s="111"/>
      <x:c r="N123" s="111"/>
      <x:c r="O123" s="111"/>
      <x:c r="P123" s="111"/>
      <x:c r="Q123" s="111"/>
      <x:c r="R123" s="111"/>
      <x:c r="S123" s="111"/>
      <x:c r="T123" s="111"/>
    </x:row>
    <x:row r="124">
      <x:c r="A124" s="111"/>
      <x:c r="B124" s="111"/>
      <x:c r="C124" s="111"/>
      <x:c r="D124" s="111"/>
      <x:c r="E124" s="111"/>
      <x:c r="F124" s="111"/>
      <x:c r="G124" s="111"/>
      <x:c r="H124" s="111"/>
      <x:c r="I124" s="111"/>
      <x:c r="J124" s="111"/>
      <x:c r="K124" s="111"/>
      <x:c r="L124" s="111"/>
      <x:c r="M124" s="111"/>
      <x:c r="N124" s="111"/>
      <x:c r="O124" s="111"/>
      <x:c r="P124" s="111"/>
      <x:c r="Q124" s="111"/>
      <x:c r="R124" s="111"/>
      <x:c r="S124" s="111"/>
      <x:c r="T124" s="111"/>
    </x:row>
    <x:row r="125">
      <x:c r="A125" s="111"/>
      <x:c r="B125" s="111"/>
      <x:c r="C125" s="111"/>
      <x:c r="D125" s="111"/>
      <x:c r="E125" s="111"/>
      <x:c r="F125" s="111"/>
      <x:c r="G125" s="111"/>
      <x:c r="H125" s="111"/>
      <x:c r="I125" s="111"/>
      <x:c r="J125" s="111"/>
      <x:c r="K125" s="111"/>
      <x:c r="L125" s="111"/>
      <x:c r="M125" s="111"/>
      <x:c r="N125" s="111"/>
      <x:c r="O125" s="111"/>
      <x:c r="P125" s="111"/>
      <x:c r="Q125" s="111"/>
      <x:c r="R125" s="111"/>
      <x:c r="S125" s="111"/>
      <x:c r="T125" s="111"/>
    </x:row>
    <x:row r="126">
      <x:c r="A126" s="111"/>
      <x:c r="B126" s="111"/>
      <x:c r="C126" s="111"/>
      <x:c r="D126" s="111"/>
      <x:c r="E126" s="111"/>
      <x:c r="F126" s="111"/>
      <x:c r="G126" s="111"/>
      <x:c r="H126" s="111"/>
      <x:c r="I126" s="111"/>
      <x:c r="J126" s="111"/>
      <x:c r="K126" s="111"/>
      <x:c r="L126" s="111"/>
      <x:c r="M126" s="111"/>
      <x:c r="N126" s="111"/>
      <x:c r="O126" s="111"/>
      <x:c r="P126" s="111"/>
      <x:c r="Q126" s="111"/>
      <x:c r="R126" s="111"/>
      <x:c r="S126" s="111"/>
      <x:c r="T126" s="111"/>
    </x:row>
    <x:row r="127">
      <x:c r="A127" s="111"/>
      <x:c r="B127" s="111"/>
      <x:c r="C127" s="111"/>
      <x:c r="D127" s="111"/>
      <x:c r="E127" s="111"/>
      <x:c r="F127" s="111"/>
      <x:c r="G127" s="111"/>
      <x:c r="H127" s="111"/>
      <x:c r="I127" s="111"/>
      <x:c r="J127" s="111"/>
      <x:c r="K127" s="111"/>
      <x:c r="L127" s="111"/>
      <x:c r="M127" s="111"/>
      <x:c r="N127" s="111"/>
      <x:c r="O127" s="111"/>
      <x:c r="P127" s="111"/>
      <x:c r="Q127" s="111"/>
      <x:c r="R127" s="111"/>
      <x:c r="S127" s="111"/>
      <x:c r="T127" s="111"/>
    </x:row>
    <x:row r="128">
      <x:c r="A128" s="111"/>
      <x:c r="B128" s="111"/>
      <x:c r="C128" s="111"/>
      <x:c r="D128" s="111"/>
      <x:c r="E128" s="111"/>
      <x:c r="F128" s="111"/>
      <x:c r="G128" s="111"/>
      <x:c r="H128" s="111"/>
      <x:c r="I128" s="111"/>
      <x:c r="J128" s="111"/>
      <x:c r="K128" s="111"/>
      <x:c r="L128" s="111"/>
      <x:c r="M128" s="111"/>
      <x:c r="N128" s="111"/>
      <x:c r="O128" s="111"/>
      <x:c r="P128" s="111"/>
      <x:c r="Q128" s="111"/>
      <x:c r="R128" s="111"/>
      <x:c r="S128" s="111"/>
      <x:c r="T128" s="111"/>
    </x:row>
    <x:row r="129">
      <x:c r="A129" s="111"/>
      <x:c r="B129" s="111"/>
      <x:c r="C129" s="111"/>
      <x:c r="D129" s="111"/>
      <x:c r="E129" s="111"/>
      <x:c r="F129" s="111"/>
      <x:c r="G129" s="111"/>
      <x:c r="H129" s="111"/>
      <x:c r="I129" s="111"/>
      <x:c r="J129" s="111"/>
      <x:c r="K129" s="111"/>
      <x:c r="L129" s="111"/>
      <x:c r="M129" s="111"/>
      <x:c r="N129" s="111"/>
      <x:c r="O129" s="111"/>
      <x:c r="P129" s="111"/>
      <x:c r="Q129" s="111"/>
      <x:c r="R129" s="111"/>
      <x:c r="S129" s="111"/>
      <x:c r="T129" s="111"/>
    </x:row>
    <x:row r="130">
      <x:c r="A130" s="111"/>
      <x:c r="B130" s="111"/>
      <x:c r="C130" s="111"/>
      <x:c r="D130" s="111"/>
      <x:c r="E130" s="111"/>
      <x:c r="F130" s="111"/>
      <x:c r="G130" s="111"/>
      <x:c r="H130" s="111"/>
      <x:c r="I130" s="111"/>
      <x:c r="J130" s="111"/>
      <x:c r="K130" s="111"/>
      <x:c r="L130" s="111"/>
      <x:c r="M130" s="111"/>
      <x:c r="N130" s="111"/>
      <x:c r="O130" s="111"/>
      <x:c r="P130" s="111"/>
      <x:c r="Q130" s="111"/>
      <x:c r="R130" s="111"/>
      <x:c r="S130" s="111"/>
      <x:c r="T130" s="111"/>
    </x:row>
    <x:row r="131">
      <x:c r="A131" s="111"/>
      <x:c r="B131" s="111"/>
      <x:c r="C131" s="111"/>
      <x:c r="D131" s="111"/>
      <x:c r="E131" s="111"/>
      <x:c r="F131" s="111"/>
      <x:c r="G131" s="111"/>
      <x:c r="H131" s="111"/>
      <x:c r="I131" s="111"/>
      <x:c r="J131" s="111"/>
      <x:c r="K131" s="111"/>
      <x:c r="L131" s="111"/>
      <x:c r="M131" s="111"/>
      <x:c r="N131" s="111"/>
      <x:c r="O131" s="111"/>
      <x:c r="P131" s="111"/>
      <x:c r="Q131" s="111"/>
      <x:c r="R131" s="111"/>
      <x:c r="S131" s="111"/>
      <x:c r="T131" s="111"/>
    </x:row>
    <x:row r="132">
      <x:c r="A132" s="111"/>
      <x:c r="B132" s="111"/>
      <x:c r="C132" s="111"/>
      <x:c r="D132" s="111"/>
      <x:c r="E132" s="111"/>
      <x:c r="F132" s="111"/>
      <x:c r="G132" s="111"/>
      <x:c r="H132" s="111"/>
      <x:c r="I132" s="111"/>
      <x:c r="J132" s="111"/>
      <x:c r="K132" s="111"/>
      <x:c r="L132" s="111"/>
      <x:c r="M132" s="111"/>
      <x:c r="N132" s="111"/>
      <x:c r="O132" s="111"/>
      <x:c r="P132" s="111"/>
      <x:c r="Q132" s="111"/>
      <x:c r="R132" s="111"/>
      <x:c r="S132" s="111"/>
      <x:c r="T132" s="111"/>
    </x:row>
    <x:row r="133">
      <x:c r="A133" s="111"/>
      <x:c r="B133" s="111"/>
      <x:c r="C133" s="111"/>
      <x:c r="D133" s="111"/>
      <x:c r="E133" s="111"/>
      <x:c r="F133" s="111"/>
      <x:c r="G133" s="111"/>
      <x:c r="H133" s="111"/>
      <x:c r="I133" s="111"/>
      <x:c r="J133" s="111"/>
      <x:c r="K133" s="111"/>
      <x:c r="L133" s="111"/>
      <x:c r="M133" s="111"/>
      <x:c r="N133" s="111"/>
      <x:c r="O133" s="111"/>
      <x:c r="P133" s="111"/>
      <x:c r="Q133" s="111"/>
      <x:c r="R133" s="111"/>
      <x:c r="S133" s="111"/>
      <x:c r="T133" s="111"/>
    </x:row>
    <x:row r="134">
      <x:c r="A134" s="111"/>
      <x:c r="B134" s="111"/>
      <x:c r="C134" s="111"/>
      <x:c r="D134" s="111"/>
      <x:c r="E134" s="111"/>
      <x:c r="F134" s="111"/>
      <x:c r="G134" s="111"/>
      <x:c r="H134" s="111"/>
      <x:c r="I134" s="111"/>
      <x:c r="J134" s="111"/>
      <x:c r="K134" s="111"/>
      <x:c r="L134" s="111"/>
      <x:c r="M134" s="111"/>
      <x:c r="N134" s="111"/>
      <x:c r="O134" s="111"/>
      <x:c r="P134" s="111"/>
      <x:c r="Q134" s="111"/>
      <x:c r="R134" s="111"/>
      <x:c r="S134" s="111"/>
      <x:c r="T134" s="111"/>
    </x:row>
    <x:row r="135">
      <x:c r="A135" s="111"/>
      <x:c r="B135" s="111"/>
      <x:c r="C135" s="111"/>
      <x:c r="D135" s="111"/>
      <x:c r="E135" s="111"/>
      <x:c r="F135" s="111"/>
      <x:c r="G135" s="111"/>
      <x:c r="H135" s="111"/>
      <x:c r="I135" s="111"/>
      <x:c r="J135" s="111"/>
      <x:c r="K135" s="111"/>
      <x:c r="L135" s="111"/>
      <x:c r="M135" s="111"/>
      <x:c r="N135" s="111"/>
      <x:c r="O135" s="111"/>
      <x:c r="P135" s="111"/>
      <x:c r="Q135" s="111"/>
      <x:c r="R135" s="111"/>
      <x:c r="S135" s="111"/>
      <x:c r="T135" s="111"/>
    </x:row>
    <x:row r="136">
      <x:c r="A136" s="111"/>
      <x:c r="B136" s="111"/>
      <x:c r="C136" s="111"/>
      <x:c r="D136" s="111"/>
      <x:c r="E136" s="111"/>
      <x:c r="F136" s="111"/>
      <x:c r="G136" s="111"/>
      <x:c r="H136" s="111"/>
      <x:c r="I136" s="111"/>
      <x:c r="J136" s="111"/>
      <x:c r="K136" s="111"/>
      <x:c r="L136" s="111"/>
      <x:c r="M136" s="111"/>
      <x:c r="N136" s="111"/>
      <x:c r="O136" s="111"/>
      <x:c r="P136" s="111"/>
      <x:c r="Q136" s="111"/>
      <x:c r="R136" s="111"/>
      <x:c r="S136" s="111"/>
      <x:c r="T136" s="111"/>
    </x:row>
    <x:row r="137">
      <x:c r="A137" s="111"/>
      <x:c r="B137" s="111"/>
      <x:c r="C137" s="111"/>
      <x:c r="D137" s="111"/>
      <x:c r="E137" s="111"/>
      <x:c r="F137" s="111"/>
      <x:c r="G137" s="111"/>
      <x:c r="H137" s="111"/>
      <x:c r="I137" s="111"/>
      <x:c r="J137" s="111"/>
      <x:c r="K137" s="111"/>
      <x:c r="L137" s="111"/>
      <x:c r="M137" s="111"/>
      <x:c r="N137" s="111"/>
      <x:c r="O137" s="111"/>
      <x:c r="P137" s="111"/>
      <x:c r="Q137" s="111"/>
      <x:c r="R137" s="111"/>
      <x:c r="S137" s="111"/>
      <x:c r="T137" s="111"/>
    </x:row>
    <x:row r="138">
      <x:c r="A138" s="111"/>
      <x:c r="B138" s="111"/>
      <x:c r="C138" s="111"/>
      <x:c r="D138" s="111"/>
      <x:c r="E138" s="111"/>
      <x:c r="F138" s="111"/>
      <x:c r="G138" s="111"/>
      <x:c r="H138" s="111"/>
      <x:c r="I138" s="111"/>
      <x:c r="J138" s="111"/>
      <x:c r="K138" s="111"/>
      <x:c r="L138" s="111"/>
      <x:c r="M138" s="111"/>
      <x:c r="N138" s="111"/>
      <x:c r="O138" s="111"/>
      <x:c r="P138" s="111"/>
      <x:c r="Q138" s="111"/>
      <x:c r="R138" s="111"/>
      <x:c r="S138" s="111"/>
      <x:c r="T138" s="111"/>
    </x:row>
    <x:row r="139">
      <x:c r="A139" s="111"/>
      <x:c r="B139" s="111"/>
      <x:c r="C139" s="111"/>
      <x:c r="D139" s="111"/>
      <x:c r="E139" s="111"/>
      <x:c r="F139" s="111"/>
      <x:c r="G139" s="111"/>
      <x:c r="H139" s="111"/>
      <x:c r="I139" s="111"/>
      <x:c r="J139" s="111"/>
      <x:c r="K139" s="111"/>
      <x:c r="L139" s="111"/>
      <x:c r="M139" s="111"/>
      <x:c r="N139" s="111"/>
      <x:c r="O139" s="111"/>
      <x:c r="P139" s="111"/>
      <x:c r="Q139" s="111"/>
      <x:c r="R139" s="111"/>
      <x:c r="S139" s="111"/>
      <x:c r="T139" s="111"/>
    </x:row>
    <x:row r="140">
      <x:c r="A140" s="111"/>
      <x:c r="B140" s="111"/>
      <x:c r="C140" s="111"/>
      <x:c r="D140" s="111"/>
      <x:c r="E140" s="111"/>
      <x:c r="F140" s="111"/>
      <x:c r="G140" s="111"/>
      <x:c r="H140" s="111"/>
      <x:c r="I140" s="111"/>
      <x:c r="J140" s="111"/>
      <x:c r="K140" s="111"/>
      <x:c r="L140" s="111"/>
      <x:c r="M140" s="111"/>
      <x:c r="N140" s="111"/>
      <x:c r="O140" s="111"/>
      <x:c r="P140" s="111"/>
      <x:c r="Q140" s="111"/>
      <x:c r="R140" s="111"/>
      <x:c r="S140" s="111"/>
      <x:c r="T140" s="111"/>
    </x:row>
    <x:row r="141">
      <x:c r="A141" s="111"/>
      <x:c r="B141" s="111"/>
      <x:c r="C141" s="111"/>
      <x:c r="D141" s="111"/>
      <x:c r="E141" s="111"/>
      <x:c r="F141" s="111"/>
      <x:c r="G141" s="111"/>
      <x:c r="H141" s="111"/>
      <x:c r="I141" s="111"/>
      <x:c r="J141" s="111"/>
      <x:c r="K141" s="111"/>
      <x:c r="L141" s="111"/>
      <x:c r="M141" s="111"/>
      <x:c r="N141" s="111"/>
      <x:c r="O141" s="111"/>
      <x:c r="P141" s="111"/>
      <x:c r="Q141" s="111"/>
      <x:c r="R141" s="111"/>
      <x:c r="S141" s="111"/>
      <x:c r="T141" s="111"/>
    </x:row>
    <x:row r="142">
      <x:c r="A142" s="111"/>
      <x:c r="B142" s="111"/>
      <x:c r="C142" s="111"/>
      <x:c r="D142" s="111"/>
      <x:c r="E142" s="111"/>
      <x:c r="F142" s="111"/>
      <x:c r="G142" s="111"/>
      <x:c r="H142" s="111"/>
      <x:c r="I142" s="111"/>
      <x:c r="J142" s="111"/>
      <x:c r="K142" s="111"/>
      <x:c r="L142" s="111"/>
      <x:c r="M142" s="111"/>
      <x:c r="N142" s="111"/>
      <x:c r="O142" s="111"/>
      <x:c r="P142" s="111"/>
      <x:c r="Q142" s="111"/>
      <x:c r="R142" s="111"/>
      <x:c r="S142" s="111"/>
      <x:c r="T142" s="111"/>
    </x:row>
    <x:row r="143">
      <x:c r="A143" s="111"/>
      <x:c r="B143" s="111"/>
      <x:c r="C143" s="111"/>
      <x:c r="D143" s="111"/>
      <x:c r="E143" s="111"/>
      <x:c r="F143" s="111"/>
      <x:c r="G143" s="111"/>
      <x:c r="H143" s="111"/>
      <x:c r="I143" s="111"/>
      <x:c r="J143" s="111"/>
      <x:c r="K143" s="111"/>
      <x:c r="L143" s="111"/>
      <x:c r="M143" s="111"/>
      <x:c r="N143" s="111"/>
      <x:c r="O143" s="111"/>
      <x:c r="P143" s="111"/>
      <x:c r="Q143" s="111"/>
      <x:c r="R143" s="111"/>
      <x:c r="S143" s="111"/>
      <x:c r="T143" s="111"/>
    </x:row>
    <x:row r="144">
      <x:c r="A144" s="111"/>
      <x:c r="B144" s="111"/>
      <x:c r="C144" s="111"/>
      <x:c r="D144" s="111"/>
      <x:c r="E144" s="111"/>
      <x:c r="F144" s="111"/>
      <x:c r="G144" s="111"/>
      <x:c r="H144" s="111"/>
      <x:c r="I144" s="111"/>
      <x:c r="J144" s="111"/>
      <x:c r="K144" s="111"/>
      <x:c r="L144" s="111"/>
      <x:c r="M144" s="111"/>
      <x:c r="N144" s="111"/>
      <x:c r="O144" s="111"/>
      <x:c r="P144" s="111"/>
      <x:c r="Q144" s="111"/>
      <x:c r="R144" s="111"/>
      <x:c r="S144" s="111"/>
      <x:c r="T144" s="111"/>
    </x:row>
    <x:row r="145">
      <x:c r="A145" s="111"/>
      <x:c r="B145" s="111"/>
      <x:c r="C145" s="111"/>
      <x:c r="D145" s="111"/>
      <x:c r="E145" s="111"/>
      <x:c r="F145" s="111"/>
      <x:c r="G145" s="111"/>
      <x:c r="H145" s="111"/>
      <x:c r="I145" s="111"/>
      <x:c r="J145" s="111"/>
      <x:c r="K145" s="111"/>
      <x:c r="L145" s="111"/>
      <x:c r="M145" s="111"/>
      <x:c r="N145" s="111"/>
      <x:c r="O145" s="111"/>
      <x:c r="P145" s="111"/>
      <x:c r="Q145" s="111"/>
      <x:c r="R145" s="111"/>
      <x:c r="S145" s="111"/>
      <x:c r="T145" s="111"/>
    </x:row>
    <x:row r="146">
      <x:c r="A146" s="111"/>
      <x:c r="B146" s="111"/>
      <x:c r="C146" s="111"/>
      <x:c r="D146" s="111"/>
      <x:c r="E146" s="111"/>
      <x:c r="F146" s="111"/>
      <x:c r="G146" s="111"/>
      <x:c r="H146" s="111"/>
      <x:c r="I146" s="111"/>
      <x:c r="J146" s="111"/>
      <x:c r="K146" s="111"/>
      <x:c r="L146" s="111"/>
      <x:c r="M146" s="111"/>
      <x:c r="N146" s="111"/>
      <x:c r="O146" s="111"/>
      <x:c r="P146" s="111"/>
      <x:c r="Q146" s="111"/>
      <x:c r="R146" s="111"/>
      <x:c r="S146" s="111"/>
      <x:c r="T146" s="111"/>
    </x:row>
    <x:row r="147">
      <x:c r="A147" s="111"/>
      <x:c r="B147" s="111"/>
      <x:c r="C147" s="111"/>
      <x:c r="D147" s="111"/>
      <x:c r="E147" s="111"/>
      <x:c r="F147" s="111"/>
      <x:c r="G147" s="111"/>
      <x:c r="H147" s="111"/>
      <x:c r="I147" s="111"/>
      <x:c r="J147" s="111"/>
      <x:c r="K147" s="111"/>
      <x:c r="L147" s="111"/>
      <x:c r="M147" s="111"/>
      <x:c r="N147" s="111"/>
      <x:c r="O147" s="111"/>
      <x:c r="P147" s="111"/>
      <x:c r="Q147" s="111"/>
      <x:c r="R147" s="111"/>
      <x:c r="S147" s="111"/>
      <x:c r="T147" s="111"/>
    </x:row>
    <x:row r="148">
      <x:c r="A148" s="111"/>
      <x:c r="B148" s="111"/>
      <x:c r="C148" s="111"/>
      <x:c r="D148" s="111"/>
      <x:c r="E148" s="111"/>
      <x:c r="F148" s="111"/>
      <x:c r="G148" s="111"/>
      <x:c r="H148" s="111"/>
      <x:c r="I148" s="111"/>
      <x:c r="J148" s="111"/>
      <x:c r="K148" s="111"/>
      <x:c r="L148" s="111"/>
      <x:c r="M148" s="111"/>
      <x:c r="N148" s="111"/>
      <x:c r="O148" s="111"/>
      <x:c r="P148" s="111"/>
      <x:c r="Q148" s="111"/>
      <x:c r="R148" s="111"/>
      <x:c r="S148" s="111"/>
      <x:c r="T148" s="111"/>
    </x:row>
    <x:row r="149">
      <x:c r="A149" s="111"/>
      <x:c r="B149" s="111"/>
      <x:c r="C149" s="111"/>
      <x:c r="D149" s="111"/>
      <x:c r="E149" s="111"/>
      <x:c r="F149" s="111"/>
      <x:c r="G149" s="111"/>
      <x:c r="H149" s="111"/>
      <x:c r="I149" s="111"/>
      <x:c r="J149" s="111"/>
      <x:c r="K149" s="111"/>
      <x:c r="L149" s="111"/>
      <x:c r="M149" s="111"/>
      <x:c r="N149" s="111"/>
      <x:c r="O149" s="111"/>
      <x:c r="P149" s="111"/>
      <x:c r="Q149" s="111"/>
      <x:c r="R149" s="111"/>
      <x:c r="S149" s="111"/>
      <x:c r="T149" s="111"/>
    </x:row>
    <x:row r="150">
      <x:c r="A150" s="111"/>
      <x:c r="B150" s="111"/>
      <x:c r="C150" s="111"/>
      <x:c r="D150" s="111"/>
      <x:c r="E150" s="111"/>
      <x:c r="F150" s="111"/>
      <x:c r="G150" s="111"/>
      <x:c r="H150" s="111"/>
      <x:c r="I150" s="111"/>
      <x:c r="J150" s="111"/>
      <x:c r="K150" s="111"/>
      <x:c r="L150" s="111"/>
      <x:c r="M150" s="111"/>
      <x:c r="N150" s="111"/>
      <x:c r="O150" s="111"/>
      <x:c r="P150" s="111"/>
      <x:c r="Q150" s="111"/>
      <x:c r="R150" s="111"/>
      <x:c r="S150" s="111"/>
      <x:c r="T150" s="111"/>
    </x:row>
    <x:row r="151">
      <x:c r="A151" s="111"/>
      <x:c r="B151" s="111"/>
      <x:c r="C151" s="111"/>
      <x:c r="D151" s="111"/>
      <x:c r="E151" s="111"/>
      <x:c r="F151" s="111"/>
      <x:c r="G151" s="111"/>
      <x:c r="H151" s="111"/>
      <x:c r="I151" s="111"/>
      <x:c r="J151" s="111"/>
      <x:c r="K151" s="111"/>
      <x:c r="L151" s="111"/>
      <x:c r="M151" s="111"/>
      <x:c r="N151" s="111"/>
      <x:c r="O151" s="111"/>
      <x:c r="P151" s="111"/>
      <x:c r="Q151" s="111"/>
      <x:c r="R151" s="111"/>
      <x:c r="S151" s="111"/>
      <x:c r="T151" s="111"/>
    </x:row>
    <x:row r="152">
      <x:c r="A152" s="111"/>
      <x:c r="B152" s="111"/>
      <x:c r="C152" s="111"/>
      <x:c r="D152" s="111"/>
      <x:c r="E152" s="111"/>
      <x:c r="F152" s="111"/>
      <x:c r="G152" s="111"/>
      <x:c r="H152" s="111"/>
      <x:c r="I152" s="111"/>
      <x:c r="J152" s="111"/>
      <x:c r="K152" s="111"/>
      <x:c r="L152" s="111"/>
      <x:c r="M152" s="111"/>
      <x:c r="N152" s="111"/>
      <x:c r="O152" s="111"/>
      <x:c r="P152" s="111"/>
      <x:c r="Q152" s="111"/>
      <x:c r="R152" s="111"/>
      <x:c r="S152" s="111"/>
      <x:c r="T152" s="111"/>
    </x:row>
    <x:row r="153">
      <x:c r="A153" s="111"/>
      <x:c r="B153" s="111"/>
      <x:c r="C153" s="111"/>
      <x:c r="D153" s="111"/>
      <x:c r="E153" s="111"/>
      <x:c r="F153" s="111"/>
      <x:c r="G153" s="111"/>
      <x:c r="H153" s="111"/>
      <x:c r="I153" s="111"/>
      <x:c r="J153" s="111"/>
      <x:c r="K153" s="111"/>
      <x:c r="L153" s="111"/>
      <x:c r="M153" s="111"/>
      <x:c r="N153" s="111"/>
      <x:c r="O153" s="111"/>
      <x:c r="P153" s="111"/>
      <x:c r="Q153" s="111"/>
      <x:c r="R153" s="111"/>
      <x:c r="S153" s="111"/>
      <x:c r="T153" s="111"/>
    </x:row>
    <x:row r="154">
      <x:c r="A154" s="111"/>
      <x:c r="B154" s="111"/>
      <x:c r="C154" s="111"/>
      <x:c r="D154" s="111"/>
      <x:c r="E154" s="111"/>
      <x:c r="F154" s="111"/>
      <x:c r="G154" s="111"/>
      <x:c r="H154" s="111"/>
      <x:c r="I154" s="111"/>
      <x:c r="J154" s="111"/>
      <x:c r="K154" s="111"/>
      <x:c r="L154" s="111"/>
      <x:c r="M154" s="111"/>
      <x:c r="N154" s="111"/>
      <x:c r="O154" s="111"/>
      <x:c r="P154" s="111"/>
      <x:c r="Q154" s="111"/>
      <x:c r="R154" s="111"/>
      <x:c r="S154" s="111"/>
      <x:c r="T154" s="111"/>
    </x:row>
    <x:row r="155">
      <x:c r="A155" s="111"/>
      <x:c r="B155" s="111"/>
      <x:c r="C155" s="111"/>
      <x:c r="D155" s="111"/>
      <x:c r="E155" s="111"/>
      <x:c r="F155" s="111"/>
      <x:c r="G155" s="111"/>
      <x:c r="H155" s="111"/>
      <x:c r="I155" s="111"/>
      <x:c r="J155" s="111"/>
      <x:c r="K155" s="111"/>
      <x:c r="L155" s="111"/>
      <x:c r="M155" s="111"/>
      <x:c r="N155" s="111"/>
      <x:c r="O155" s="111"/>
      <x:c r="P155" s="111"/>
      <x:c r="Q155" s="111"/>
      <x:c r="R155" s="111"/>
      <x:c r="S155" s="111"/>
      <x:c r="T155" s="111"/>
    </x:row>
    <x:row r="156">
      <x:c r="A156" s="111"/>
      <x:c r="B156" s="111"/>
      <x:c r="C156" s="111"/>
      <x:c r="D156" s="111"/>
      <x:c r="E156" s="111"/>
      <x:c r="F156" s="111"/>
      <x:c r="G156" s="111"/>
      <x:c r="H156" s="111"/>
      <x:c r="I156" s="111"/>
      <x:c r="J156" s="111"/>
      <x:c r="K156" s="111"/>
      <x:c r="L156" s="111"/>
      <x:c r="M156" s="111"/>
      <x:c r="N156" s="111"/>
      <x:c r="O156" s="111"/>
      <x:c r="P156" s="111"/>
      <x:c r="Q156" s="111"/>
      <x:c r="R156" s="111"/>
      <x:c r="S156" s="111"/>
      <x:c r="T156" s="111"/>
    </x:row>
    <x:row r="157">
      <x:c r="A157" s="111"/>
      <x:c r="B157" s="111"/>
      <x:c r="C157" s="111"/>
      <x:c r="D157" s="111"/>
      <x:c r="E157" s="111"/>
      <x:c r="F157" s="111"/>
      <x:c r="G157" s="111"/>
      <x:c r="H157" s="111"/>
      <x:c r="I157" s="111"/>
      <x:c r="J157" s="111"/>
      <x:c r="K157" s="111"/>
      <x:c r="L157" s="111"/>
      <x:c r="M157" s="111"/>
      <x:c r="N157" s="111"/>
      <x:c r="O157" s="111"/>
      <x:c r="P157" s="111"/>
      <x:c r="Q157" s="111"/>
      <x:c r="R157" s="111"/>
      <x:c r="S157" s="111"/>
      <x:c r="T157" s="111"/>
    </x:row>
    <x:row r="158">
      <x:c r="A158" s="111"/>
      <x:c r="B158" s="111"/>
      <x:c r="C158" s="111"/>
      <x:c r="D158" s="111"/>
      <x:c r="E158" s="111"/>
      <x:c r="F158" s="111"/>
      <x:c r="G158" s="111"/>
      <x:c r="H158" s="111"/>
      <x:c r="I158" s="111"/>
      <x:c r="J158" s="111"/>
      <x:c r="K158" s="111"/>
      <x:c r="L158" s="111"/>
      <x:c r="M158" s="111"/>
      <x:c r="N158" s="111"/>
      <x:c r="O158" s="111"/>
      <x:c r="P158" s="111"/>
      <x:c r="Q158" s="111"/>
      <x:c r="R158" s="111"/>
      <x:c r="S158" s="111"/>
      <x:c r="T158" s="111"/>
    </x:row>
    <x:row r="159">
      <x:c r="A159" s="111"/>
      <x:c r="B159" s="111"/>
      <x:c r="C159" s="111"/>
      <x:c r="D159" s="111"/>
      <x:c r="E159" s="111"/>
      <x:c r="F159" s="111"/>
      <x:c r="G159" s="111"/>
      <x:c r="H159" s="111"/>
      <x:c r="I159" s="111"/>
      <x:c r="J159" s="111"/>
      <x:c r="K159" s="111"/>
      <x:c r="L159" s="111"/>
      <x:c r="M159" s="111"/>
      <x:c r="N159" s="111"/>
      <x:c r="O159" s="111"/>
      <x:c r="P159" s="111"/>
      <x:c r="Q159" s="111"/>
      <x:c r="R159" s="111"/>
      <x:c r="S159" s="111"/>
      <x:c r="T159" s="111"/>
    </x:row>
    <x:row r="160">
      <x:c r="A160" s="111"/>
      <x:c r="B160" s="111"/>
      <x:c r="C160" s="111"/>
      <x:c r="D160" s="111"/>
      <x:c r="E160" s="111"/>
      <x:c r="F160" s="111"/>
      <x:c r="G160" s="111"/>
      <x:c r="H160" s="111"/>
      <x:c r="I160" s="111"/>
      <x:c r="J160" s="111"/>
      <x:c r="K160" s="111"/>
      <x:c r="L160" s="111"/>
      <x:c r="M160" s="111"/>
      <x:c r="N160" s="111"/>
      <x:c r="O160" s="111"/>
      <x:c r="P160" s="111"/>
      <x:c r="Q160" s="111"/>
      <x:c r="R160" s="111"/>
      <x:c r="S160" s="111"/>
      <x:c r="T160" s="111"/>
    </x:row>
    <x:row r="161">
      <x:c r="A161" s="111"/>
      <x:c r="B161" s="111"/>
      <x:c r="C161" s="111"/>
      <x:c r="D161" s="111"/>
      <x:c r="E161" s="111"/>
      <x:c r="F161" s="111"/>
      <x:c r="G161" s="111"/>
      <x:c r="H161" s="111"/>
      <x:c r="I161" s="111"/>
      <x:c r="J161" s="111"/>
      <x:c r="K161" s="111"/>
      <x:c r="L161" s="111"/>
      <x:c r="M161" s="111"/>
      <x:c r="N161" s="111"/>
      <x:c r="O161" s="111"/>
      <x:c r="P161" s="111"/>
      <x:c r="Q161" s="111"/>
      <x:c r="R161" s="111"/>
      <x:c r="S161" s="111"/>
      <x:c r="T161" s="111"/>
    </x:row>
    <x:row r="162">
      <x:c r="A162" s="111"/>
      <x:c r="B162" s="111"/>
      <x:c r="C162" s="111"/>
      <x:c r="D162" s="111"/>
      <x:c r="E162" s="111"/>
      <x:c r="F162" s="111"/>
      <x:c r="G162" s="111"/>
      <x:c r="H162" s="111"/>
      <x:c r="I162" s="111"/>
      <x:c r="J162" s="111"/>
      <x:c r="K162" s="111"/>
      <x:c r="L162" s="111"/>
      <x:c r="M162" s="111"/>
      <x:c r="N162" s="111"/>
      <x:c r="O162" s="111"/>
      <x:c r="P162" s="111"/>
      <x:c r="Q162" s="111"/>
      <x:c r="R162" s="111"/>
      <x:c r="S162" s="111"/>
      <x:c r="T162" s="111"/>
    </x:row>
    <x:row r="163">
      <x:c r="A163" s="111"/>
      <x:c r="B163" s="111"/>
      <x:c r="C163" s="111"/>
      <x:c r="D163" s="111"/>
      <x:c r="E163" s="111"/>
      <x:c r="F163" s="111"/>
      <x:c r="G163" s="111"/>
      <x:c r="H163" s="111"/>
      <x:c r="I163" s="111"/>
      <x:c r="J163" s="111"/>
      <x:c r="K163" s="111"/>
      <x:c r="L163" s="111"/>
      <x:c r="M163" s="111"/>
      <x:c r="N163" s="111"/>
      <x:c r="O163" s="111"/>
      <x:c r="P163" s="111"/>
      <x:c r="Q163" s="111"/>
      <x:c r="R163" s="111"/>
      <x:c r="S163" s="111"/>
      <x:c r="T163" s="111"/>
    </x:row>
    <x:row r="164">
      <x:c r="A164" s="111"/>
      <x:c r="B164" s="111"/>
      <x:c r="C164" s="111"/>
      <x:c r="D164" s="111"/>
      <x:c r="E164" s="111"/>
      <x:c r="F164" s="111"/>
      <x:c r="G164" s="111"/>
      <x:c r="H164" s="111"/>
      <x:c r="I164" s="111"/>
      <x:c r="J164" s="111"/>
      <x:c r="K164" s="111"/>
      <x:c r="L164" s="111"/>
      <x:c r="M164" s="111"/>
      <x:c r="N164" s="111"/>
      <x:c r="O164" s="111"/>
      <x:c r="P164" s="111"/>
      <x:c r="Q164" s="111"/>
      <x:c r="R164" s="111"/>
      <x:c r="S164" s="111"/>
      <x:c r="T164" s="111"/>
    </x:row>
    <x:row r="165">
      <x:c r="A165" s="111"/>
      <x:c r="B165" s="111"/>
      <x:c r="C165" s="111"/>
      <x:c r="D165" s="111"/>
      <x:c r="E165" s="111"/>
      <x:c r="F165" s="111"/>
      <x:c r="G165" s="111"/>
      <x:c r="H165" s="111"/>
      <x:c r="I165" s="111"/>
      <x:c r="J165" s="111"/>
      <x:c r="K165" s="111"/>
      <x:c r="L165" s="111"/>
      <x:c r="M165" s="111"/>
      <x:c r="N165" s="111"/>
      <x:c r="O165" s="111"/>
      <x:c r="P165" s="111"/>
      <x:c r="Q165" s="111"/>
      <x:c r="R165" s="111"/>
      <x:c r="S165" s="111"/>
      <x:c r="T165" s="111"/>
    </x:row>
    <x:row r="166">
      <x:c r="A166" s="111"/>
      <x:c r="B166" s="111"/>
      <x:c r="C166" s="111"/>
      <x:c r="D166" s="111"/>
      <x:c r="E166" s="111"/>
      <x:c r="F166" s="111"/>
      <x:c r="G166" s="111"/>
      <x:c r="H166" s="111"/>
      <x:c r="I166" s="111"/>
      <x:c r="J166" s="111"/>
      <x:c r="K166" s="111"/>
      <x:c r="L166" s="111"/>
      <x:c r="M166" s="111"/>
      <x:c r="N166" s="111"/>
      <x:c r="O166" s="111"/>
      <x:c r="P166" s="111"/>
      <x:c r="Q166" s="111"/>
      <x:c r="R166" s="111"/>
      <x:c r="S166" s="111"/>
      <x:c r="T166" s="111"/>
    </x:row>
    <x:row r="167">
      <x:c r="A167" s="111"/>
      <x:c r="B167" s="111"/>
      <x:c r="C167" s="111"/>
      <x:c r="D167" s="111"/>
      <x:c r="E167" s="111"/>
      <x:c r="F167" s="111"/>
      <x:c r="G167" s="111"/>
      <x:c r="H167" s="111"/>
      <x:c r="I167" s="111"/>
      <x:c r="J167" s="111"/>
      <x:c r="K167" s="111"/>
      <x:c r="L167" s="111"/>
      <x:c r="M167" s="111"/>
      <x:c r="N167" s="111"/>
      <x:c r="O167" s="111"/>
      <x:c r="P167" s="111"/>
      <x:c r="Q167" s="111"/>
      <x:c r="R167" s="111"/>
      <x:c r="S167" s="111"/>
      <x:c r="T167" s="111"/>
    </x:row>
    <x:row r="168">
      <x:c r="A168" s="111"/>
      <x:c r="B168" s="111"/>
      <x:c r="C168" s="111"/>
      <x:c r="D168" s="111"/>
      <x:c r="E168" s="111"/>
      <x:c r="F168" s="111"/>
      <x:c r="G168" s="111"/>
      <x:c r="H168" s="111"/>
      <x:c r="I168" s="111"/>
      <x:c r="J168" s="111"/>
      <x:c r="K168" s="111"/>
      <x:c r="L168" s="111"/>
      <x:c r="M168" s="111"/>
      <x:c r="N168" s="111"/>
      <x:c r="O168" s="111"/>
      <x:c r="P168" s="111"/>
      <x:c r="Q168" s="111"/>
      <x:c r="R168" s="111"/>
      <x:c r="S168" s="111"/>
      <x:c r="T168" s="111"/>
    </x:row>
    <x:row r="169">
      <x:c r="A169" s="111"/>
      <x:c r="B169" s="111"/>
      <x:c r="C169" s="111"/>
      <x:c r="D169" s="111"/>
      <x:c r="E169" s="111"/>
      <x:c r="F169" s="111"/>
      <x:c r="G169" s="111"/>
      <x:c r="H169" s="111"/>
      <x:c r="I169" s="111"/>
      <x:c r="J169" s="111"/>
      <x:c r="K169" s="111"/>
      <x:c r="L169" s="111"/>
      <x:c r="M169" s="111"/>
      <x:c r="N169" s="111"/>
      <x:c r="O169" s="111"/>
      <x:c r="P169" s="111"/>
      <x:c r="Q169" s="111"/>
      <x:c r="R169" s="111"/>
      <x:c r="S169" s="111"/>
      <x:c r="T169" s="111"/>
    </x:row>
    <x:row r="170">
      <x:c r="A170" s="111"/>
      <x:c r="B170" s="111"/>
      <x:c r="C170" s="111"/>
      <x:c r="D170" s="111"/>
      <x:c r="E170" s="111"/>
      <x:c r="F170" s="111"/>
      <x:c r="G170" s="111"/>
      <x:c r="H170" s="111"/>
      <x:c r="I170" s="111"/>
      <x:c r="J170" s="111"/>
      <x:c r="K170" s="111"/>
      <x:c r="L170" s="111"/>
      <x:c r="M170" s="111"/>
      <x:c r="N170" s="111"/>
      <x:c r="O170" s="111"/>
      <x:c r="P170" s="111"/>
      <x:c r="Q170" s="111"/>
      <x:c r="R170" s="111"/>
      <x:c r="S170" s="111"/>
      <x:c r="T170" s="111"/>
    </x:row>
    <x:row r="171">
      <x:c r="A171" s="111"/>
      <x:c r="B171" s="111"/>
      <x:c r="C171" s="111"/>
      <x:c r="D171" s="111"/>
      <x:c r="E171" s="111"/>
      <x:c r="F171" s="111"/>
      <x:c r="G171" s="111"/>
      <x:c r="H171" s="111"/>
      <x:c r="I171" s="111"/>
      <x:c r="J171" s="111"/>
      <x:c r="K171" s="111"/>
      <x:c r="L171" s="111"/>
      <x:c r="M171" s="111"/>
      <x:c r="N171" s="111"/>
      <x:c r="O171" s="111"/>
      <x:c r="P171" s="111"/>
      <x:c r="Q171" s="111"/>
      <x:c r="R171" s="111"/>
      <x:c r="S171" s="111"/>
      <x:c r="T171" s="111"/>
    </x:row>
    <x:row r="172">
      <x:c r="A172" s="111"/>
      <x:c r="B172" s="111"/>
      <x:c r="C172" s="111"/>
      <x:c r="D172" s="111"/>
      <x:c r="E172" s="111"/>
      <x:c r="F172" s="111"/>
      <x:c r="G172" s="111"/>
      <x:c r="H172" s="111"/>
      <x:c r="I172" s="111"/>
      <x:c r="J172" s="111"/>
      <x:c r="K172" s="111"/>
      <x:c r="L172" s="111"/>
      <x:c r="M172" s="111"/>
      <x:c r="N172" s="111"/>
      <x:c r="O172" s="111"/>
      <x:c r="P172" s="111"/>
      <x:c r="Q172" s="111"/>
      <x:c r="R172" s="111"/>
      <x:c r="S172" s="111"/>
      <x:c r="T172" s="111"/>
    </x:row>
    <x:row r="173">
      <x:c r="A173" s="111"/>
      <x:c r="B173" s="111"/>
      <x:c r="C173" s="111"/>
      <x:c r="D173" s="111"/>
      <x:c r="E173" s="111"/>
      <x:c r="F173" s="111"/>
      <x:c r="G173" s="111"/>
      <x:c r="H173" s="111"/>
      <x:c r="I173" s="111"/>
      <x:c r="J173" s="111"/>
      <x:c r="K173" s="111"/>
      <x:c r="L173" s="111"/>
      <x:c r="M173" s="111"/>
      <x:c r="N173" s="111"/>
      <x:c r="O173" s="111"/>
      <x:c r="P173" s="111"/>
      <x:c r="Q173" s="111"/>
      <x:c r="R173" s="111"/>
      <x:c r="S173" s="111"/>
      <x:c r="T173" s="111"/>
    </x:row>
    <x:row r="174">
      <x:c r="A174" s="111"/>
      <x:c r="B174" s="111"/>
      <x:c r="C174" s="111"/>
      <x:c r="D174" s="111"/>
      <x:c r="E174" s="111"/>
      <x:c r="F174" s="111"/>
      <x:c r="G174" s="111"/>
      <x:c r="H174" s="111"/>
      <x:c r="I174" s="111"/>
      <x:c r="J174" s="111"/>
      <x:c r="K174" s="111"/>
      <x:c r="L174" s="111"/>
      <x:c r="M174" s="111"/>
      <x:c r="N174" s="111"/>
      <x:c r="O174" s="111"/>
      <x:c r="P174" s="111"/>
      <x:c r="Q174" s="111"/>
      <x:c r="R174" s="111"/>
      <x:c r="S174" s="111"/>
      <x:c r="T174" s="111"/>
    </x:row>
    <x:row r="175">
      <x:c r="A175" s="111"/>
      <x:c r="B175" s="111"/>
      <x:c r="C175" s="111"/>
      <x:c r="D175" s="111"/>
      <x:c r="E175" s="111"/>
      <x:c r="F175" s="111"/>
      <x:c r="G175" s="111"/>
      <x:c r="H175" s="111"/>
      <x:c r="I175" s="111"/>
      <x:c r="J175" s="111"/>
      <x:c r="K175" s="111"/>
      <x:c r="L175" s="111"/>
      <x:c r="M175" s="111"/>
      <x:c r="N175" s="111"/>
      <x:c r="O175" s="111"/>
      <x:c r="P175" s="111"/>
      <x:c r="Q175" s="111"/>
      <x:c r="R175" s="111"/>
      <x:c r="S175" s="111"/>
      <x:c r="T175" s="111"/>
    </x:row>
    <x:row r="176">
      <x:c r="A176" s="111"/>
      <x:c r="B176" s="111"/>
      <x:c r="C176" s="111"/>
      <x:c r="D176" s="111"/>
      <x:c r="E176" s="111"/>
      <x:c r="F176" s="111"/>
      <x:c r="G176" s="111"/>
      <x:c r="H176" s="111"/>
      <x:c r="I176" s="111"/>
      <x:c r="J176" s="111"/>
      <x:c r="K176" s="111"/>
      <x:c r="L176" s="111"/>
      <x:c r="M176" s="111"/>
      <x:c r="N176" s="111"/>
      <x:c r="O176" s="111"/>
      <x:c r="P176" s="111"/>
      <x:c r="Q176" s="111"/>
      <x:c r="R176" s="111"/>
      <x:c r="S176" s="111"/>
      <x:c r="T176" s="111"/>
    </x:row>
    <x:row r="177">
      <x:c r="A177" s="111"/>
      <x:c r="B177" s="111"/>
      <x:c r="C177" s="111"/>
      <x:c r="D177" s="111"/>
      <x:c r="E177" s="111"/>
      <x:c r="F177" s="111"/>
      <x:c r="G177" s="111"/>
      <x:c r="H177" s="111"/>
      <x:c r="I177" s="111"/>
      <x:c r="J177" s="111"/>
      <x:c r="K177" s="111"/>
      <x:c r="L177" s="111"/>
      <x:c r="M177" s="111"/>
      <x:c r="N177" s="111"/>
      <x:c r="O177" s="111"/>
      <x:c r="P177" s="111"/>
      <x:c r="Q177" s="111"/>
      <x:c r="R177" s="111"/>
      <x:c r="S177" s="111"/>
      <x:c r="T177" s="111"/>
    </x:row>
    <x:row r="178">
      <x:c r="A178" s="111"/>
      <x:c r="B178" s="111"/>
      <x:c r="C178" s="111"/>
      <x:c r="D178" s="111"/>
      <x:c r="E178" s="111"/>
      <x:c r="F178" s="111"/>
      <x:c r="G178" s="111"/>
      <x:c r="H178" s="111"/>
      <x:c r="I178" s="111"/>
      <x:c r="J178" s="111"/>
      <x:c r="K178" s="111"/>
      <x:c r="L178" s="111"/>
      <x:c r="M178" s="111"/>
      <x:c r="N178" s="111"/>
      <x:c r="O178" s="111"/>
      <x:c r="P178" s="111"/>
      <x:c r="Q178" s="111"/>
      <x:c r="R178" s="111"/>
      <x:c r="S178" s="111"/>
      <x:c r="T178" s="111"/>
    </x:row>
    <x:row r="179">
      <x:c r="A179" s="111"/>
      <x:c r="B179" s="111"/>
      <x:c r="C179" s="111"/>
      <x:c r="D179" s="111"/>
      <x:c r="E179" s="111"/>
      <x:c r="F179" s="111"/>
      <x:c r="G179" s="111"/>
      <x:c r="H179" s="111"/>
      <x:c r="I179" s="111"/>
      <x:c r="J179" s="111"/>
      <x:c r="K179" s="111"/>
      <x:c r="L179" s="111"/>
      <x:c r="M179" s="111"/>
      <x:c r="N179" s="111"/>
      <x:c r="O179" s="111"/>
      <x:c r="P179" s="111"/>
      <x:c r="Q179" s="111"/>
      <x:c r="R179" s="111"/>
      <x:c r="S179" s="111"/>
      <x:c r="T179" s="111"/>
    </x:row>
    <x:row r="180">
      <x:c r="A180" s="111"/>
      <x:c r="B180" s="111"/>
      <x:c r="C180" s="111"/>
      <x:c r="D180" s="111"/>
      <x:c r="E180" s="111"/>
      <x:c r="F180" s="111"/>
      <x:c r="G180" s="111"/>
      <x:c r="H180" s="111"/>
      <x:c r="I180" s="111"/>
      <x:c r="J180" s="111"/>
      <x:c r="K180" s="111"/>
      <x:c r="L180" s="111"/>
      <x:c r="M180" s="111"/>
      <x:c r="N180" s="111"/>
      <x:c r="O180" s="111"/>
      <x:c r="P180" s="111"/>
      <x:c r="Q180" s="111"/>
      <x:c r="R180" s="111"/>
      <x:c r="S180" s="111"/>
      <x:c r="T180" s="111"/>
    </x:row>
    <x:row r="181">
      <x:c r="A181" s="111"/>
      <x:c r="B181" s="111"/>
      <x:c r="C181" s="111"/>
      <x:c r="D181" s="111"/>
      <x:c r="E181" s="111"/>
      <x:c r="F181" s="111"/>
      <x:c r="G181" s="111"/>
      <x:c r="H181" s="111"/>
      <x:c r="I181" s="111"/>
      <x:c r="J181" s="111"/>
      <x:c r="K181" s="111"/>
      <x:c r="L181" s="111"/>
      <x:c r="M181" s="111"/>
      <x:c r="N181" s="111"/>
      <x:c r="O181" s="111"/>
      <x:c r="P181" s="111"/>
      <x:c r="Q181" s="111"/>
      <x:c r="R181" s="111"/>
      <x:c r="S181" s="111"/>
      <x:c r="T181" s="111"/>
    </x:row>
    <x:row r="182">
      <x:c r="A182" s="111"/>
      <x:c r="B182" s="111"/>
      <x:c r="C182" s="111"/>
      <x:c r="D182" s="111"/>
      <x:c r="E182" s="111"/>
      <x:c r="F182" s="111"/>
      <x:c r="G182" s="111"/>
      <x:c r="H182" s="111"/>
      <x:c r="I182" s="111"/>
      <x:c r="J182" s="111"/>
      <x:c r="K182" s="111"/>
      <x:c r="L182" s="111"/>
      <x:c r="M182" s="111"/>
      <x:c r="N182" s="111"/>
      <x:c r="O182" s="111"/>
      <x:c r="P182" s="111"/>
      <x:c r="Q182" s="111"/>
      <x:c r="R182" s="111"/>
      <x:c r="S182" s="111"/>
      <x:c r="T182" s="111"/>
    </x:row>
    <x:row r="183">
      <x:c r="A183" s="111"/>
      <x:c r="B183" s="111"/>
      <x:c r="C183" s="111"/>
      <x:c r="D183" s="111"/>
      <x:c r="E183" s="111"/>
      <x:c r="F183" s="111"/>
      <x:c r="G183" s="111"/>
      <x:c r="H183" s="111"/>
      <x:c r="I183" s="111"/>
      <x:c r="J183" s="111"/>
      <x:c r="K183" s="111"/>
      <x:c r="L183" s="111"/>
      <x:c r="M183" s="111"/>
      <x:c r="N183" s="111"/>
      <x:c r="O183" s="111"/>
      <x:c r="P183" s="111"/>
      <x:c r="Q183" s="111"/>
      <x:c r="R183" s="111"/>
      <x:c r="S183" s="111"/>
      <x:c r="T183" s="111"/>
    </x:row>
    <x:row r="184">
      <x:c r="A184" s="111"/>
      <x:c r="B184" s="111"/>
      <x:c r="C184" s="111"/>
      <x:c r="D184" s="111"/>
      <x:c r="E184" s="111"/>
      <x:c r="F184" s="111"/>
      <x:c r="G184" s="111"/>
      <x:c r="H184" s="111"/>
      <x:c r="I184" s="111"/>
      <x:c r="J184" s="111"/>
      <x:c r="K184" s="111"/>
      <x:c r="L184" s="111"/>
      <x:c r="M184" s="111"/>
      <x:c r="N184" s="111"/>
      <x:c r="O184" s="111"/>
      <x:c r="P184" s="111"/>
      <x:c r="Q184" s="111"/>
      <x:c r="R184" s="111"/>
      <x:c r="S184" s="111"/>
      <x:c r="T184" s="111"/>
    </x:row>
    <x:row r="185">
      <x:c r="A185" s="111"/>
      <x:c r="B185" s="111"/>
      <x:c r="C185" s="111"/>
      <x:c r="D185" s="111"/>
      <x:c r="E185" s="111"/>
      <x:c r="F185" s="111"/>
      <x:c r="G185" s="111"/>
      <x:c r="H185" s="111"/>
      <x:c r="I185" s="111"/>
      <x:c r="J185" s="111"/>
      <x:c r="K185" s="111"/>
      <x:c r="L185" s="111"/>
      <x:c r="M185" s="111"/>
      <x:c r="N185" s="111"/>
      <x:c r="O185" s="111"/>
      <x:c r="P185" s="111"/>
      <x:c r="Q185" s="111"/>
      <x:c r="R185" s="111"/>
      <x:c r="S185" s="111"/>
      <x:c r="T185" s="111"/>
    </x:row>
    <x:row r="186">
      <x:c r="A186" s="111"/>
      <x:c r="B186" s="111"/>
      <x:c r="C186" s="111"/>
      <x:c r="D186" s="111"/>
      <x:c r="E186" s="111"/>
      <x:c r="F186" s="111"/>
      <x:c r="G186" s="111"/>
      <x:c r="H186" s="111"/>
      <x:c r="I186" s="111"/>
      <x:c r="J186" s="111"/>
      <x:c r="K186" s="111"/>
      <x:c r="L186" s="111"/>
      <x:c r="M186" s="111"/>
      <x:c r="N186" s="111"/>
      <x:c r="O186" s="111"/>
      <x:c r="P186" s="111"/>
      <x:c r="Q186" s="111"/>
      <x:c r="R186" s="111"/>
      <x:c r="S186" s="111"/>
      <x:c r="T186" s="111"/>
    </x:row>
    <x:row r="187">
      <x:c r="A187" s="111"/>
      <x:c r="B187" s="111"/>
      <x:c r="C187" s="111"/>
      <x:c r="D187" s="111"/>
      <x:c r="E187" s="111"/>
      <x:c r="F187" s="111"/>
      <x:c r="G187" s="111"/>
      <x:c r="H187" s="111"/>
      <x:c r="I187" s="111"/>
      <x:c r="J187" s="111"/>
      <x:c r="K187" s="111"/>
      <x:c r="L187" s="111"/>
      <x:c r="M187" s="111"/>
      <x:c r="N187" s="111"/>
      <x:c r="O187" s="111"/>
      <x:c r="P187" s="111"/>
      <x:c r="Q187" s="111"/>
      <x:c r="R187" s="111"/>
      <x:c r="S187" s="111"/>
      <x:c r="T187" s="111"/>
    </x:row>
    <x:row r="188">
      <x:c r="A188" s="111"/>
      <x:c r="B188" s="111"/>
      <x:c r="C188" s="111"/>
      <x:c r="D188" s="111"/>
      <x:c r="E188" s="111"/>
      <x:c r="F188" s="111"/>
      <x:c r="G188" s="111"/>
      <x:c r="H188" s="111"/>
      <x:c r="I188" s="111"/>
      <x:c r="J188" s="111"/>
      <x:c r="K188" s="111"/>
      <x:c r="L188" s="111"/>
      <x:c r="M188" s="111"/>
      <x:c r="N188" s="111"/>
      <x:c r="O188" s="111"/>
      <x:c r="P188" s="111"/>
      <x:c r="Q188" s="111"/>
      <x:c r="R188" s="111"/>
      <x:c r="S188" s="111"/>
      <x:c r="T188" s="111"/>
    </x:row>
    <x:row r="189">
      <x:c r="A189" s="111"/>
      <x:c r="B189" s="111"/>
      <x:c r="C189" s="111"/>
      <x:c r="D189" s="111"/>
      <x:c r="E189" s="111"/>
      <x:c r="F189" s="111"/>
      <x:c r="G189" s="111"/>
      <x:c r="H189" s="111"/>
      <x:c r="I189" s="111"/>
      <x:c r="J189" s="111"/>
      <x:c r="K189" s="111"/>
      <x:c r="L189" s="111"/>
      <x:c r="M189" s="111"/>
      <x:c r="N189" s="111"/>
      <x:c r="O189" s="111"/>
      <x:c r="P189" s="111"/>
      <x:c r="Q189" s="111"/>
      <x:c r="R189" s="111"/>
      <x:c r="S189" s="111"/>
      <x:c r="T189" s="111"/>
    </x:row>
    <x:row r="190">
      <x:c r="A190" s="111"/>
      <x:c r="B190" s="111"/>
      <x:c r="C190" s="111"/>
      <x:c r="D190" s="111"/>
      <x:c r="E190" s="111"/>
      <x:c r="F190" s="111"/>
      <x:c r="G190" s="111"/>
      <x:c r="H190" s="111"/>
      <x:c r="I190" s="111"/>
      <x:c r="J190" s="111"/>
      <x:c r="K190" s="111"/>
      <x:c r="L190" s="111"/>
      <x:c r="M190" s="111"/>
      <x:c r="N190" s="111"/>
      <x:c r="O190" s="111"/>
      <x:c r="P190" s="111"/>
      <x:c r="Q190" s="111"/>
      <x:c r="R190" s="111"/>
      <x:c r="S190" s="111"/>
      <x:c r="T190" s="111"/>
    </x:row>
    <x:row r="191">
      <x:c r="A191" s="111"/>
      <x:c r="B191" s="111"/>
      <x:c r="C191" s="111"/>
      <x:c r="D191" s="111"/>
      <x:c r="E191" s="111"/>
      <x:c r="F191" s="111"/>
      <x:c r="G191" s="111"/>
      <x:c r="H191" s="111"/>
      <x:c r="I191" s="111"/>
      <x:c r="J191" s="111"/>
      <x:c r="K191" s="111"/>
      <x:c r="L191" s="111"/>
      <x:c r="M191" s="111"/>
      <x:c r="N191" s="111"/>
      <x:c r="O191" s="111"/>
      <x:c r="P191" s="111"/>
      <x:c r="Q191" s="111"/>
      <x:c r="R191" s="111"/>
      <x:c r="S191" s="111"/>
      <x:c r="T191" s="111"/>
    </x:row>
    <x:row r="192">
      <x:c r="A192" s="111"/>
      <x:c r="B192" s="111"/>
      <x:c r="C192" s="111"/>
      <x:c r="D192" s="111"/>
      <x:c r="E192" s="111"/>
      <x:c r="F192" s="111"/>
      <x:c r="G192" s="111"/>
      <x:c r="H192" s="111"/>
      <x:c r="I192" s="111"/>
      <x:c r="J192" s="111"/>
      <x:c r="K192" s="111"/>
      <x:c r="L192" s="111"/>
      <x:c r="M192" s="111"/>
      <x:c r="N192" s="111"/>
      <x:c r="O192" s="111"/>
      <x:c r="P192" s="111"/>
      <x:c r="Q192" s="111"/>
      <x:c r="R192" s="111"/>
      <x:c r="S192" s="111"/>
      <x:c r="T192" s="111"/>
    </x:row>
    <x:row r="193">
      <x:c r="A193" s="111"/>
      <x:c r="B193" s="111"/>
      <x:c r="C193" s="111"/>
      <x:c r="D193" s="111"/>
      <x:c r="E193" s="111"/>
      <x:c r="F193" s="111"/>
      <x:c r="G193" s="111"/>
      <x:c r="H193" s="111"/>
      <x:c r="I193" s="111"/>
      <x:c r="J193" s="111"/>
      <x:c r="K193" s="111"/>
      <x:c r="L193" s="111"/>
      <x:c r="M193" s="111"/>
      <x:c r="N193" s="111"/>
      <x:c r="O193" s="111"/>
      <x:c r="P193" s="111"/>
      <x:c r="Q193" s="111"/>
      <x:c r="R193" s="111"/>
      <x:c r="S193" s="111"/>
      <x:c r="T193" s="111"/>
    </x:row>
    <x:row r="194">
      <x:c r="A194" s="111"/>
      <x:c r="B194" s="111"/>
      <x:c r="C194" s="111"/>
      <x:c r="D194" s="111"/>
      <x:c r="E194" s="111"/>
      <x:c r="F194" s="111"/>
      <x:c r="G194" s="111"/>
      <x:c r="H194" s="111"/>
      <x:c r="I194" s="111"/>
      <x:c r="J194" s="111"/>
      <x:c r="K194" s="111"/>
      <x:c r="L194" s="111"/>
      <x:c r="M194" s="111"/>
      <x:c r="N194" s="111"/>
      <x:c r="O194" s="111"/>
      <x:c r="P194" s="111"/>
      <x:c r="Q194" s="111"/>
      <x:c r="R194" s="111"/>
      <x:c r="S194" s="111"/>
      <x:c r="T194" s="111"/>
    </x:row>
    <x:row r="195">
      <x:c r="A195" s="111"/>
      <x:c r="B195" s="111"/>
      <x:c r="C195" s="111"/>
      <x:c r="D195" s="111"/>
      <x:c r="E195" s="111"/>
      <x:c r="F195" s="111"/>
      <x:c r="G195" s="111"/>
      <x:c r="H195" s="111"/>
      <x:c r="I195" s="111"/>
      <x:c r="J195" s="111"/>
      <x:c r="K195" s="111"/>
      <x:c r="L195" s="111"/>
      <x:c r="M195" s="111"/>
      <x:c r="N195" s="111"/>
      <x:c r="O195" s="111"/>
      <x:c r="P195" s="111"/>
      <x:c r="Q195" s="111"/>
      <x:c r="R195" s="111"/>
      <x:c r="S195" s="111"/>
      <x:c r="T195" s="111"/>
    </x:row>
    <x:row r="196">
      <x:c r="A196" s="111"/>
      <x:c r="B196" s="111"/>
      <x:c r="C196" s="111"/>
      <x:c r="D196" s="111"/>
      <x:c r="E196" s="111"/>
      <x:c r="F196" s="111"/>
      <x:c r="G196" s="111"/>
      <x:c r="H196" s="111"/>
      <x:c r="I196" s="111"/>
      <x:c r="J196" s="111"/>
      <x:c r="K196" s="111"/>
      <x:c r="L196" s="111"/>
      <x:c r="M196" s="111"/>
      <x:c r="N196" s="111"/>
      <x:c r="O196" s="111"/>
      <x:c r="P196" s="111"/>
      <x:c r="Q196" s="111"/>
      <x:c r="R196" s="111"/>
      <x:c r="S196" s="111"/>
      <x:c r="T196" s="111"/>
    </x:row>
    <x:row r="197">
      <x:c r="A197" s="111"/>
      <x:c r="B197" s="111"/>
      <x:c r="C197" s="111"/>
      <x:c r="D197" s="111"/>
      <x:c r="E197" s="111"/>
      <x:c r="F197" s="111"/>
      <x:c r="G197" s="111"/>
      <x:c r="H197" s="111"/>
      <x:c r="I197" s="111"/>
      <x:c r="J197" s="111"/>
      <x:c r="K197" s="111"/>
      <x:c r="L197" s="111"/>
      <x:c r="M197" s="111"/>
      <x:c r="N197" s="111"/>
      <x:c r="O197" s="111"/>
      <x:c r="P197" s="111"/>
      <x:c r="Q197" s="111"/>
      <x:c r="R197" s="111"/>
      <x:c r="S197" s="111"/>
      <x:c r="T197" s="111"/>
    </x:row>
    <x:row r="198">
      <x:c r="A198" s="111"/>
      <x:c r="B198" s="111"/>
      <x:c r="C198" s="111"/>
      <x:c r="D198" s="111"/>
      <x:c r="E198" s="111"/>
      <x:c r="F198" s="111"/>
      <x:c r="G198" s="111"/>
      <x:c r="H198" s="111"/>
      <x:c r="I198" s="111"/>
      <x:c r="J198" s="111"/>
      <x:c r="K198" s="111"/>
      <x:c r="L198" s="111"/>
      <x:c r="M198" s="111"/>
      <x:c r="N198" s="111"/>
      <x:c r="O198" s="111"/>
      <x:c r="P198" s="111"/>
      <x:c r="Q198" s="111"/>
      <x:c r="R198" s="111"/>
      <x:c r="S198" s="111"/>
      <x:c r="T198" s="111"/>
    </x:row>
    <x:row r="199">
      <x:c r="A199" s="111"/>
      <x:c r="B199" s="111"/>
      <x:c r="C199" s="111"/>
      <x:c r="D199" s="111"/>
      <x:c r="E199" s="111"/>
      <x:c r="F199" s="111"/>
      <x:c r="G199" s="111"/>
      <x:c r="H199" s="111"/>
      <x:c r="I199" s="111"/>
      <x:c r="J199" s="111"/>
      <x:c r="K199" s="111"/>
      <x:c r="L199" s="111"/>
      <x:c r="M199" s="111"/>
      <x:c r="N199" s="111"/>
      <x:c r="O199" s="111"/>
      <x:c r="P199" s="111"/>
      <x:c r="Q199" s="111"/>
      <x:c r="R199" s="111"/>
      <x:c r="S199" s="111"/>
      <x:c r="T199" s="111"/>
    </x:row>
    <x:row r="200">
      <x:c r="A200" s="111"/>
      <x:c r="B200" s="111"/>
      <x:c r="C200" s="111"/>
      <x:c r="D200" s="111"/>
      <x:c r="E200" s="111"/>
      <x:c r="F200" s="111"/>
      <x:c r="G200" s="111"/>
      <x:c r="H200" s="111"/>
      <x:c r="I200" s="111"/>
      <x:c r="J200" s="111"/>
      <x:c r="K200" s="111"/>
      <x:c r="L200" s="111"/>
      <x:c r="M200" s="111"/>
      <x:c r="N200" s="111"/>
      <x:c r="O200" s="111"/>
      <x:c r="P200" s="111"/>
      <x:c r="Q200" s="111"/>
      <x:c r="R200" s="111"/>
      <x:c r="S200" s="111"/>
      <x:c r="T200" s="111"/>
    </x:row>
    <x:row r="201">
      <x:c r="A201" s="111"/>
      <x:c r="B201" s="111"/>
      <x:c r="C201" s="111"/>
      <x:c r="D201" s="111"/>
      <x:c r="E201" s="111"/>
      <x:c r="F201" s="111"/>
      <x:c r="G201" s="111"/>
      <x:c r="H201" s="111"/>
      <x:c r="I201" s="111"/>
      <x:c r="J201" s="111"/>
      <x:c r="K201" s="111"/>
      <x:c r="L201" s="111"/>
      <x:c r="M201" s="111"/>
      <x:c r="N201" s="111"/>
      <x:c r="O201" s="111"/>
      <x:c r="P201" s="111"/>
      <x:c r="Q201" s="111"/>
      <x:c r="R201" s="111"/>
      <x:c r="S201" s="111"/>
      <x:c r="T201" s="111"/>
    </x:row>
    <x:row r="202">
      <x:c r="A202" s="111"/>
      <x:c r="B202" s="111"/>
      <x:c r="C202" s="111"/>
      <x:c r="D202" s="111"/>
      <x:c r="E202" s="111"/>
      <x:c r="F202" s="111"/>
      <x:c r="G202" s="111"/>
      <x:c r="H202" s="111"/>
      <x:c r="I202" s="111"/>
      <x:c r="J202" s="111"/>
      <x:c r="K202" s="111"/>
      <x:c r="L202" s="111"/>
      <x:c r="M202" s="111"/>
      <x:c r="N202" s="111"/>
      <x:c r="O202" s="111"/>
      <x:c r="P202" s="111"/>
      <x:c r="Q202" s="111"/>
      <x:c r="R202" s="111"/>
      <x:c r="S202" s="111"/>
      <x:c r="T202" s="111"/>
    </x:row>
    <x:row r="203">
      <x:c r="A203" s="111"/>
      <x:c r="B203" s="111"/>
      <x:c r="C203" s="111"/>
      <x:c r="D203" s="111"/>
      <x:c r="E203" s="111"/>
      <x:c r="F203" s="111"/>
      <x:c r="G203" s="111"/>
      <x:c r="H203" s="111"/>
      <x:c r="I203" s="111"/>
      <x:c r="J203" s="111"/>
      <x:c r="K203" s="111"/>
      <x:c r="L203" s="111"/>
      <x:c r="M203" s="111"/>
      <x:c r="N203" s="111"/>
      <x:c r="O203" s="111"/>
      <x:c r="P203" s="111"/>
      <x:c r="Q203" s="111"/>
      <x:c r="R203" s="111"/>
      <x:c r="S203" s="111"/>
      <x:c r="T203" s="111"/>
    </x:row>
    <x:row r="204">
      <x:c r="A204" s="111"/>
      <x:c r="B204" s="111"/>
      <x:c r="C204" s="111"/>
      <x:c r="D204" s="111"/>
      <x:c r="E204" s="111"/>
      <x:c r="F204" s="111"/>
      <x:c r="G204" s="111"/>
      <x:c r="H204" s="111"/>
      <x:c r="I204" s="111"/>
      <x:c r="J204" s="111"/>
      <x:c r="K204" s="111"/>
      <x:c r="L204" s="111"/>
      <x:c r="M204" s="111"/>
      <x:c r="N204" s="111"/>
      <x:c r="O204" s="111"/>
      <x:c r="P204" s="111"/>
      <x:c r="Q204" s="111"/>
      <x:c r="R204" s="111"/>
      <x:c r="S204" s="111"/>
      <x:c r="T204" s="111"/>
    </x:row>
    <x:row r="205">
      <x:c r="A205" s="111"/>
      <x:c r="B205" s="111"/>
      <x:c r="C205" s="111"/>
      <x:c r="D205" s="111"/>
      <x:c r="E205" s="111"/>
      <x:c r="F205" s="111"/>
      <x:c r="G205" s="111"/>
      <x:c r="H205" s="111"/>
      <x:c r="I205" s="111"/>
      <x:c r="J205" s="111"/>
      <x:c r="K205" s="111"/>
      <x:c r="L205" s="111"/>
      <x:c r="M205" s="111"/>
      <x:c r="N205" s="111"/>
      <x:c r="O205" s="111"/>
      <x:c r="P205" s="111"/>
      <x:c r="Q205" s="111"/>
      <x:c r="R205" s="111"/>
      <x:c r="S205" s="111"/>
      <x:c r="T205" s="111"/>
    </x:row>
  </x:sheetData>
  <x:pageMargins left="0.7" right="0.7" top="0.75" bottom="0.75" header="0.3" footer="0.3"/>
</x:worksheet>
</file>